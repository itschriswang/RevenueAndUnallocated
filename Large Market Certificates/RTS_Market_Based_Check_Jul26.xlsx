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ccounts" sheetId="2" state="visible" r:id="rId4"/>
    <sheet name="Sites" sheetId="3" state="visible" r:id="rId5"/>
    <sheet name="Issues" sheetId="4" state="visible" r:id="rId6"/>
  </sheets>
  <definedNames>
    <definedName function="false" hidden="true" localSheetId="1" name="_xlnm._FilterDatabase" vbProcedure="false">Accounts!$A$1:$W$153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1" authorId="0">
      <text>
        <r>
          <rPr>
            <sz val="10"/>
            <rFont val="Arial"/>
            <family val="2"/>
          </rPr>
          <t xml:space="preserve">kWh x factor / 1000. Envizi puts electricity in Scope 2 and certificate credits in Other, so the comparison is against Total reported.</t>
        </r>
      </text>
    </comment>
    <comment ref="U1" authorId="0">
      <text>
        <r>
          <rPr>
            <sz val="10"/>
            <rFont val="Arial"/>
            <family val="2"/>
          </rPr>
          <t xml:space="preserve">For a _CERTS virtual account: the Electricity [kWh] on its source account in the same month. The two must be equal - the virtual meter copies its source at 100%.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1" authorId="0">
      <text>
        <r>
          <rPr>
            <sz val="10"/>
            <rFont val="Arial"/>
            <family val="2"/>
          </rPr>
          <t xml:space="preserve">Pick from the list. Yellow cells are the ones I update by hand; the rest are formulas over the Accounts tab.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Approximate effect on the July RTS figure: positive = the figure is overstated by this much, negative = understated. Rounded from the Accounts tab.</t>
        </r>
      </text>
    </comment>
  </commentList>
</comments>
</file>

<file path=xl/sharedStrings.xml><?xml version="1.0" encoding="utf-8"?>
<sst xmlns="http://schemas.openxmlformats.org/spreadsheetml/2006/main" count="1372" uniqueCount="197">
  <si>
    <t xml:space="preserve">RTS - market-based electricity check, Mar-Aug 26</t>
  </si>
  <si>
    <t xml:space="preserve">Source: Envizi electricity export taken 6 Sep 26 (Electricity Data as of 060926.xlsx), accounts only, Level 3 Group = Rail &amp; Transit Systems (RTS). Chart figures are the Scope 1 &amp; 2 monthly values read off the GHG Emissions YTD dashboard.</t>
  </si>
  <si>
    <t xml:space="preserve">Reconciliation to the dashboard (tCO2e)</t>
  </si>
  <si>
    <t xml:space="preserve">Line</t>
  </si>
  <si>
    <t xml:space="preserve">Mar 26</t>
  </si>
  <si>
    <t xml:space="preserve">Apr 26</t>
  </si>
  <si>
    <t xml:space="preserve">May 26</t>
  </si>
  <si>
    <t xml:space="preserve">Jun 26</t>
  </si>
  <si>
    <t xml:space="preserve">Jul 26</t>
  </si>
  <si>
    <t xml:space="preserve">Aug 26</t>
  </si>
  <si>
    <t xml:space="preserve">Basis</t>
  </si>
  <si>
    <t xml:space="preserve">Electricity - location-based Scope 2</t>
  </si>
  <si>
    <t xml:space="preserve">Scope 2 reported, all RTS electricity accounts</t>
  </si>
  <si>
    <t xml:space="preserve">Certificates and renewable deductions (Other)</t>
  </si>
  <si>
    <t xml:space="preserve">Other reported - the _CERTS virtual accounts and the Victorian 100% renewable deductions</t>
  </si>
  <si>
    <t xml:space="preserve">Electricity - market-based (Scope 2 + Other)</t>
  </si>
  <si>
    <t xml:space="preserve">What the certificates leave to report</t>
  </si>
  <si>
    <t xml:space="preserve">Dashboard Scope 1 &amp; 2 (market-based)</t>
  </si>
  <si>
    <t xml:space="preserve">Read off the chart; blank where the chart has no bar yet</t>
  </si>
  <si>
    <t xml:space="preserve">Dashboard less market-based electricity</t>
  </si>
  <si>
    <t xml:space="preserve">The non-electricity balance the dashboard implies (Scope 1 and anything else). Steady at ~99 t Mar-May and 70 t in Jun; 762 t in Jul</t>
  </si>
  <si>
    <t xml:space="preserve">Dashboard less location-based electricity</t>
  </si>
  <si>
    <t xml:space="preserve">Same test with no certificate credit at all</t>
  </si>
  <si>
    <t xml:space="preserve">Blue on yellow = typed in from the chart. Everything else is a formula over the Accounts tab.</t>
  </si>
  <si>
    <t xml:space="preserve">Market-based electricity by RTS location (Scope 2 + Other, tCO2e)</t>
  </si>
  <si>
    <t xml:space="preserve">Location</t>
  </si>
  <si>
    <t xml:space="preserve">Jul less Jun</t>
  </si>
  <si>
    <t xml:space="preserve">Auburn</t>
  </si>
  <si>
    <t xml:space="preserve">Calder Park Light Service Facility</t>
  </si>
  <si>
    <t xml:space="preserve">Cardiff - Rail</t>
  </si>
  <si>
    <t xml:space="preserve">HCMT -  East Pakenham Depot</t>
  </si>
  <si>
    <t xml:space="preserve">Maryborough</t>
  </si>
  <si>
    <t xml:space="preserve">N01 Anzac Square - Terrica Place</t>
  </si>
  <si>
    <t xml:space="preserve">Torbanlea - QTMP</t>
  </si>
  <si>
    <t xml:space="preserve">WTP Mobile Tech Hornsby</t>
  </si>
  <si>
    <t xml:space="preserve">Total RTS</t>
  </si>
  <si>
    <t xml:space="preserve">Red = a location netting below zero (over-credited). Amber = July more than 20 t above June.</t>
  </si>
  <si>
    <t xml:space="preserve">What I found</t>
  </si>
  <si>
    <t xml:space="preserve">1. The three RTS virtual certificate accounts (Auburn x2, Maryborough QGGG000010) are calculating as set up: each mirrors its source kWh exactly in July and August, opened 1 Jul 26, no June row, and CO2e = kWh x factor. See Accounts, Check column.</t>
  </si>
  <si>
    <t xml:space="preserve">2. Market-based electricity for RTS FELL in July, from 471.9 t (Jun) to 166.3 t, because those three accounts started crediting on 1 July. The July spike on the dashboard is not coming from the market-based electricity as it stands in the 6 Sep export.</t>
  </si>
  <si>
    <t xml:space="preserve">3. Best fit for the 928 t: the dashboard was refreshed while the old CS Energy accounts at Maryborough (1003077, 1003082) and Torbanlea (1003571) still had no Replaced On and were accruing July (~165 + 7 + 110 = ~282 t) on top of the Engie actuals, and before the certificate accounts were linked. 739 (location-based) + 282 - 171 (HCMT deduction) + ~70-99 non-electricity = 920-950 t. The CS Energy accounts were closed at 30 Jun 26 between the 3 Sep and 5 Sep extracts, so a refresh should clear it. Scope 1 is not in this repo, so I cannot rule out a genuine July scope 1 movement - check gas and fuel for RTS if the refresh does not clear it.</t>
  </si>
  <si>
    <t xml:space="preserve">4. All three certificate accounts are on 24-25 LGC factors (NSW -0.66, QLD -0.71) against electricity on 25-26 (0.64, 0.67), so each site nets slightly below zero: Auburn -6.2 t, Maryborough -11 t before the foundry issue. Needs the 25-26 LGC factors (already open).</t>
  </si>
  <si>
    <t xml:space="preserve">5. Maryborough is over-credited by ~95 t a month. The certificate account copies the gross NMI figure (277,212 kWh) but the location nets out the CQMS foundry deduction (-141,380 kWh), so the location reports -103 t in July and -106 t in August. Either the virtual meter follows the net figure or the deduction stops - a Category Management call, and material to the RTS number.</t>
  </si>
  <si>
    <t xml:space="preserve">6. Maryborough QGGG000320 has nothing recording since 30 Jun 26 (no Engie account yet). The interval meter reads 12,413 kWh in July and 10,262 in August, about 8 t and 7 t of uncounted location-based emissions.</t>
  </si>
  <si>
    <t xml:space="preserve">7. Torbanlea - QTMP is a named exclusion, so no certificate account is correct. Its Engie account's first bill is 248,502 kWh for July, 51% above June's 164,454 and well above August's 170,055 - worth confirming the bill period with Engie before relying on July.</t>
  </si>
  <si>
    <t xml:space="preserve">8. Two meter oddities at Auburn that do not affect the account-based emissions: the NEMMCO meter on 4103713125 reads exactly twice the account every month (as Wingfield does), and sub-meter DWR_MSB-5-LATHE reads 601,436 kWh in July against 3 kWh in June - about 385 t at the NSW factor, which is almost exactly the dashboard's June-to-July increase. If the dashboard reads meters as well as accounts, that is the spike.</t>
  </si>
  <si>
    <t xml:space="preserve">9. Cardiff - Rail (CleanPeak, small market), HCMT, Calder Park, Anzac Square and Hornsby are not in the renewal register. HCMT and Calder Park net to zero through their Victorian 100% renewable deductions on the 25-26 factor, which is correct.</t>
  </si>
  <si>
    <t xml:space="preserve">Account</t>
  </si>
  <si>
    <t xml:space="preserve">Account Style</t>
  </si>
  <si>
    <t xml:space="preserve">Data Type</t>
  </si>
  <si>
    <t xml:space="preserve">Supplier</t>
  </si>
  <si>
    <t xml:space="preserve">Opened On</t>
  </si>
  <si>
    <t xml:space="preserve">Replaced On</t>
  </si>
  <si>
    <t xml:space="preserve">Month</t>
  </si>
  <si>
    <t xml:space="preserve">kWh</t>
  </si>
  <si>
    <t xml:space="preserve">Actual %</t>
  </si>
  <si>
    <t xml:space="preserve">Accrued %</t>
  </si>
  <si>
    <t xml:space="preserve">Factor Name</t>
  </si>
  <si>
    <t xml:space="preserve">Factor (kg/kWh)</t>
  </si>
  <si>
    <t xml:space="preserve">Scope 2 reported (t)</t>
  </si>
  <si>
    <t xml:space="preserve">Other reported (t)</t>
  </si>
  <si>
    <t xml:space="preserve">Total reported (t)</t>
  </si>
  <si>
    <t xml:space="preserve">Expected (t) = kWh x factor</t>
  </si>
  <si>
    <t xml:space="preserve">Variance (t)</t>
  </si>
  <si>
    <t xml:space="preserve">Factor vintage</t>
  </si>
  <si>
    <t xml:space="preserve">Source account</t>
  </si>
  <si>
    <t xml:space="preserve">Source kWh</t>
  </si>
  <si>
    <t xml:space="preserve">Mirror check</t>
  </si>
  <si>
    <t xml:space="preserve">Check</t>
  </si>
  <si>
    <t xml:space="preserve">50002617957_4103713125</t>
  </si>
  <si>
    <t xml:space="preserve">Electricity Large Market</t>
  </si>
  <si>
    <t xml:space="preserve">Electricity - Green [kWh]</t>
  </si>
  <si>
    <t xml:space="preserve">Origin</t>
  </si>
  <si>
    <t xml:space="preserve">2020-07-01</t>
  </si>
  <si>
    <t xml:space="preserve">77 - Electricity Green - 25-26 - New South Wales</t>
  </si>
  <si>
    <t xml:space="preserve">Electricity [kWh]</t>
  </si>
  <si>
    <t xml:space="preserve">77 - Electricity - 25-26 - New South Wales</t>
  </si>
  <si>
    <t xml:space="preserve">50002617957_4103713125_CERTS</t>
  </si>
  <si>
    <t xml:space="preserve">Certificates - Location - kWh</t>
  </si>
  <si>
    <t xml:space="preserve">Certificates - Location [kWh]</t>
  </si>
  <si>
    <t xml:space="preserve">LGC Virtual Account</t>
  </si>
  <si>
    <t xml:space="preserve">2026-07-01</t>
  </si>
  <si>
    <t xml:space="preserve">LGCs NSW 24-25</t>
  </si>
  <si>
    <t xml:space="preserve">50002617965_4103711576</t>
  </si>
  <si>
    <t xml:space="preserve">50002617965_4103711576_CERTS</t>
  </si>
  <si>
    <t xml:space="preserve">Calder Park 100% Renewable Electricity</t>
  </si>
  <si>
    <t xml:space="preserve">SEC VIC</t>
  </si>
  <si>
    <t xml:space="preserve">2025-07-01</t>
  </si>
  <si>
    <t xml:space="preserve">LGCs Victoria 25-26</t>
  </si>
  <si>
    <t xml:space="preserve">Grid Electricity</t>
  </si>
  <si>
    <t xml:space="preserve">Electricity – purchased from grid [kWh]</t>
  </si>
  <si>
    <t xml:space="preserve">Downer</t>
  </si>
  <si>
    <t xml:space="preserve">2026-01-01</t>
  </si>
  <si>
    <t xml:space="preserve">78 - Electricity - 25-26 - Victoria</t>
  </si>
  <si>
    <t xml:space="preserve">700000536_ZZZZ001261</t>
  </si>
  <si>
    <t xml:space="preserve">Electricity Small Market</t>
  </si>
  <si>
    <t xml:space="preserve">CleanPeakEnergy</t>
  </si>
  <si>
    <t xml:space="preserve">Cardiff solar PV_consumed</t>
  </si>
  <si>
    <t xml:space="preserve">Electricity consumption-not from the grid [kWh]</t>
  </si>
  <si>
    <t xml:space="preserve">Electricity - not from grid [kWh]</t>
  </si>
  <si>
    <t xml:space="preserve">2018-08-15</t>
  </si>
  <si>
    <t xml:space="preserve">Electricity (not from grid) Energy Commodity</t>
  </si>
  <si>
    <t xml:space="preserve">Tenant 700000536_ZZZZ001261</t>
  </si>
  <si>
    <t xml:space="preserve">68_Electricity consumption - not from the grid</t>
  </si>
  <si>
    <t xml:space="preserve">2020-07-02</t>
  </si>
  <si>
    <t xml:space="preserve">68_Electricity – purchased from grid</t>
  </si>
  <si>
    <t xml:space="preserve">HCMT 100% Renewable Deduction</t>
  </si>
  <si>
    <t xml:space="preserve">1003077_QGGG000010</t>
  </si>
  <si>
    <t xml:space="preserve">CSEnergy</t>
  </si>
  <si>
    <t xml:space="preserve">2026-04-01</t>
  </si>
  <si>
    <t xml:space="preserve">2026-06-30</t>
  </si>
  <si>
    <t xml:space="preserve">79 - Electricity Green - 25-26 - Queensland</t>
  </si>
  <si>
    <t xml:space="preserve">79 - Electricity - 25-26 - Queensland</t>
  </si>
  <si>
    <t xml:space="preserve">1003082_QGGG000320</t>
  </si>
  <si>
    <t xml:space="preserve">5000021_QGGG000010</t>
  </si>
  <si>
    <t xml:space="preserve">2026-03-31</t>
  </si>
  <si>
    <t xml:space="preserve">5000021_QGGG000320</t>
  </si>
  <si>
    <t xml:space="preserve">900018200_QGGG000010</t>
  </si>
  <si>
    <t xml:space="preserve">EngieAU</t>
  </si>
  <si>
    <t xml:space="preserve">900018200_QGGG000010_CERTS</t>
  </si>
  <si>
    <t xml:space="preserve">LGCs QLD 24-25</t>
  </si>
  <si>
    <t xml:space="preserve">A-011B63B4_3041781236</t>
  </si>
  <si>
    <t xml:space="preserve">Ergon</t>
  </si>
  <si>
    <t xml:space="preserve">A-86AEAE2C_3041512332</t>
  </si>
  <si>
    <t xml:space="preserve">2026-03-08</t>
  </si>
  <si>
    <t xml:space="preserve">electricity deduction_CQMS foundry meter_Maryborou</t>
  </si>
  <si>
    <t xml:space="preserve">141362_153568</t>
  </si>
  <si>
    <t xml:space="preserve">1003571_3053253239</t>
  </si>
  <si>
    <t xml:space="preserve">5000021_3053253239</t>
  </si>
  <si>
    <t xml:space="preserve">900018201_3053253239</t>
  </si>
  <si>
    <t xml:space="preserve">7093364037_4103512903</t>
  </si>
  <si>
    <t xml:space="preserve">AGL</t>
  </si>
  <si>
    <t xml:space="preserve">NMI</t>
  </si>
  <si>
    <t xml:space="preserve">Register decision</t>
  </si>
  <si>
    <t xml:space="preserve">Contracted retailer</t>
  </si>
  <si>
    <t xml:space="preserve">Source account (Jul 26)</t>
  </si>
  <si>
    <t xml:space="preserve">Source style</t>
  </si>
  <si>
    <t xml:space="preserve">Certificate account</t>
  </si>
  <si>
    <t xml:space="preserve">Built?</t>
  </si>
  <si>
    <t xml:space="preserve">Factor on certificate</t>
  </si>
  <si>
    <t xml:space="preserve">Electricity factor</t>
  </si>
  <si>
    <t xml:space="preserve">Jul 26 kWh (source)</t>
  </si>
  <si>
    <t xml:space="preserve">Jul 26 location-based (t)</t>
  </si>
  <si>
    <t xml:space="preserve">Jul 26 certificate credit (t)</t>
  </si>
  <si>
    <t xml:space="preserve">Jul 26 location market-based (t)</t>
  </si>
  <si>
    <t xml:space="preserve">Status</t>
  </si>
  <si>
    <t xml:space="preserve">Note</t>
  </si>
  <si>
    <t xml:space="preserve">4103713125</t>
  </si>
  <si>
    <t xml:space="preserve">Create - virtual certificate account</t>
  </si>
  <si>
    <t xml:space="preserve">Mirrors source. On the 24-25 LGC factor, so it over-offsets by ~3% (-5.7 t in July).</t>
  </si>
  <si>
    <t xml:space="preserve">4103711576</t>
  </si>
  <si>
    <t xml:space="preserve">Mirrors source. Same factor vintage issue (-0.5 t in July). Usage fell from 204,615 kWh in Mar to 3,263 in May and is 26,500 in Jul.</t>
  </si>
  <si>
    <t xml:space="preserve">QGGG000010</t>
  </si>
  <si>
    <t xml:space="preserve">Engie</t>
  </si>
  <si>
    <t xml:space="preserve">Over-credited</t>
  </si>
  <si>
    <t xml:space="preserve">Mirrors the gross NMI figure. The CQMS foundry deduction (-141,380 kWh) sits at the same location, so the site nets to about -103 t. Gross vs net is the open Category Management question. Also on the 24-25 factor (-0.71 vs 0.67).</t>
  </si>
  <si>
    <t xml:space="preserve">QGGG000320</t>
  </si>
  <si>
    <t xml:space="preserve">Hold - no open account on the NMI</t>
  </si>
  <si>
    <t xml:space="preserve">Nothing recording</t>
  </si>
  <si>
    <t xml:space="preserve">CS Energy account 1003082 closed 30 Jun 26, no Engie account yet. Meter reads 12,413 kWh in July and 10,262 in August - uncounted.</t>
  </si>
  <si>
    <t xml:space="preserve">3053253239</t>
  </si>
  <si>
    <t xml:space="preserve">Exclude - named site (QTMP)</t>
  </si>
  <si>
    <t xml:space="preserve">Confirm bill</t>
  </si>
  <si>
    <t xml:space="preserve">No certificate account is correct for a named exclusion. July's Engie bill is 248,502 kWh against 164,454 in June and 170,055 in August - confirm the bill period. Old CS Energy account 1003571 closed 30 Jun 26 in the 5 Sep extract.</t>
  </si>
  <si>
    <t xml:space="preserve">ZZZZ001261</t>
  </si>
  <si>
    <t xml:space="preserve">Not in the renewal register</t>
  </si>
  <si>
    <t xml:space="preserve">CleanPeak</t>
  </si>
  <si>
    <t xml:space="preserve">OK</t>
  </si>
  <si>
    <t xml:space="preserve">Small market on CleanPeak, tenant deduction of -104,582 kWh in July. Location-based only; nothing to check for certificates.</t>
  </si>
  <si>
    <t xml:space="preserve">Purchased from grid</t>
  </si>
  <si>
    <t xml:space="preserve">Deduction mirrors the grid account and the factor vintages match, so the site nets to zero every month. Correct.</t>
  </si>
  <si>
    <t xml:space="preserve">As HCMT. Nets to zero. Correct.</t>
  </si>
  <si>
    <t xml:space="preserve">Rows 2-6 are the five RTS rows in the FY26-28 renewal site register; rows 7-9 are the other RTS locations with electricity in the export. Yellow = hand-maintained status. Everything numeric is a formula over the Accounts tab.</t>
  </si>
  <si>
    <t xml:space="preserve">#</t>
  </si>
  <si>
    <t xml:space="preserve">Issue</t>
  </si>
  <si>
    <t xml:space="preserve">Effect on July (tCO2e)</t>
  </si>
  <si>
    <t xml:space="preserve">Action</t>
  </si>
  <si>
    <t xml:space="preserve">Owner</t>
  </si>
  <si>
    <t xml:space="preserve">Notes</t>
  </si>
  <si>
    <t xml:space="preserve">Dashboard</t>
  </si>
  <si>
    <t xml:space="preserve">July 928 t does not reconcile to the market-based electricity in the 6 Sep export (166 t). Best fit is a refresh taken while the CS Energy accounts at Maryborough and Torbanlea were still accruing July alongside the Engie actuals, before the certificate accounts were linked.</t>
  </si>
  <si>
    <t xml:space="preserve">Refresh the dashboard from current data. If July stays high, pull RTS scope 1 (gas, fuel) for July - it is not in this repo.</t>
  </si>
  <si>
    <t xml:space="preserve">Open</t>
  </si>
  <si>
    <t xml:space="preserve">Certificate account 900018200_QGGG000010_CERTS copies the gross NMI figure while the CQMS foundry deduction nets ~141,000 kWh off the location, so Maryborough reports about -103 t.</t>
  </si>
  <si>
    <t xml:space="preserve">Category Management to confirm whether certificates are bought for the gross NMI or Downer's net share. If net, repoint the virtual meter or add a matching deduction on the certificate side.</t>
  </si>
  <si>
    <t xml:space="preserve">Auburn / Maryborough</t>
  </si>
  <si>
    <t xml:space="preserve">Certificate accounts sit on LGCs NSW 24-25 (-0.66) and LGCs QLD 24-25 (-0.71) against electricity on 25-26 (0.64, 0.67).</t>
  </si>
  <si>
    <t xml:space="preserve">Add or map the 25-26 LGC factors for NSW and QLD (prompt 3 in the guide) and move the three accounts onto them.</t>
  </si>
  <si>
    <t xml:space="preserve">QGGG000320: CS Energy account closed 30 Jun 26, no Engie account yet, so nothing is recording July or August. Meter shows 12,413 and 10,262 kWh.</t>
  </si>
  <si>
    <t xml:space="preserve">Chase the Engie account for QGGG000320 through the connector, then allocate it to Maryborough.</t>
  </si>
  <si>
    <t xml:space="preserve">Engie's first bill on 900018201_3053253239 is 248,502 kWh for July, 51% above June and 46% above August.</t>
  </si>
  <si>
    <t xml:space="preserve">Confirm the July bill period with Engie or Category Management; if it covers late June, split it.</t>
  </si>
  <si>
    <t xml:space="preserve">Sub-meter DWR_MSB-5-LATHE reads 601,436 kWh in July (3 kWh in June), about 385 t at the NSW factor. Meters carry no CO2e in the account export, but this matches the dashboard's June-to-July increase almost exactly.</t>
  </si>
  <si>
    <t xml:space="preserve">Check whether the RTS dashboard sums meters as well as accounts. Either way the sub-meter reading is a fault and should be raised with the Watt Watcher / metering provider.</t>
  </si>
  <si>
    <t xml:space="preserve">NEMMCO meter 4103713125 reads twice the Origin account every month (567,561 vs 283,780 kWh in July) - the Wingfield pattern.</t>
  </si>
  <si>
    <t xml:space="preserve">Note only; no effect on account-based emissions. Raise with metering if the meter is ever used for reporting.</t>
  </si>
  <si>
    <t xml:space="preserve">Yellow = fill in as each item moves. Status is a list.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</si>
</sst>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;\(#,##0.0\);\-"/>
    <numFmt numFmtId="166" formatCode="#,##0"/>
    <numFmt numFmtId="167" formatCode="0.00"/>
    <numFmt numFmtId="168" formatCode="#,##0.00;\(#,##0.00\);\-"/>
    <numFmt numFmtId="169" formatCode="#,##0;\(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0</v>
      </c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s">
        <v>11</v>
      </c>
      <c r="B6" s="6" t="n">
        <f aca="false">SUMIFS(Accounts!$N:$N,Accounts!$H:$H,"Mar 26")</f>
        <v>666.9819</v>
      </c>
      <c r="C6" s="6" t="n">
        <f aca="false">SUMIFS(Accounts!$N:$N,Accounts!$H:$H,"Apr 26")</f>
        <v>588.6631</v>
      </c>
      <c r="D6" s="6" t="n">
        <f aca="false">SUMIFS(Accounts!$N:$N,Accounts!$H:$H,"May 26")</f>
        <v>672.4683</v>
      </c>
      <c r="E6" s="6" t="n">
        <f aca="false">SUMIFS(Accounts!$N:$N,Accounts!$H:$H,"Jun 26")</f>
        <v>634.6193</v>
      </c>
      <c r="F6" s="6" t="n">
        <f aca="false">SUMIFS(Accounts!$N:$N,Accounts!$H:$H,"Jul 26")</f>
        <v>739.0282</v>
      </c>
      <c r="G6" s="6" t="n">
        <f aca="false">SUMIFS(Accounts!$N:$N,Accounts!$H:$H,"Aug 26")</f>
        <v>664.4571</v>
      </c>
      <c r="H6" s="7" t="s">
        <v>12</v>
      </c>
    </row>
    <row r="7" customFormat="false" ht="15" hidden="false" customHeight="false" outlineLevel="0" collapsed="false">
      <c r="A7" s="5" t="s">
        <v>13</v>
      </c>
      <c r="B7" s="6" t="n">
        <f aca="false">SUMIFS(Accounts!$O:$O,Accounts!$H:$H,"Mar 26")</f>
        <v>-140.7324</v>
      </c>
      <c r="C7" s="6" t="n">
        <f aca="false">SUMIFS(Accounts!$O:$O,Accounts!$H:$H,"Apr 26")</f>
        <v>-143.8634</v>
      </c>
      <c r="D7" s="6" t="n">
        <f aca="false">SUMIFS(Accounts!$O:$O,Accounts!$H:$H,"May 26")</f>
        <v>-159.2594</v>
      </c>
      <c r="E7" s="6" t="n">
        <f aca="false">SUMIFS(Accounts!$O:$O,Accounts!$H:$H,"Jun 26")</f>
        <v>-162.7664</v>
      </c>
      <c r="F7" s="6" t="n">
        <f aca="false">SUMIFS(Accounts!$O:$O,Accounts!$H:$H,"Jul 26")</f>
        <v>-572.7214</v>
      </c>
      <c r="G7" s="6" t="n">
        <f aca="false">SUMIFS(Accounts!$O:$O,Accounts!$H:$H,"Aug 26")</f>
        <v>-554.682</v>
      </c>
      <c r="H7" s="7" t="s">
        <v>14</v>
      </c>
    </row>
    <row r="8" customFormat="false" ht="15" hidden="false" customHeight="false" outlineLevel="0" collapsed="false">
      <c r="A8" s="5" t="s">
        <v>15</v>
      </c>
      <c r="B8" s="6" t="n">
        <f aca="false">B6+B7</f>
        <v>526.2495</v>
      </c>
      <c r="C8" s="6" t="n">
        <f aca="false">C6+C7</f>
        <v>444.7997</v>
      </c>
      <c r="D8" s="6" t="n">
        <f aca="false">D6+D7</f>
        <v>513.2089</v>
      </c>
      <c r="E8" s="6" t="n">
        <f aca="false">E6+E7</f>
        <v>471.8529</v>
      </c>
      <c r="F8" s="6" t="n">
        <f aca="false">F6+F7</f>
        <v>166.3068</v>
      </c>
      <c r="G8" s="6" t="n">
        <f aca="false">G6+G7</f>
        <v>109.7751</v>
      </c>
      <c r="H8" s="7" t="s">
        <v>16</v>
      </c>
    </row>
    <row r="9" customFormat="false" ht="15" hidden="false" customHeight="false" outlineLevel="0" collapsed="false">
      <c r="A9" s="5" t="s">
        <v>17</v>
      </c>
      <c r="B9" s="8" t="n">
        <v>625.05</v>
      </c>
      <c r="C9" s="8" t="n">
        <v>543.82</v>
      </c>
      <c r="D9" s="8" t="n">
        <v>612.33</v>
      </c>
      <c r="E9" s="8" t="n">
        <v>542.12</v>
      </c>
      <c r="F9" s="8" t="n">
        <v>928.48</v>
      </c>
      <c r="G9" s="8"/>
      <c r="H9" s="7" t="s">
        <v>18</v>
      </c>
    </row>
    <row r="10" customFormat="false" ht="39.75" hidden="false" customHeight="true" outlineLevel="0" collapsed="false">
      <c r="A10" s="5" t="s">
        <v>19</v>
      </c>
      <c r="B10" s="6" t="n">
        <f aca="false">IF(B9="","",B9-B8)</f>
        <v>98.8004999999999</v>
      </c>
      <c r="C10" s="6" t="n">
        <f aca="false">IF(C9="","",C9-C8)</f>
        <v>99.0203</v>
      </c>
      <c r="D10" s="6" t="n">
        <f aca="false">IF(D9="","",D9-D8)</f>
        <v>99.1211000000001</v>
      </c>
      <c r="E10" s="6" t="n">
        <f aca="false">IF(E9="","",E9-E8)</f>
        <v>70.2670999999999</v>
      </c>
      <c r="F10" s="6" t="n">
        <f aca="false">IF(F9="","",F9-F8)</f>
        <v>762.1732</v>
      </c>
      <c r="G10" s="6" t="str">
        <f aca="false">IF(G9="","",G9-G8)</f>
        <v/>
      </c>
      <c r="H10" s="7" t="s">
        <v>20</v>
      </c>
    </row>
    <row r="11" customFormat="false" ht="15" hidden="false" customHeight="false" outlineLevel="0" collapsed="false">
      <c r="A11" s="5" t="s">
        <v>21</v>
      </c>
      <c r="B11" s="6" t="n">
        <f aca="false">IF(B9="","",B9-B6)</f>
        <v>-41.9319</v>
      </c>
      <c r="C11" s="6" t="n">
        <f aca="false">IF(C9="","",C9-C6)</f>
        <v>-44.8430999999999</v>
      </c>
      <c r="D11" s="6" t="n">
        <f aca="false">IF(D9="","",D9-D6)</f>
        <v>-60.1383</v>
      </c>
      <c r="E11" s="6" t="n">
        <f aca="false">IF(E9="","",E9-E6)</f>
        <v>-92.4993000000001</v>
      </c>
      <c r="F11" s="6" t="n">
        <f aca="false">IF(F9="","",F9-F6)</f>
        <v>189.4518</v>
      </c>
      <c r="G11" s="6" t="str">
        <f aca="false">IF(G9="","",G9-G6)</f>
        <v/>
      </c>
      <c r="H11" s="7" t="s">
        <v>22</v>
      </c>
    </row>
    <row r="12" customFormat="false" ht="15" hidden="false" customHeight="false" outlineLevel="0" collapsed="false">
      <c r="A12" s="9" t="s">
        <v>23</v>
      </c>
    </row>
    <row r="14" customFormat="false" ht="15" hidden="false" customHeight="false" outlineLevel="0" collapsed="false">
      <c r="A14" s="3" t="s">
        <v>24</v>
      </c>
    </row>
    <row r="15" customFormat="false" ht="31.5" hidden="false" customHeight="true" outlineLevel="0" collapsed="false">
      <c r="A15" s="4" t="s">
        <v>25</v>
      </c>
      <c r="B15" s="4" t="s">
        <v>4</v>
      </c>
      <c r="C15" s="4" t="s">
        <v>5</v>
      </c>
      <c r="D15" s="4" t="s">
        <v>6</v>
      </c>
      <c r="E15" s="4" t="s">
        <v>7</v>
      </c>
      <c r="F15" s="4" t="s">
        <v>8</v>
      </c>
      <c r="G15" s="4" t="s">
        <v>9</v>
      </c>
      <c r="H15" s="4" t="s">
        <v>26</v>
      </c>
    </row>
    <row r="16" customFormat="false" ht="15" hidden="false" customHeight="false" outlineLevel="0" collapsed="false">
      <c r="A16" s="5" t="s">
        <v>27</v>
      </c>
      <c r="B16" s="6" t="n">
        <f aca="false">SUMIFS(Accounts!$P:$P,Accounts!$A:$A,$A16,Accounts!$H:$H,"Mar 26")</f>
        <v>246.5736</v>
      </c>
      <c r="C16" s="6" t="n">
        <f aca="false">SUMIFS(Accounts!$P:$P,Accounts!$A:$A,$A16,Accounts!$H:$H,"Apr 26")</f>
        <v>187.5642</v>
      </c>
      <c r="D16" s="6" t="n">
        <f aca="false">SUMIFS(Accounts!$P:$P,Accounts!$A:$A,$A16,Accounts!$H:$H,"May 26")</f>
        <v>224.4885</v>
      </c>
      <c r="E16" s="6" t="n">
        <f aca="false">SUMIFS(Accounts!$P:$P,Accounts!$A:$A,$A16,Accounts!$H:$H,"Jun 26")</f>
        <v>179.1822</v>
      </c>
      <c r="F16" s="6" t="n">
        <f aca="false">SUMIFS(Accounts!$P:$P,Accounts!$A:$A,$A16,Accounts!$H:$H,"Jul 26")</f>
        <v>-6.20569999999998</v>
      </c>
      <c r="G16" s="6" t="n">
        <f aca="false">SUMIFS(Accounts!$P:$P,Accounts!$A:$A,$A16,Accounts!$H:$H,"Aug 26")</f>
        <v>-5.76159999999999</v>
      </c>
      <c r="H16" s="6" t="n">
        <f aca="false">F16-E16</f>
        <v>-185.3879</v>
      </c>
    </row>
    <row r="17" customFormat="false" ht="15" hidden="false" customHeight="false" outlineLevel="0" collapsed="false">
      <c r="A17" s="5" t="s">
        <v>28</v>
      </c>
      <c r="B17" s="6" t="n">
        <f aca="false">SUMIFS(Accounts!$P:$P,Accounts!$A:$A,$A17,Accounts!$H:$H,"Mar 26")</f>
        <v>0</v>
      </c>
      <c r="C17" s="6" t="n">
        <f aca="false">SUMIFS(Accounts!$P:$P,Accounts!$A:$A,$A17,Accounts!$H:$H,"Apr 26")</f>
        <v>0</v>
      </c>
      <c r="D17" s="6" t="n">
        <f aca="false">SUMIFS(Accounts!$P:$P,Accounts!$A:$A,$A17,Accounts!$H:$H,"May 26")</f>
        <v>0</v>
      </c>
      <c r="E17" s="6" t="n">
        <f aca="false">SUMIFS(Accounts!$P:$P,Accounts!$A:$A,$A17,Accounts!$H:$H,"Jun 26")</f>
        <v>0</v>
      </c>
      <c r="F17" s="6" t="n">
        <f aca="false">SUMIFS(Accounts!$P:$P,Accounts!$A:$A,$A17,Accounts!$H:$H,"Jul 26")</f>
        <v>0</v>
      </c>
      <c r="G17" s="6" t="n">
        <f aca="false">SUMIFS(Accounts!$P:$P,Accounts!$A:$A,$A17,Accounts!$H:$H,"Aug 26")</f>
        <v>0</v>
      </c>
      <c r="H17" s="6" t="n">
        <f aca="false">F17-E17</f>
        <v>0</v>
      </c>
    </row>
    <row r="18" customFormat="false" ht="15" hidden="false" customHeight="false" outlineLevel="0" collapsed="false">
      <c r="A18" s="5" t="s">
        <v>29</v>
      </c>
      <c r="B18" s="6" t="n">
        <f aca="false">SUMIFS(Accounts!$P:$P,Accounts!$A:$A,$A18,Accounts!$H:$H,"Mar 26")</f>
        <v>86.9036</v>
      </c>
      <c r="C18" s="6" t="n">
        <f aca="false">SUMIFS(Accounts!$P:$P,Accounts!$A:$A,$A18,Accounts!$H:$H,"Apr 26")</f>
        <v>78.3171</v>
      </c>
      <c r="D18" s="6" t="n">
        <f aca="false">SUMIFS(Accounts!$P:$P,Accounts!$A:$A,$A18,Accounts!$H:$H,"May 26")</f>
        <v>86.5881</v>
      </c>
      <c r="E18" s="6" t="n">
        <f aca="false">SUMIFS(Accounts!$P:$P,Accounts!$A:$A,$A18,Accounts!$H:$H,"Jun 26")</f>
        <v>86.814</v>
      </c>
      <c r="F18" s="6" t="n">
        <f aca="false">SUMIFS(Accounts!$P:$P,Accounts!$A:$A,$A18,Accounts!$H:$H,"Jul 26")</f>
        <v>98.7423</v>
      </c>
      <c r="G18" s="6" t="n">
        <f aca="false">SUMIFS(Accounts!$P:$P,Accounts!$A:$A,$A18,Accounts!$H:$H,"Aug 26")</f>
        <v>97.4596</v>
      </c>
      <c r="H18" s="6" t="n">
        <f aca="false">F18-E18</f>
        <v>11.9283</v>
      </c>
    </row>
    <row r="19" customFormat="false" ht="15" hidden="false" customHeight="false" outlineLevel="0" collapsed="false">
      <c r="A19" s="5" t="s">
        <v>30</v>
      </c>
      <c r="B19" s="6" t="n">
        <f aca="false">SUMIFS(Accounts!$P:$P,Accounts!$A:$A,$A19,Accounts!$H:$H,"Mar 26")</f>
        <v>0</v>
      </c>
      <c r="C19" s="6" t="n">
        <f aca="false">SUMIFS(Accounts!$P:$P,Accounts!$A:$A,$A19,Accounts!$H:$H,"Apr 26")</f>
        <v>0</v>
      </c>
      <c r="D19" s="6" t="n">
        <f aca="false">SUMIFS(Accounts!$P:$P,Accounts!$A:$A,$A19,Accounts!$H:$H,"May 26")</f>
        <v>0</v>
      </c>
      <c r="E19" s="6" t="n">
        <f aca="false">SUMIFS(Accounts!$P:$P,Accounts!$A:$A,$A19,Accounts!$H:$H,"Jun 26")</f>
        <v>0</v>
      </c>
      <c r="F19" s="6" t="n">
        <f aca="false">SUMIFS(Accounts!$P:$P,Accounts!$A:$A,$A19,Accounts!$H:$H,"Jul 26")</f>
        <v>0</v>
      </c>
      <c r="G19" s="6" t="n">
        <f aca="false">SUMIFS(Accounts!$P:$P,Accounts!$A:$A,$A19,Accounts!$H:$H,"Aug 26")</f>
        <v>0</v>
      </c>
      <c r="H19" s="6" t="n">
        <f aca="false">F19-E19</f>
        <v>0</v>
      </c>
    </row>
    <row r="20" customFormat="false" ht="15" hidden="false" customHeight="false" outlineLevel="0" collapsed="false">
      <c r="A20" s="5" t="s">
        <v>31</v>
      </c>
      <c r="B20" s="6" t="n">
        <f aca="false">SUMIFS(Accounts!$P:$P,Accounts!$A:$A,$A20,Accounts!$H:$H,"Mar 26")</f>
        <v>113.1038</v>
      </c>
      <c r="C20" s="6" t="n">
        <f aca="false">SUMIFS(Accounts!$P:$P,Accounts!$A:$A,$A20,Accounts!$H:$H,"Apr 26")</f>
        <v>89.836</v>
      </c>
      <c r="D20" s="6" t="n">
        <f aca="false">SUMIFS(Accounts!$P:$P,Accounts!$A:$A,$A20,Accounts!$H:$H,"May 26")</f>
        <v>98.47</v>
      </c>
      <c r="E20" s="6" t="n">
        <f aca="false">SUMIFS(Accounts!$P:$P,Accounts!$A:$A,$A20,Accounts!$H:$H,"Jun 26")</f>
        <v>85.5732</v>
      </c>
      <c r="F20" s="6" t="n">
        <f aca="false">SUMIFS(Accounts!$P:$P,Accounts!$A:$A,$A20,Accounts!$H:$H,"Jul 26")</f>
        <v>-103.1334</v>
      </c>
      <c r="G20" s="6" t="n">
        <f aca="false">SUMIFS(Accounts!$P:$P,Accounts!$A:$A,$A20,Accounts!$H:$H,"Aug 26")</f>
        <v>-106.1848</v>
      </c>
      <c r="H20" s="6" t="n">
        <f aca="false">F20-E20</f>
        <v>-188.7066</v>
      </c>
    </row>
    <row r="21" customFormat="false" ht="15" hidden="false" customHeight="false" outlineLevel="0" collapsed="false">
      <c r="A21" s="5" t="s">
        <v>32</v>
      </c>
      <c r="B21" s="6" t="n">
        <f aca="false">SUMIFS(Accounts!$P:$P,Accounts!$A:$A,$A21,Accounts!$H:$H,"Mar 26")</f>
        <v>9.4304</v>
      </c>
      <c r="C21" s="6" t="n">
        <f aca="false">SUMIFS(Accounts!$P:$P,Accounts!$A:$A,$A21,Accounts!$H:$H,"Apr 26")</f>
        <v>9.1306</v>
      </c>
      <c r="D21" s="6" t="n">
        <f aca="false">SUMIFS(Accounts!$P:$P,Accounts!$A:$A,$A21,Accounts!$H:$H,"May 26")</f>
        <v>9.1792</v>
      </c>
      <c r="E21" s="6" t="n">
        <f aca="false">SUMIFS(Accounts!$P:$P,Accounts!$A:$A,$A21,Accounts!$H:$H,"Jun 26")</f>
        <v>9.2234</v>
      </c>
      <c r="F21" s="6" t="n">
        <f aca="false">SUMIFS(Accounts!$P:$P,Accounts!$A:$A,$A21,Accounts!$H:$H,"Jul 26")</f>
        <v>9.5024</v>
      </c>
      <c r="G21" s="6" t="n">
        <f aca="false">SUMIFS(Accounts!$P:$P,Accounts!$A:$A,$A21,Accounts!$H:$H,"Aug 26")</f>
        <v>9.453</v>
      </c>
      <c r="H21" s="6" t="n">
        <f aca="false">F21-E21</f>
        <v>0.279</v>
      </c>
    </row>
    <row r="22" customFormat="false" ht="15" hidden="false" customHeight="false" outlineLevel="0" collapsed="false">
      <c r="A22" s="5" t="s">
        <v>33</v>
      </c>
      <c r="B22" s="6" t="n">
        <f aca="false">SUMIFS(Accounts!$P:$P,Accounts!$A:$A,$A22,Accounts!$H:$H,"Mar 26")</f>
        <v>69.8212</v>
      </c>
      <c r="C22" s="6" t="n">
        <f aca="false">SUMIFS(Accounts!$P:$P,Accounts!$A:$A,$A22,Accounts!$H:$H,"Apr 26")</f>
        <v>79.2334</v>
      </c>
      <c r="D22" s="6" t="n">
        <f aca="false">SUMIFS(Accounts!$P:$P,Accounts!$A:$A,$A22,Accounts!$H:$H,"May 26")</f>
        <v>93.578</v>
      </c>
      <c r="E22" s="6" t="n">
        <f aca="false">SUMIFS(Accounts!$P:$P,Accounts!$A:$A,$A22,Accounts!$H:$H,"Jun 26")</f>
        <v>110.1842</v>
      </c>
      <c r="F22" s="6" t="n">
        <f aca="false">SUMIFS(Accounts!$P:$P,Accounts!$A:$A,$A22,Accounts!$H:$H,"Jul 26")</f>
        <v>166.4961</v>
      </c>
      <c r="G22" s="6" t="n">
        <f aca="false">SUMIFS(Accounts!$P:$P,Accounts!$A:$A,$A22,Accounts!$H:$H,"Aug 26")</f>
        <v>113.937</v>
      </c>
      <c r="H22" s="6" t="n">
        <f aca="false">F22-E22</f>
        <v>56.3119</v>
      </c>
    </row>
    <row r="23" customFormat="false" ht="15" hidden="false" customHeight="false" outlineLevel="0" collapsed="false">
      <c r="A23" s="5" t="s">
        <v>34</v>
      </c>
      <c r="B23" s="6" t="n">
        <f aca="false">SUMIFS(Accounts!$P:$P,Accounts!$A:$A,$A23,Accounts!$H:$H,"Mar 26")</f>
        <v>0.4169</v>
      </c>
      <c r="C23" s="6" t="n">
        <f aca="false">SUMIFS(Accounts!$P:$P,Accounts!$A:$A,$A23,Accounts!$H:$H,"Apr 26")</f>
        <v>0.7184</v>
      </c>
      <c r="D23" s="6" t="n">
        <f aca="false">SUMIFS(Accounts!$P:$P,Accounts!$A:$A,$A23,Accounts!$H:$H,"May 26")</f>
        <v>0.9051</v>
      </c>
      <c r="E23" s="6" t="n">
        <f aca="false">SUMIFS(Accounts!$P:$P,Accounts!$A:$A,$A23,Accounts!$H:$H,"Jun 26")</f>
        <v>0.8759</v>
      </c>
      <c r="F23" s="6" t="n">
        <f aca="false">SUMIFS(Accounts!$P:$P,Accounts!$A:$A,$A23,Accounts!$H:$H,"Jul 26")</f>
        <v>0.9051</v>
      </c>
      <c r="G23" s="6" t="n">
        <f aca="false">SUMIFS(Accounts!$P:$P,Accounts!$A:$A,$A23,Accounts!$H:$H,"Aug 26")</f>
        <v>0.8719</v>
      </c>
      <c r="H23" s="6" t="n">
        <f aca="false">F23-E23</f>
        <v>0.0292</v>
      </c>
    </row>
    <row r="24" customFormat="false" ht="15" hidden="false" customHeight="false" outlineLevel="0" collapsed="false">
      <c r="A24" s="10" t="s">
        <v>35</v>
      </c>
      <c r="B24" s="11" t="n">
        <f aca="false">SUM(B16:B23)</f>
        <v>526.2495</v>
      </c>
      <c r="C24" s="11" t="n">
        <f aca="false">SUM(C16:C23)</f>
        <v>444.7997</v>
      </c>
      <c r="D24" s="11" t="n">
        <f aca="false">SUM(D16:D23)</f>
        <v>513.2089</v>
      </c>
      <c r="E24" s="11" t="n">
        <f aca="false">SUM(E16:E23)</f>
        <v>471.8529</v>
      </c>
      <c r="F24" s="11" t="n">
        <f aca="false">SUM(F16:F23)</f>
        <v>166.3068</v>
      </c>
      <c r="G24" s="11" t="n">
        <f aca="false">SUM(G16:G23)</f>
        <v>109.7751</v>
      </c>
      <c r="H24" s="11" t="n">
        <f aca="false">SUM(H16:H23)</f>
        <v>-305.5461</v>
      </c>
    </row>
    <row r="25" customFormat="false" ht="15" hidden="false" customHeight="false" outlineLevel="0" collapsed="false">
      <c r="A25" s="9" t="s">
        <v>36</v>
      </c>
    </row>
    <row r="27" customFormat="false" ht="15" hidden="false" customHeight="false" outlineLevel="0" collapsed="false">
      <c r="A27" s="3" t="s">
        <v>37</v>
      </c>
    </row>
    <row r="28" customFormat="false" ht="57.75" hidden="false" customHeight="true" outlineLevel="0" collapsed="false">
      <c r="A28" s="12" t="s">
        <v>38</v>
      </c>
      <c r="B28" s="12"/>
      <c r="C28" s="12"/>
      <c r="D28" s="12"/>
      <c r="E28" s="12"/>
      <c r="F28" s="12"/>
      <c r="G28" s="12"/>
      <c r="H28" s="12"/>
    </row>
    <row r="29" customFormat="false" ht="57.75" hidden="false" customHeight="true" outlineLevel="0" collapsed="false">
      <c r="A29" s="12" t="s">
        <v>39</v>
      </c>
      <c r="B29" s="12"/>
      <c r="C29" s="12"/>
      <c r="D29" s="12"/>
      <c r="E29" s="12"/>
      <c r="F29" s="12"/>
      <c r="G29" s="12"/>
      <c r="H29" s="12"/>
    </row>
    <row r="30" customFormat="false" ht="57.75" hidden="false" customHeight="true" outlineLevel="0" collapsed="false">
      <c r="A30" s="12" t="s">
        <v>40</v>
      </c>
      <c r="B30" s="12"/>
      <c r="C30" s="12"/>
      <c r="D30" s="12"/>
      <c r="E30" s="12"/>
      <c r="F30" s="12"/>
      <c r="G30" s="12"/>
      <c r="H30" s="12"/>
    </row>
    <row r="31" customFormat="false" ht="57.75" hidden="false" customHeight="true" outlineLevel="0" collapsed="false">
      <c r="A31" s="12" t="s">
        <v>41</v>
      </c>
      <c r="B31" s="12"/>
      <c r="C31" s="12"/>
      <c r="D31" s="12"/>
      <c r="E31" s="12"/>
      <c r="F31" s="12"/>
      <c r="G31" s="12"/>
      <c r="H31" s="12"/>
    </row>
    <row r="32" customFormat="false" ht="57.75" hidden="false" customHeight="true" outlineLevel="0" collapsed="false">
      <c r="A32" s="12" t="s">
        <v>42</v>
      </c>
      <c r="B32" s="12"/>
      <c r="C32" s="12"/>
      <c r="D32" s="12"/>
      <c r="E32" s="12"/>
      <c r="F32" s="12"/>
      <c r="G32" s="12"/>
      <c r="H32" s="12"/>
    </row>
    <row r="33" customFormat="false" ht="57.75" hidden="false" customHeight="true" outlineLevel="0" collapsed="false">
      <c r="A33" s="12" t="s">
        <v>43</v>
      </c>
      <c r="B33" s="12"/>
      <c r="C33" s="12"/>
      <c r="D33" s="12"/>
      <c r="E33" s="12"/>
      <c r="F33" s="12"/>
      <c r="G33" s="12"/>
      <c r="H33" s="12"/>
    </row>
    <row r="34" customFormat="false" ht="57.75" hidden="false" customHeight="true" outlineLevel="0" collapsed="false">
      <c r="A34" s="12" t="s">
        <v>44</v>
      </c>
      <c r="B34" s="12"/>
      <c r="C34" s="12"/>
      <c r="D34" s="12"/>
      <c r="E34" s="12"/>
      <c r="F34" s="12"/>
      <c r="G34" s="12"/>
      <c r="H34" s="12"/>
    </row>
    <row r="35" customFormat="false" ht="57.75" hidden="false" customHeight="true" outlineLevel="0" collapsed="false">
      <c r="A35" s="12" t="s">
        <v>45</v>
      </c>
      <c r="B35" s="12"/>
      <c r="C35" s="12"/>
      <c r="D35" s="12"/>
      <c r="E35" s="12"/>
      <c r="F35" s="12"/>
      <c r="G35" s="12"/>
      <c r="H35" s="12"/>
    </row>
    <row r="36" customFormat="false" ht="57.75" hidden="false" customHeight="true" outlineLevel="0" collapsed="false">
      <c r="A36" s="12" t="s">
        <v>46</v>
      </c>
      <c r="B36" s="12"/>
      <c r="C36" s="12"/>
      <c r="D36" s="12"/>
      <c r="E36" s="12"/>
      <c r="F36" s="12"/>
      <c r="G36" s="12"/>
      <c r="H36" s="12"/>
    </row>
  </sheetData>
  <mergeCells count="10">
    <mergeCell ref="A2:H2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</mergeCells>
  <conditionalFormatting sqref="B16:G23">
    <cfRule type="cellIs" priority="2" operator="lessThan" aboveAverage="0" equalAverage="0" bottom="0" percent="0" rank="0" text="" dxfId="0">
      <formula>0</formula>
    </cfRule>
  </conditionalFormatting>
  <conditionalFormatting sqref="H16:H23">
    <cfRule type="cellIs" priority="3" operator="greaterThan" aboveAverage="0" equalAverage="0" bottom="0" percent="0" rank="0" text="" dxfId="1">
      <formula>20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7" min="6" style="0" width="11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1" min="10" style="0" width="8"/>
    <col collapsed="false" customWidth="true" hidden="false" outlineLevel="0" max="12" min="12" style="0" width="40"/>
    <col collapsed="false" customWidth="true" hidden="false" outlineLevel="0" max="13" min="13" style="0" width="9"/>
    <col collapsed="false" customWidth="true" hidden="false" outlineLevel="0" max="16" min="14" style="0" width="11"/>
    <col collapsed="false" customWidth="true" hidden="false" outlineLevel="0" max="17" min="17" style="0" width="13"/>
    <col collapsed="false" customWidth="true" hidden="false" outlineLevel="0" max="18" min="18" style="0" width="10"/>
    <col collapsed="false" customWidth="true" hidden="false" outlineLevel="0" max="19" min="19" style="0" width="11"/>
    <col collapsed="false" customWidth="true" hidden="false" outlineLevel="0" max="20" min="20" style="0" width="26"/>
    <col collapsed="false" customWidth="true" hidden="false" outlineLevel="0" max="21" min="21" style="0" width="13"/>
    <col collapsed="false" customWidth="true" hidden="false" outlineLevel="0" max="22" min="22" style="0" width="12"/>
    <col collapsed="false" customWidth="true" hidden="false" outlineLevel="0" max="23" min="23" style="0" width="22"/>
  </cols>
  <sheetData>
    <row r="1" customFormat="false" ht="31.5" hidden="false" customHeight="true" outlineLevel="0" collapsed="false">
      <c r="A1" s="4" t="s">
        <v>25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  <c r="S1" s="4" t="s">
        <v>64</v>
      </c>
      <c r="T1" s="4" t="s">
        <v>65</v>
      </c>
      <c r="U1" s="4" t="s">
        <v>66</v>
      </c>
      <c r="V1" s="4" t="s">
        <v>67</v>
      </c>
      <c r="W1" s="4" t="s">
        <v>68</v>
      </c>
    </row>
    <row r="2" customFormat="false" ht="15" hidden="false" customHeight="false" outlineLevel="0" collapsed="false">
      <c r="A2" s="5" t="s">
        <v>27</v>
      </c>
      <c r="B2" s="5" t="s">
        <v>69</v>
      </c>
      <c r="C2" s="5" t="s">
        <v>70</v>
      </c>
      <c r="D2" s="5" t="s">
        <v>71</v>
      </c>
      <c r="E2" s="5" t="s">
        <v>72</v>
      </c>
      <c r="F2" s="5" t="s">
        <v>73</v>
      </c>
      <c r="G2" s="5"/>
      <c r="H2" s="5" t="s">
        <v>4</v>
      </c>
      <c r="I2" s="13" t="n">
        <v>0</v>
      </c>
      <c r="J2" s="5"/>
      <c r="K2" s="5"/>
      <c r="L2" s="5" t="s">
        <v>74</v>
      </c>
      <c r="M2" s="14" t="n">
        <v>-0.64</v>
      </c>
      <c r="N2" s="15"/>
      <c r="O2" s="15" t="n">
        <v>0</v>
      </c>
      <c r="P2" s="15"/>
      <c r="Q2" s="15" t="n">
        <f aca="false">IF(M2="","",I2*M2/1000)</f>
        <v>-0</v>
      </c>
      <c r="R2" s="15" t="n">
        <f aca="false">IF(Q2="","",Q2-N(P2))</f>
        <v>-0</v>
      </c>
      <c r="S2" s="5" t="str">
        <f aca="false">IF(L2="","",IF(ISNUMBER(SEARCH("25-26",L2)),"25-26",IF(ISNUMBER(SEARCH("24-25",L2)),"24-25","other")))</f>
        <v>25-26</v>
      </c>
      <c r="T2" s="5"/>
      <c r="U2" s="13"/>
      <c r="V2" s="5"/>
      <c r="W2" s="5" t="str">
        <f aca="false">IF(AND(R2&lt;&gt;"",ABS(R2)&gt;0.05),"CO2e not kWh x factor",IF(V2="kWh differs from source","Virtual meter not mirroring",IF(AND(D2="Certificates - Location [kWh]",S2="24-25"),"Certificate on 24-25 factor","OK")))</f>
        <v>OK</v>
      </c>
    </row>
    <row r="3" customFormat="false" ht="15" hidden="false" customHeight="false" outlineLevel="0" collapsed="false">
      <c r="A3" s="5" t="s">
        <v>27</v>
      </c>
      <c r="B3" s="5" t="s">
        <v>69</v>
      </c>
      <c r="C3" s="5" t="s">
        <v>70</v>
      </c>
      <c r="D3" s="5" t="s">
        <v>71</v>
      </c>
      <c r="E3" s="5" t="s">
        <v>72</v>
      </c>
      <c r="F3" s="5" t="s">
        <v>73</v>
      </c>
      <c r="G3" s="5"/>
      <c r="H3" s="5" t="s">
        <v>5</v>
      </c>
      <c r="I3" s="13" t="n">
        <v>0</v>
      </c>
      <c r="J3" s="5"/>
      <c r="K3" s="5"/>
      <c r="L3" s="5" t="s">
        <v>74</v>
      </c>
      <c r="M3" s="14" t="n">
        <v>-0.64</v>
      </c>
      <c r="N3" s="15"/>
      <c r="O3" s="15" t="n">
        <v>0</v>
      </c>
      <c r="P3" s="15"/>
      <c r="Q3" s="15" t="n">
        <f aca="false">IF(M3="","",I3*M3/1000)</f>
        <v>-0</v>
      </c>
      <c r="R3" s="15" t="n">
        <f aca="false">IF(Q3="","",Q3-N(P3))</f>
        <v>-0</v>
      </c>
      <c r="S3" s="5" t="str">
        <f aca="false">IF(L3="","",IF(ISNUMBER(SEARCH("25-26",L3)),"25-26",IF(ISNUMBER(SEARCH("24-25",L3)),"24-25","other")))</f>
        <v>25-26</v>
      </c>
      <c r="T3" s="5"/>
      <c r="U3" s="13"/>
      <c r="V3" s="5"/>
      <c r="W3" s="5" t="str">
        <f aca="false">IF(AND(R3&lt;&gt;"",ABS(R3)&gt;0.05),"CO2e not kWh x factor",IF(V3="kWh differs from source","Virtual meter not mirroring",IF(AND(D3="Certificates - Location [kWh]",S3="24-25"),"Certificate on 24-25 factor","OK")))</f>
        <v>OK</v>
      </c>
    </row>
    <row r="4" customFormat="false" ht="15" hidden="false" customHeight="false" outlineLevel="0" collapsed="false">
      <c r="A4" s="5" t="s">
        <v>27</v>
      </c>
      <c r="B4" s="5" t="s">
        <v>69</v>
      </c>
      <c r="C4" s="5" t="s">
        <v>70</v>
      </c>
      <c r="D4" s="5" t="s">
        <v>71</v>
      </c>
      <c r="E4" s="5" t="s">
        <v>72</v>
      </c>
      <c r="F4" s="5" t="s">
        <v>73</v>
      </c>
      <c r="G4" s="5"/>
      <c r="H4" s="5" t="s">
        <v>6</v>
      </c>
      <c r="I4" s="13" t="n">
        <v>0</v>
      </c>
      <c r="J4" s="5"/>
      <c r="K4" s="5"/>
      <c r="L4" s="5" t="s">
        <v>74</v>
      </c>
      <c r="M4" s="14" t="n">
        <v>-0.64</v>
      </c>
      <c r="N4" s="15"/>
      <c r="O4" s="15" t="n">
        <v>0</v>
      </c>
      <c r="P4" s="15"/>
      <c r="Q4" s="15" t="n">
        <f aca="false">IF(M4="","",I4*M4/1000)</f>
        <v>-0</v>
      </c>
      <c r="R4" s="15" t="n">
        <f aca="false">IF(Q4="","",Q4-N(P4))</f>
        <v>-0</v>
      </c>
      <c r="S4" s="5" t="str">
        <f aca="false">IF(L4="","",IF(ISNUMBER(SEARCH("25-26",L4)),"25-26",IF(ISNUMBER(SEARCH("24-25",L4)),"24-25","other")))</f>
        <v>25-26</v>
      </c>
      <c r="T4" s="5"/>
      <c r="U4" s="13"/>
      <c r="V4" s="5"/>
      <c r="W4" s="5" t="str">
        <f aca="false">IF(AND(R4&lt;&gt;"",ABS(R4)&gt;0.05),"CO2e not kWh x factor",IF(V4="kWh differs from source","Virtual meter not mirroring",IF(AND(D4="Certificates - Location [kWh]",S4="24-25"),"Certificate on 24-25 factor","OK")))</f>
        <v>OK</v>
      </c>
    </row>
    <row r="5" customFormat="false" ht="15" hidden="false" customHeight="false" outlineLevel="0" collapsed="false">
      <c r="A5" s="5" t="s">
        <v>27</v>
      </c>
      <c r="B5" s="5" t="s">
        <v>69</v>
      </c>
      <c r="C5" s="5" t="s">
        <v>70</v>
      </c>
      <c r="D5" s="5" t="s">
        <v>71</v>
      </c>
      <c r="E5" s="5" t="s">
        <v>72</v>
      </c>
      <c r="F5" s="5" t="s">
        <v>73</v>
      </c>
      <c r="G5" s="5"/>
      <c r="H5" s="5" t="s">
        <v>7</v>
      </c>
      <c r="I5" s="13" t="n">
        <v>0</v>
      </c>
      <c r="J5" s="5"/>
      <c r="K5" s="5"/>
      <c r="L5" s="5" t="s">
        <v>74</v>
      </c>
      <c r="M5" s="14" t="n">
        <v>-0.64</v>
      </c>
      <c r="N5" s="15"/>
      <c r="O5" s="15" t="n">
        <v>0</v>
      </c>
      <c r="P5" s="15"/>
      <c r="Q5" s="15" t="n">
        <f aca="false">IF(M5="","",I5*M5/1000)</f>
        <v>-0</v>
      </c>
      <c r="R5" s="15" t="n">
        <f aca="false">IF(Q5="","",Q5-N(P5))</f>
        <v>-0</v>
      </c>
      <c r="S5" s="5" t="str">
        <f aca="false">IF(L5="","",IF(ISNUMBER(SEARCH("25-26",L5)),"25-26",IF(ISNUMBER(SEARCH("24-25",L5)),"24-25","other")))</f>
        <v>25-26</v>
      </c>
      <c r="T5" s="5"/>
      <c r="U5" s="13"/>
      <c r="V5" s="5"/>
      <c r="W5" s="5" t="str">
        <f aca="false">IF(AND(R5&lt;&gt;"",ABS(R5)&gt;0.05),"CO2e not kWh x factor",IF(V5="kWh differs from source","Virtual meter not mirroring",IF(AND(D5="Certificates - Location [kWh]",S5="24-25"),"Certificate on 24-25 factor","OK")))</f>
        <v>OK</v>
      </c>
    </row>
    <row r="6" customFormat="false" ht="15" hidden="false" customHeight="false" outlineLevel="0" collapsed="false">
      <c r="A6" s="5" t="s">
        <v>27</v>
      </c>
      <c r="B6" s="5" t="s">
        <v>69</v>
      </c>
      <c r="C6" s="5" t="s">
        <v>70</v>
      </c>
      <c r="D6" s="5" t="s">
        <v>71</v>
      </c>
      <c r="E6" s="5" t="s">
        <v>72</v>
      </c>
      <c r="F6" s="5" t="s">
        <v>73</v>
      </c>
      <c r="G6" s="5"/>
      <c r="H6" s="5" t="s">
        <v>8</v>
      </c>
      <c r="I6" s="13" t="n">
        <v>0</v>
      </c>
      <c r="J6" s="5"/>
      <c r="K6" s="5"/>
      <c r="L6" s="5" t="s">
        <v>74</v>
      </c>
      <c r="M6" s="14" t="n">
        <v>-0.64</v>
      </c>
      <c r="N6" s="15"/>
      <c r="O6" s="15" t="n">
        <v>0</v>
      </c>
      <c r="P6" s="15"/>
      <c r="Q6" s="15" t="n">
        <f aca="false">IF(M6="","",I6*M6/1000)</f>
        <v>-0</v>
      </c>
      <c r="R6" s="15" t="n">
        <f aca="false">IF(Q6="","",Q6-N(P6))</f>
        <v>-0</v>
      </c>
      <c r="S6" s="5" t="str">
        <f aca="false">IF(L6="","",IF(ISNUMBER(SEARCH("25-26",L6)),"25-26",IF(ISNUMBER(SEARCH("24-25",L6)),"24-25","other")))</f>
        <v>25-26</v>
      </c>
      <c r="T6" s="5"/>
      <c r="U6" s="13"/>
      <c r="V6" s="5"/>
      <c r="W6" s="5" t="str">
        <f aca="false">IF(AND(R6&lt;&gt;"",ABS(R6)&gt;0.05),"CO2e not kWh x factor",IF(V6="kWh differs from source","Virtual meter not mirroring",IF(AND(D6="Certificates - Location [kWh]",S6="24-25"),"Certificate on 24-25 factor","OK")))</f>
        <v>OK</v>
      </c>
    </row>
    <row r="7" customFormat="false" ht="15" hidden="false" customHeight="false" outlineLevel="0" collapsed="false">
      <c r="A7" s="5" t="s">
        <v>27</v>
      </c>
      <c r="B7" s="5" t="s">
        <v>69</v>
      </c>
      <c r="C7" s="5" t="s">
        <v>70</v>
      </c>
      <c r="D7" s="5" t="s">
        <v>71</v>
      </c>
      <c r="E7" s="5" t="s">
        <v>72</v>
      </c>
      <c r="F7" s="5" t="s">
        <v>73</v>
      </c>
      <c r="G7" s="5"/>
      <c r="H7" s="5" t="s">
        <v>9</v>
      </c>
      <c r="I7" s="13" t="n">
        <v>0</v>
      </c>
      <c r="J7" s="5"/>
      <c r="K7" s="5"/>
      <c r="L7" s="5" t="s">
        <v>74</v>
      </c>
      <c r="M7" s="14" t="n">
        <v>-0.64</v>
      </c>
      <c r="N7" s="15"/>
      <c r="O7" s="15" t="n">
        <v>0</v>
      </c>
      <c r="P7" s="15"/>
      <c r="Q7" s="15" t="n">
        <f aca="false">IF(M7="","",I7*M7/1000)</f>
        <v>-0</v>
      </c>
      <c r="R7" s="15" t="n">
        <f aca="false">IF(Q7="","",Q7-N(P7))</f>
        <v>-0</v>
      </c>
      <c r="S7" s="5" t="str">
        <f aca="false">IF(L7="","",IF(ISNUMBER(SEARCH("25-26",L7)),"25-26",IF(ISNUMBER(SEARCH("24-25",L7)),"24-25","other")))</f>
        <v>25-26</v>
      </c>
      <c r="T7" s="5"/>
      <c r="U7" s="13"/>
      <c r="V7" s="5"/>
      <c r="W7" s="5" t="str">
        <f aca="false">IF(AND(R7&lt;&gt;"",ABS(R7)&gt;0.05),"CO2e not kWh x factor",IF(V7="kWh differs from source","Virtual meter not mirroring",IF(AND(D7="Certificates - Location [kWh]",S7="24-25"),"Certificate on 24-25 factor","OK")))</f>
        <v>OK</v>
      </c>
    </row>
    <row r="8" customFormat="false" ht="15" hidden="false" customHeight="false" outlineLevel="0" collapsed="false">
      <c r="A8" s="5" t="s">
        <v>27</v>
      </c>
      <c r="B8" s="5" t="s">
        <v>69</v>
      </c>
      <c r="C8" s="5" t="s">
        <v>70</v>
      </c>
      <c r="D8" s="5" t="s">
        <v>75</v>
      </c>
      <c r="E8" s="5" t="s">
        <v>72</v>
      </c>
      <c r="F8" s="5" t="s">
        <v>73</v>
      </c>
      <c r="G8" s="5"/>
      <c r="H8" s="5" t="s">
        <v>4</v>
      </c>
      <c r="I8" s="13" t="n">
        <v>180656.1</v>
      </c>
      <c r="J8" s="5" t="n">
        <v>100</v>
      </c>
      <c r="K8" s="5" t="n">
        <v>0</v>
      </c>
      <c r="L8" s="5" t="s">
        <v>76</v>
      </c>
      <c r="M8" s="14" t="n">
        <v>0.64</v>
      </c>
      <c r="N8" s="15" t="n">
        <v>115.6199</v>
      </c>
      <c r="O8" s="15"/>
      <c r="P8" s="15" t="n">
        <v>115.6199</v>
      </c>
      <c r="Q8" s="15" t="n">
        <f aca="false">IF(M8="","",I8*M8/1000)</f>
        <v>115.619904</v>
      </c>
      <c r="R8" s="15" t="n">
        <f aca="false">IF(Q8="","",Q8-N(P8))</f>
        <v>4.00000000411183E-006</v>
      </c>
      <c r="S8" s="5" t="str">
        <f aca="false">IF(L8="","",IF(ISNUMBER(SEARCH("25-26",L8)),"25-26",IF(ISNUMBER(SEARCH("24-25",L8)),"24-25","other")))</f>
        <v>25-26</v>
      </c>
      <c r="T8" s="5"/>
      <c r="U8" s="13"/>
      <c r="V8" s="5"/>
      <c r="W8" s="5" t="str">
        <f aca="false">IF(AND(R8&lt;&gt;"",ABS(R8)&gt;0.05),"CO2e not kWh x factor",IF(V8="kWh differs from source","Virtual meter not mirroring",IF(AND(D8="Certificates - Location [kWh]",S8="24-25"),"Certificate on 24-25 factor","OK")))</f>
        <v>OK</v>
      </c>
    </row>
    <row r="9" customFormat="false" ht="15" hidden="false" customHeight="false" outlineLevel="0" collapsed="false">
      <c r="A9" s="5" t="s">
        <v>27</v>
      </c>
      <c r="B9" s="5" t="s">
        <v>69</v>
      </c>
      <c r="C9" s="5" t="s">
        <v>70</v>
      </c>
      <c r="D9" s="5" t="s">
        <v>75</v>
      </c>
      <c r="E9" s="5" t="s">
        <v>72</v>
      </c>
      <c r="F9" s="5" t="s">
        <v>73</v>
      </c>
      <c r="G9" s="5"/>
      <c r="H9" s="5" t="s">
        <v>5</v>
      </c>
      <c r="I9" s="13" t="n">
        <v>192993.3</v>
      </c>
      <c r="J9" s="5" t="n">
        <v>100</v>
      </c>
      <c r="K9" s="5" t="n">
        <v>0</v>
      </c>
      <c r="L9" s="5" t="s">
        <v>76</v>
      </c>
      <c r="M9" s="14" t="n">
        <v>0.64</v>
      </c>
      <c r="N9" s="15" t="n">
        <v>123.5157</v>
      </c>
      <c r="O9" s="15"/>
      <c r="P9" s="15" t="n">
        <v>123.5157</v>
      </c>
      <c r="Q9" s="15" t="n">
        <f aca="false">IF(M9="","",I9*M9/1000)</f>
        <v>123.515712</v>
      </c>
      <c r="R9" s="15" t="n">
        <f aca="false">IF(Q9="","",Q9-N(P9))</f>
        <v>1.19999999981246E-005</v>
      </c>
      <c r="S9" s="5" t="str">
        <f aca="false">IF(L9="","",IF(ISNUMBER(SEARCH("25-26",L9)),"25-26",IF(ISNUMBER(SEARCH("24-25",L9)),"24-25","other")))</f>
        <v>25-26</v>
      </c>
      <c r="T9" s="5"/>
      <c r="U9" s="13"/>
      <c r="V9" s="5"/>
      <c r="W9" s="5" t="str">
        <f aca="false">IF(AND(R9&lt;&gt;"",ABS(R9)&gt;0.05),"CO2e not kWh x factor",IF(V9="kWh differs from source","Virtual meter not mirroring",IF(AND(D9="Certificates - Location [kWh]",S9="24-25"),"Certificate on 24-25 factor","OK")))</f>
        <v>OK</v>
      </c>
    </row>
    <row r="10" customFormat="false" ht="15" hidden="false" customHeight="false" outlineLevel="0" collapsed="false">
      <c r="A10" s="5" t="s">
        <v>27</v>
      </c>
      <c r="B10" s="5" t="s">
        <v>69</v>
      </c>
      <c r="C10" s="5" t="s">
        <v>70</v>
      </c>
      <c r="D10" s="5" t="s">
        <v>75</v>
      </c>
      <c r="E10" s="5" t="s">
        <v>72</v>
      </c>
      <c r="F10" s="5" t="s">
        <v>73</v>
      </c>
      <c r="G10" s="5"/>
      <c r="H10" s="5" t="s">
        <v>6</v>
      </c>
      <c r="I10" s="13" t="n">
        <v>347500.3</v>
      </c>
      <c r="J10" s="5" t="n">
        <v>100</v>
      </c>
      <c r="K10" s="5" t="n">
        <v>0</v>
      </c>
      <c r="L10" s="5" t="s">
        <v>76</v>
      </c>
      <c r="M10" s="14" t="n">
        <v>0.64</v>
      </c>
      <c r="N10" s="15" t="n">
        <v>222.4002</v>
      </c>
      <c r="O10" s="15"/>
      <c r="P10" s="15" t="n">
        <v>222.4002</v>
      </c>
      <c r="Q10" s="15" t="n">
        <f aca="false">IF(M10="","",I10*M10/1000)</f>
        <v>222.400192</v>
      </c>
      <c r="R10" s="15" t="n">
        <f aca="false">IF(Q10="","",Q10-N(P10))</f>
        <v>-8.00000000822365E-006</v>
      </c>
      <c r="S10" s="5" t="str">
        <f aca="false">IF(L10="","",IF(ISNUMBER(SEARCH("25-26",L10)),"25-26",IF(ISNUMBER(SEARCH("24-25",L10)),"24-25","other")))</f>
        <v>25-26</v>
      </c>
      <c r="T10" s="5"/>
      <c r="U10" s="13"/>
      <c r="V10" s="5"/>
      <c r="W10" s="5" t="str">
        <f aca="false">IF(AND(R10&lt;&gt;"",ABS(R10)&gt;0.05),"CO2e not kWh x factor",IF(V10="kWh differs from source","Virtual meter not mirroring",IF(AND(D10="Certificates - Location [kWh]",S10="24-25"),"Certificate on 24-25 factor","OK")))</f>
        <v>OK</v>
      </c>
    </row>
    <row r="11" customFormat="false" ht="15" hidden="false" customHeight="false" outlineLevel="0" collapsed="false">
      <c r="A11" s="5" t="s">
        <v>27</v>
      </c>
      <c r="B11" s="5" t="s">
        <v>69</v>
      </c>
      <c r="C11" s="5" t="s">
        <v>70</v>
      </c>
      <c r="D11" s="5" t="s">
        <v>75</v>
      </c>
      <c r="E11" s="5" t="s">
        <v>72</v>
      </c>
      <c r="F11" s="5" t="s">
        <v>73</v>
      </c>
      <c r="G11" s="5"/>
      <c r="H11" s="5" t="s">
        <v>7</v>
      </c>
      <c r="I11" s="13" t="n">
        <v>272068.2</v>
      </c>
      <c r="J11" s="5" t="n">
        <v>100</v>
      </c>
      <c r="K11" s="5" t="n">
        <v>0</v>
      </c>
      <c r="L11" s="5" t="s">
        <v>76</v>
      </c>
      <c r="M11" s="14" t="n">
        <v>0.64</v>
      </c>
      <c r="N11" s="15" t="n">
        <v>174.1236</v>
      </c>
      <c r="O11" s="15"/>
      <c r="P11" s="15" t="n">
        <v>174.1236</v>
      </c>
      <c r="Q11" s="15" t="n">
        <f aca="false">IF(M11="","",I11*M11/1000)</f>
        <v>174.123648</v>
      </c>
      <c r="R11" s="15" t="n">
        <f aca="false">IF(Q11="","",Q11-N(P11))</f>
        <v>4.79999999924985E-005</v>
      </c>
      <c r="S11" s="5" t="str">
        <f aca="false">IF(L11="","",IF(ISNUMBER(SEARCH("25-26",L11)),"25-26",IF(ISNUMBER(SEARCH("24-25",L11)),"24-25","other")))</f>
        <v>25-26</v>
      </c>
      <c r="T11" s="5"/>
      <c r="U11" s="13"/>
      <c r="V11" s="5"/>
      <c r="W11" s="5" t="str">
        <f aca="false">IF(AND(R11&lt;&gt;"",ABS(R11)&gt;0.05),"CO2e not kWh x factor",IF(V11="kWh differs from source","Virtual meter not mirroring",IF(AND(D11="Certificates - Location [kWh]",S11="24-25"),"Certificate on 24-25 factor","OK")))</f>
        <v>OK</v>
      </c>
    </row>
    <row r="12" customFormat="false" ht="15" hidden="false" customHeight="false" outlineLevel="0" collapsed="false">
      <c r="A12" s="5" t="s">
        <v>27</v>
      </c>
      <c r="B12" s="5" t="s">
        <v>69</v>
      </c>
      <c r="C12" s="5" t="s">
        <v>70</v>
      </c>
      <c r="D12" s="5" t="s">
        <v>75</v>
      </c>
      <c r="E12" s="5" t="s">
        <v>72</v>
      </c>
      <c r="F12" s="5" t="s">
        <v>73</v>
      </c>
      <c r="G12" s="5"/>
      <c r="H12" s="5" t="s">
        <v>8</v>
      </c>
      <c r="I12" s="13" t="n">
        <v>283780.3</v>
      </c>
      <c r="J12" s="5" t="n">
        <v>100</v>
      </c>
      <c r="K12" s="5" t="n">
        <v>0</v>
      </c>
      <c r="L12" s="5" t="s">
        <v>76</v>
      </c>
      <c r="M12" s="14" t="n">
        <v>0.64</v>
      </c>
      <c r="N12" s="15" t="n">
        <v>181.6194</v>
      </c>
      <c r="O12" s="15"/>
      <c r="P12" s="15" t="n">
        <v>181.6194</v>
      </c>
      <c r="Q12" s="15" t="n">
        <f aca="false">IF(M12="","",I12*M12/1000)</f>
        <v>181.619392</v>
      </c>
      <c r="R12" s="15" t="n">
        <f aca="false">IF(Q12="","",Q12-N(P12))</f>
        <v>-8.00000000822365E-006</v>
      </c>
      <c r="S12" s="5" t="str">
        <f aca="false">IF(L12="","",IF(ISNUMBER(SEARCH("25-26",L12)),"25-26",IF(ISNUMBER(SEARCH("24-25",L12)),"24-25","other")))</f>
        <v>25-26</v>
      </c>
      <c r="T12" s="5"/>
      <c r="U12" s="13"/>
      <c r="V12" s="5"/>
      <c r="W12" s="5" t="str">
        <f aca="false">IF(AND(R12&lt;&gt;"",ABS(R12)&gt;0.05),"CO2e not kWh x factor",IF(V12="kWh differs from source","Virtual meter not mirroring",IF(AND(D12="Certificates - Location [kWh]",S12="24-25"),"Certificate on 24-25 factor","OK")))</f>
        <v>OK</v>
      </c>
    </row>
    <row r="13" customFormat="false" ht="15" hidden="false" customHeight="false" outlineLevel="0" collapsed="false">
      <c r="A13" s="5" t="s">
        <v>27</v>
      </c>
      <c r="B13" s="5" t="s">
        <v>69</v>
      </c>
      <c r="C13" s="5" t="s">
        <v>70</v>
      </c>
      <c r="D13" s="5" t="s">
        <v>75</v>
      </c>
      <c r="E13" s="5" t="s">
        <v>72</v>
      </c>
      <c r="F13" s="5" t="s">
        <v>73</v>
      </c>
      <c r="G13" s="5"/>
      <c r="H13" s="5" t="s">
        <v>9</v>
      </c>
      <c r="I13" s="13" t="n">
        <v>260437</v>
      </c>
      <c r="J13" s="5" t="n">
        <v>100</v>
      </c>
      <c r="K13" s="5" t="n">
        <v>0</v>
      </c>
      <c r="L13" s="5" t="s">
        <v>76</v>
      </c>
      <c r="M13" s="14" t="n">
        <v>0.64</v>
      </c>
      <c r="N13" s="15" t="n">
        <v>166.6797</v>
      </c>
      <c r="O13" s="15"/>
      <c r="P13" s="15" t="n">
        <v>166.6797</v>
      </c>
      <c r="Q13" s="15" t="n">
        <f aca="false">IF(M13="","",I13*M13/1000)</f>
        <v>166.67968</v>
      </c>
      <c r="R13" s="15" t="n">
        <f aca="false">IF(Q13="","",Q13-N(P13))</f>
        <v>-2.00000000063483E-005</v>
      </c>
      <c r="S13" s="5" t="str">
        <f aca="false">IF(L13="","",IF(ISNUMBER(SEARCH("25-26",L13)),"25-26",IF(ISNUMBER(SEARCH("24-25",L13)),"24-25","other")))</f>
        <v>25-26</v>
      </c>
      <c r="T13" s="5"/>
      <c r="U13" s="13"/>
      <c r="V13" s="5"/>
      <c r="W13" s="5" t="str">
        <f aca="false">IF(AND(R13&lt;&gt;"",ABS(R13)&gt;0.05),"CO2e not kWh x factor",IF(V13="kWh differs from source","Virtual meter not mirroring",IF(AND(D13="Certificates - Location [kWh]",S13="24-25"),"Certificate on 24-25 factor","OK")))</f>
        <v>OK</v>
      </c>
    </row>
    <row r="14" customFormat="false" ht="15" hidden="false" customHeight="false" outlineLevel="0" collapsed="false">
      <c r="A14" s="5" t="s">
        <v>27</v>
      </c>
      <c r="B14" s="5" t="s">
        <v>77</v>
      </c>
      <c r="C14" s="5" t="s">
        <v>78</v>
      </c>
      <c r="D14" s="5" t="s">
        <v>79</v>
      </c>
      <c r="E14" s="5" t="s">
        <v>80</v>
      </c>
      <c r="F14" s="5" t="s">
        <v>81</v>
      </c>
      <c r="G14" s="5"/>
      <c r="H14" s="5" t="s">
        <v>8</v>
      </c>
      <c r="I14" s="13" t="n">
        <v>283780.3</v>
      </c>
      <c r="J14" s="5" t="n">
        <v>100</v>
      </c>
      <c r="K14" s="5" t="n">
        <v>0</v>
      </c>
      <c r="L14" s="5" t="s">
        <v>82</v>
      </c>
      <c r="M14" s="14" t="n">
        <v>-0.66</v>
      </c>
      <c r="N14" s="15"/>
      <c r="O14" s="15" t="n">
        <v>-187.295</v>
      </c>
      <c r="P14" s="15" t="n">
        <v>-187.295</v>
      </c>
      <c r="Q14" s="15" t="n">
        <f aca="false">IF(M14="","",I14*M14/1000)</f>
        <v>-187.294998</v>
      </c>
      <c r="R14" s="15" t="n">
        <f aca="false">IF(Q14="","",Q14-N(P14))</f>
        <v>1.99999999495049E-006</v>
      </c>
      <c r="S14" s="5" t="str">
        <f aca="false">IF(L14="","",IF(ISNUMBER(SEARCH("25-26",L14)),"25-26",IF(ISNUMBER(SEARCH("24-25",L14)),"24-25","other")))</f>
        <v>24-25</v>
      </c>
      <c r="T14" s="5" t="s">
        <v>69</v>
      </c>
      <c r="U14" s="13" t="n">
        <f aca="false">SUMIFS($I:$I,$B:$B,T14,$H:$H,H14,$D:$D,"Electricity [kWh]")</f>
        <v>283780.3</v>
      </c>
      <c r="V14" s="5" t="str">
        <f aca="false">IF(ABS(I14-U14)&lt;0.5,"Mirrors source","kWh differs from source")</f>
        <v>Mirrors source</v>
      </c>
      <c r="W14" s="5" t="str">
        <f aca="false">IF(AND(R14&lt;&gt;"",ABS(R14)&gt;0.05),"CO2e not kWh x factor",IF(V14="kWh differs from source","Virtual meter not mirroring",IF(AND(D14="Certificates - Location [kWh]",S14="24-25"),"Certificate on 24-25 factor","OK")))</f>
        <v>Certificate on 24-25 factor</v>
      </c>
    </row>
    <row r="15" customFormat="false" ht="15" hidden="false" customHeight="false" outlineLevel="0" collapsed="false">
      <c r="A15" s="5" t="s">
        <v>27</v>
      </c>
      <c r="B15" s="5" t="s">
        <v>77</v>
      </c>
      <c r="C15" s="5" t="s">
        <v>78</v>
      </c>
      <c r="D15" s="5" t="s">
        <v>79</v>
      </c>
      <c r="E15" s="5" t="s">
        <v>80</v>
      </c>
      <c r="F15" s="5" t="s">
        <v>81</v>
      </c>
      <c r="G15" s="5"/>
      <c r="H15" s="5" t="s">
        <v>9</v>
      </c>
      <c r="I15" s="13" t="n">
        <v>260437</v>
      </c>
      <c r="J15" s="5" t="n">
        <v>100</v>
      </c>
      <c r="K15" s="5" t="n">
        <v>0</v>
      </c>
      <c r="L15" s="5" t="s">
        <v>82</v>
      </c>
      <c r="M15" s="14" t="n">
        <v>-0.66</v>
      </c>
      <c r="N15" s="15"/>
      <c r="O15" s="15" t="n">
        <v>-171.8884</v>
      </c>
      <c r="P15" s="15" t="n">
        <v>-171.8884</v>
      </c>
      <c r="Q15" s="15" t="n">
        <f aca="false">IF(M15="","",I15*M15/1000)</f>
        <v>-171.88842</v>
      </c>
      <c r="R15" s="15" t="n">
        <f aca="false">IF(Q15="","",Q15-N(P15))</f>
        <v>-2.000000003477E-005</v>
      </c>
      <c r="S15" s="5" t="str">
        <f aca="false">IF(L15="","",IF(ISNUMBER(SEARCH("25-26",L15)),"25-26",IF(ISNUMBER(SEARCH("24-25",L15)),"24-25","other")))</f>
        <v>24-25</v>
      </c>
      <c r="T15" s="5" t="s">
        <v>69</v>
      </c>
      <c r="U15" s="13" t="n">
        <f aca="false">SUMIFS($I:$I,$B:$B,T15,$H:$H,H15,$D:$D,"Electricity [kWh]")</f>
        <v>260437</v>
      </c>
      <c r="V15" s="5" t="str">
        <f aca="false">IF(ABS(I15-U15)&lt;0.5,"Mirrors source","kWh differs from source")</f>
        <v>Mirrors source</v>
      </c>
      <c r="W15" s="5" t="str">
        <f aca="false">IF(AND(R15&lt;&gt;"",ABS(R15)&gt;0.05),"CO2e not kWh x factor",IF(V15="kWh differs from source","Virtual meter not mirroring",IF(AND(D15="Certificates - Location [kWh]",S15="24-25"),"Certificate on 24-25 factor","OK")))</f>
        <v>Certificate on 24-25 factor</v>
      </c>
    </row>
    <row r="16" customFormat="false" ht="15" hidden="false" customHeight="false" outlineLevel="0" collapsed="false">
      <c r="A16" s="5" t="s">
        <v>27</v>
      </c>
      <c r="B16" s="5" t="s">
        <v>83</v>
      </c>
      <c r="C16" s="5" t="s">
        <v>70</v>
      </c>
      <c r="D16" s="5" t="s">
        <v>71</v>
      </c>
      <c r="E16" s="5" t="s">
        <v>72</v>
      </c>
      <c r="F16" s="5" t="s">
        <v>73</v>
      </c>
      <c r="G16" s="5"/>
      <c r="H16" s="5" t="s">
        <v>4</v>
      </c>
      <c r="I16" s="13" t="n">
        <v>0</v>
      </c>
      <c r="J16" s="5"/>
      <c r="K16" s="5"/>
      <c r="L16" s="5" t="s">
        <v>74</v>
      </c>
      <c r="M16" s="14" t="n">
        <v>-0.64</v>
      </c>
      <c r="N16" s="15"/>
      <c r="O16" s="15" t="n">
        <v>0</v>
      </c>
      <c r="P16" s="15"/>
      <c r="Q16" s="15" t="n">
        <f aca="false">IF(M16="","",I16*M16/1000)</f>
        <v>-0</v>
      </c>
      <c r="R16" s="15" t="n">
        <f aca="false">IF(Q16="","",Q16-N(P16))</f>
        <v>-0</v>
      </c>
      <c r="S16" s="5" t="str">
        <f aca="false">IF(L16="","",IF(ISNUMBER(SEARCH("25-26",L16)),"25-26",IF(ISNUMBER(SEARCH("24-25",L16)),"24-25","other")))</f>
        <v>25-26</v>
      </c>
      <c r="T16" s="5"/>
      <c r="U16" s="13"/>
      <c r="V16" s="5"/>
      <c r="W16" s="5" t="str">
        <f aca="false">IF(AND(R16&lt;&gt;"",ABS(R16)&gt;0.05),"CO2e not kWh x factor",IF(V16="kWh differs from source","Virtual meter not mirroring",IF(AND(D16="Certificates - Location [kWh]",S16="24-25"),"Certificate on 24-25 factor","OK")))</f>
        <v>OK</v>
      </c>
    </row>
    <row r="17" customFormat="false" ht="15" hidden="false" customHeight="false" outlineLevel="0" collapsed="false">
      <c r="A17" s="5" t="s">
        <v>27</v>
      </c>
      <c r="B17" s="5" t="s">
        <v>83</v>
      </c>
      <c r="C17" s="5" t="s">
        <v>70</v>
      </c>
      <c r="D17" s="5" t="s">
        <v>71</v>
      </c>
      <c r="E17" s="5" t="s">
        <v>72</v>
      </c>
      <c r="F17" s="5" t="s">
        <v>73</v>
      </c>
      <c r="G17" s="5"/>
      <c r="H17" s="5" t="s">
        <v>5</v>
      </c>
      <c r="I17" s="13" t="n">
        <v>0</v>
      </c>
      <c r="J17" s="5"/>
      <c r="K17" s="5"/>
      <c r="L17" s="5" t="s">
        <v>74</v>
      </c>
      <c r="M17" s="14" t="n">
        <v>-0.64</v>
      </c>
      <c r="N17" s="15"/>
      <c r="O17" s="15" t="n">
        <v>0</v>
      </c>
      <c r="P17" s="15"/>
      <c r="Q17" s="15" t="n">
        <f aca="false">IF(M17="","",I17*M17/1000)</f>
        <v>-0</v>
      </c>
      <c r="R17" s="15" t="n">
        <f aca="false">IF(Q17="","",Q17-N(P17))</f>
        <v>-0</v>
      </c>
      <c r="S17" s="5" t="str">
        <f aca="false">IF(L17="","",IF(ISNUMBER(SEARCH("25-26",L17)),"25-26",IF(ISNUMBER(SEARCH("24-25",L17)),"24-25","other")))</f>
        <v>25-26</v>
      </c>
      <c r="T17" s="5"/>
      <c r="U17" s="13"/>
      <c r="V17" s="5"/>
      <c r="W17" s="5" t="str">
        <f aca="false">IF(AND(R17&lt;&gt;"",ABS(R17)&gt;0.05),"CO2e not kWh x factor",IF(V17="kWh differs from source","Virtual meter not mirroring",IF(AND(D17="Certificates - Location [kWh]",S17="24-25"),"Certificate on 24-25 factor","OK")))</f>
        <v>OK</v>
      </c>
    </row>
    <row r="18" customFormat="false" ht="15" hidden="false" customHeight="false" outlineLevel="0" collapsed="false">
      <c r="A18" s="5" t="s">
        <v>27</v>
      </c>
      <c r="B18" s="5" t="s">
        <v>83</v>
      </c>
      <c r="C18" s="5" t="s">
        <v>70</v>
      </c>
      <c r="D18" s="5" t="s">
        <v>71</v>
      </c>
      <c r="E18" s="5" t="s">
        <v>72</v>
      </c>
      <c r="F18" s="5" t="s">
        <v>73</v>
      </c>
      <c r="G18" s="5"/>
      <c r="H18" s="5" t="s">
        <v>6</v>
      </c>
      <c r="I18" s="13" t="n">
        <v>0</v>
      </c>
      <c r="J18" s="5"/>
      <c r="K18" s="5"/>
      <c r="L18" s="5" t="s">
        <v>74</v>
      </c>
      <c r="M18" s="14" t="n">
        <v>-0.64</v>
      </c>
      <c r="N18" s="15"/>
      <c r="O18" s="15" t="n">
        <v>0</v>
      </c>
      <c r="P18" s="15"/>
      <c r="Q18" s="15" t="n">
        <f aca="false">IF(M18="","",I18*M18/1000)</f>
        <v>-0</v>
      </c>
      <c r="R18" s="15" t="n">
        <f aca="false">IF(Q18="","",Q18-N(P18))</f>
        <v>-0</v>
      </c>
      <c r="S18" s="5" t="str">
        <f aca="false">IF(L18="","",IF(ISNUMBER(SEARCH("25-26",L18)),"25-26",IF(ISNUMBER(SEARCH("24-25",L18)),"24-25","other")))</f>
        <v>25-26</v>
      </c>
      <c r="T18" s="5"/>
      <c r="U18" s="13"/>
      <c r="V18" s="5"/>
      <c r="W18" s="5" t="str">
        <f aca="false">IF(AND(R18&lt;&gt;"",ABS(R18)&gt;0.05),"CO2e not kWh x factor",IF(V18="kWh differs from source","Virtual meter not mirroring",IF(AND(D18="Certificates - Location [kWh]",S18="24-25"),"Certificate on 24-25 factor","OK")))</f>
        <v>OK</v>
      </c>
    </row>
    <row r="19" customFormat="false" ht="15" hidden="false" customHeight="false" outlineLevel="0" collapsed="false">
      <c r="A19" s="5" t="s">
        <v>27</v>
      </c>
      <c r="B19" s="5" t="s">
        <v>83</v>
      </c>
      <c r="C19" s="5" t="s">
        <v>70</v>
      </c>
      <c r="D19" s="5" t="s">
        <v>71</v>
      </c>
      <c r="E19" s="5" t="s">
        <v>72</v>
      </c>
      <c r="F19" s="5" t="s">
        <v>73</v>
      </c>
      <c r="G19" s="5"/>
      <c r="H19" s="5" t="s">
        <v>7</v>
      </c>
      <c r="I19" s="13" t="n">
        <v>0</v>
      </c>
      <c r="J19" s="5"/>
      <c r="K19" s="5"/>
      <c r="L19" s="5" t="s">
        <v>74</v>
      </c>
      <c r="M19" s="14" t="n">
        <v>-0.64</v>
      </c>
      <c r="N19" s="15"/>
      <c r="O19" s="15" t="n">
        <v>0</v>
      </c>
      <c r="P19" s="15"/>
      <c r="Q19" s="15" t="n">
        <f aca="false">IF(M19="","",I19*M19/1000)</f>
        <v>-0</v>
      </c>
      <c r="R19" s="15" t="n">
        <f aca="false">IF(Q19="","",Q19-N(P19))</f>
        <v>-0</v>
      </c>
      <c r="S19" s="5" t="str">
        <f aca="false">IF(L19="","",IF(ISNUMBER(SEARCH("25-26",L19)),"25-26",IF(ISNUMBER(SEARCH("24-25",L19)),"24-25","other")))</f>
        <v>25-26</v>
      </c>
      <c r="T19" s="5"/>
      <c r="U19" s="13"/>
      <c r="V19" s="5"/>
      <c r="W19" s="5" t="str">
        <f aca="false">IF(AND(R19&lt;&gt;"",ABS(R19)&gt;0.05),"CO2e not kWh x factor",IF(V19="kWh differs from source","Virtual meter not mirroring",IF(AND(D19="Certificates - Location [kWh]",S19="24-25"),"Certificate on 24-25 factor","OK")))</f>
        <v>OK</v>
      </c>
    </row>
    <row r="20" customFormat="false" ht="15" hidden="false" customHeight="false" outlineLevel="0" collapsed="false">
      <c r="A20" s="5" t="s">
        <v>27</v>
      </c>
      <c r="B20" s="5" t="s">
        <v>83</v>
      </c>
      <c r="C20" s="5" t="s">
        <v>70</v>
      </c>
      <c r="D20" s="5" t="s">
        <v>71</v>
      </c>
      <c r="E20" s="5" t="s">
        <v>72</v>
      </c>
      <c r="F20" s="5" t="s">
        <v>73</v>
      </c>
      <c r="G20" s="5"/>
      <c r="H20" s="5" t="s">
        <v>8</v>
      </c>
      <c r="I20" s="13" t="n">
        <v>0</v>
      </c>
      <c r="J20" s="5"/>
      <c r="K20" s="5"/>
      <c r="L20" s="5" t="s">
        <v>74</v>
      </c>
      <c r="M20" s="14" t="n">
        <v>-0.64</v>
      </c>
      <c r="N20" s="15"/>
      <c r="O20" s="15" t="n">
        <v>0</v>
      </c>
      <c r="P20" s="15"/>
      <c r="Q20" s="15" t="n">
        <f aca="false">IF(M20="","",I20*M20/1000)</f>
        <v>-0</v>
      </c>
      <c r="R20" s="15" t="n">
        <f aca="false">IF(Q20="","",Q20-N(P20))</f>
        <v>-0</v>
      </c>
      <c r="S20" s="5" t="str">
        <f aca="false">IF(L20="","",IF(ISNUMBER(SEARCH("25-26",L20)),"25-26",IF(ISNUMBER(SEARCH("24-25",L20)),"24-25","other")))</f>
        <v>25-26</v>
      </c>
      <c r="T20" s="5"/>
      <c r="U20" s="13"/>
      <c r="V20" s="5"/>
      <c r="W20" s="5" t="str">
        <f aca="false">IF(AND(R20&lt;&gt;"",ABS(R20)&gt;0.05),"CO2e not kWh x factor",IF(V20="kWh differs from source","Virtual meter not mirroring",IF(AND(D20="Certificates - Location [kWh]",S20="24-25"),"Certificate on 24-25 factor","OK")))</f>
        <v>OK</v>
      </c>
    </row>
    <row r="21" customFormat="false" ht="15" hidden="false" customHeight="false" outlineLevel="0" collapsed="false">
      <c r="A21" s="5" t="s">
        <v>27</v>
      </c>
      <c r="B21" s="5" t="s">
        <v>83</v>
      </c>
      <c r="C21" s="5" t="s">
        <v>70</v>
      </c>
      <c r="D21" s="5" t="s">
        <v>71</v>
      </c>
      <c r="E21" s="5" t="s">
        <v>72</v>
      </c>
      <c r="F21" s="5" t="s">
        <v>73</v>
      </c>
      <c r="G21" s="5"/>
      <c r="H21" s="5" t="s">
        <v>9</v>
      </c>
      <c r="I21" s="13" t="n">
        <v>0</v>
      </c>
      <c r="J21" s="5"/>
      <c r="K21" s="5"/>
      <c r="L21" s="5" t="s">
        <v>74</v>
      </c>
      <c r="M21" s="14" t="n">
        <v>-0.64</v>
      </c>
      <c r="N21" s="15"/>
      <c r="O21" s="15" t="n">
        <v>0</v>
      </c>
      <c r="P21" s="15"/>
      <c r="Q21" s="15" t="n">
        <f aca="false">IF(M21="","",I21*M21/1000)</f>
        <v>-0</v>
      </c>
      <c r="R21" s="15" t="n">
        <f aca="false">IF(Q21="","",Q21-N(P21))</f>
        <v>-0</v>
      </c>
      <c r="S21" s="5" t="str">
        <f aca="false">IF(L21="","",IF(ISNUMBER(SEARCH("25-26",L21)),"25-26",IF(ISNUMBER(SEARCH("24-25",L21)),"24-25","other")))</f>
        <v>25-26</v>
      </c>
      <c r="T21" s="5"/>
      <c r="U21" s="13"/>
      <c r="V21" s="5"/>
      <c r="W21" s="5" t="str">
        <f aca="false">IF(AND(R21&lt;&gt;"",ABS(R21)&gt;0.05),"CO2e not kWh x factor",IF(V21="kWh differs from source","Virtual meter not mirroring",IF(AND(D21="Certificates - Location [kWh]",S21="24-25"),"Certificate on 24-25 factor","OK")))</f>
        <v>OK</v>
      </c>
    </row>
    <row r="22" customFormat="false" ht="15" hidden="false" customHeight="false" outlineLevel="0" collapsed="false">
      <c r="A22" s="5" t="s">
        <v>27</v>
      </c>
      <c r="B22" s="5" t="s">
        <v>83</v>
      </c>
      <c r="C22" s="5" t="s">
        <v>70</v>
      </c>
      <c r="D22" s="5" t="s">
        <v>75</v>
      </c>
      <c r="E22" s="5" t="s">
        <v>72</v>
      </c>
      <c r="F22" s="5" t="s">
        <v>73</v>
      </c>
      <c r="G22" s="5"/>
      <c r="H22" s="5" t="s">
        <v>4</v>
      </c>
      <c r="I22" s="13" t="n">
        <v>204615.2</v>
      </c>
      <c r="J22" s="5" t="n">
        <v>100</v>
      </c>
      <c r="K22" s="5" t="n">
        <v>0</v>
      </c>
      <c r="L22" s="5" t="s">
        <v>76</v>
      </c>
      <c r="M22" s="14" t="n">
        <v>0.64</v>
      </c>
      <c r="N22" s="15" t="n">
        <v>130.9537</v>
      </c>
      <c r="O22" s="15"/>
      <c r="P22" s="15" t="n">
        <v>130.9537</v>
      </c>
      <c r="Q22" s="15" t="n">
        <f aca="false">IF(M22="","",I22*M22/1000)</f>
        <v>130.953728</v>
      </c>
      <c r="R22" s="15" t="n">
        <f aca="false">IF(Q22="","",Q22-N(P22))</f>
        <v>2.80000000145719E-005</v>
      </c>
      <c r="S22" s="5" t="str">
        <f aca="false">IF(L22="","",IF(ISNUMBER(SEARCH("25-26",L22)),"25-26",IF(ISNUMBER(SEARCH("24-25",L22)),"24-25","other")))</f>
        <v>25-26</v>
      </c>
      <c r="T22" s="5"/>
      <c r="U22" s="13"/>
      <c r="V22" s="5"/>
      <c r="W22" s="5" t="str">
        <f aca="false">IF(AND(R22&lt;&gt;"",ABS(R22)&gt;0.05),"CO2e not kWh x factor",IF(V22="kWh differs from source","Virtual meter not mirroring",IF(AND(D22="Certificates - Location [kWh]",S22="24-25"),"Certificate on 24-25 factor","OK")))</f>
        <v>OK</v>
      </c>
    </row>
    <row r="23" customFormat="false" ht="15" hidden="false" customHeight="false" outlineLevel="0" collapsed="false">
      <c r="A23" s="5" t="s">
        <v>27</v>
      </c>
      <c r="B23" s="5" t="s">
        <v>83</v>
      </c>
      <c r="C23" s="5" t="s">
        <v>70</v>
      </c>
      <c r="D23" s="5" t="s">
        <v>75</v>
      </c>
      <c r="E23" s="5" t="s">
        <v>72</v>
      </c>
      <c r="F23" s="5" t="s">
        <v>73</v>
      </c>
      <c r="G23" s="5"/>
      <c r="H23" s="5" t="s">
        <v>5</v>
      </c>
      <c r="I23" s="13" t="n">
        <v>100075.85</v>
      </c>
      <c r="J23" s="5" t="n">
        <v>100</v>
      </c>
      <c r="K23" s="5" t="n">
        <v>0</v>
      </c>
      <c r="L23" s="5" t="s">
        <v>76</v>
      </c>
      <c r="M23" s="14" t="n">
        <v>0.64</v>
      </c>
      <c r="N23" s="15" t="n">
        <v>64.0485</v>
      </c>
      <c r="O23" s="15"/>
      <c r="P23" s="15" t="n">
        <v>64.0485</v>
      </c>
      <c r="Q23" s="15" t="n">
        <f aca="false">IF(M23="","",I23*M23/1000)</f>
        <v>64.048544</v>
      </c>
      <c r="R23" s="15" t="n">
        <f aca="false">IF(Q23="","",Q23-N(P23))</f>
        <v>4.40000000025975E-005</v>
      </c>
      <c r="S23" s="5" t="str">
        <f aca="false">IF(L23="","",IF(ISNUMBER(SEARCH("25-26",L23)),"25-26",IF(ISNUMBER(SEARCH("24-25",L23)),"24-25","other")))</f>
        <v>25-26</v>
      </c>
      <c r="T23" s="5"/>
      <c r="U23" s="13"/>
      <c r="V23" s="5"/>
      <c r="W23" s="5" t="str">
        <f aca="false">IF(AND(R23&lt;&gt;"",ABS(R23)&gt;0.05),"CO2e not kWh x factor",IF(V23="kWh differs from source","Virtual meter not mirroring",IF(AND(D23="Certificates - Location [kWh]",S23="24-25"),"Certificate on 24-25 factor","OK")))</f>
        <v>OK</v>
      </c>
    </row>
    <row r="24" customFormat="false" ht="15" hidden="false" customHeight="false" outlineLevel="0" collapsed="false">
      <c r="A24" s="5" t="s">
        <v>27</v>
      </c>
      <c r="B24" s="5" t="s">
        <v>83</v>
      </c>
      <c r="C24" s="5" t="s">
        <v>70</v>
      </c>
      <c r="D24" s="5" t="s">
        <v>75</v>
      </c>
      <c r="E24" s="5" t="s">
        <v>72</v>
      </c>
      <c r="F24" s="5" t="s">
        <v>73</v>
      </c>
      <c r="G24" s="5"/>
      <c r="H24" s="5" t="s">
        <v>6</v>
      </c>
      <c r="I24" s="13" t="n">
        <v>3263</v>
      </c>
      <c r="J24" s="5" t="n">
        <v>100</v>
      </c>
      <c r="K24" s="5" t="n">
        <v>0</v>
      </c>
      <c r="L24" s="5" t="s">
        <v>76</v>
      </c>
      <c r="M24" s="14" t="n">
        <v>0.64</v>
      </c>
      <c r="N24" s="15" t="n">
        <v>2.0883</v>
      </c>
      <c r="O24" s="15"/>
      <c r="P24" s="15" t="n">
        <v>2.0883</v>
      </c>
      <c r="Q24" s="15" t="n">
        <f aca="false">IF(M24="","",I24*M24/1000)</f>
        <v>2.08832</v>
      </c>
      <c r="R24" s="15" t="n">
        <f aca="false">IF(Q24="","",Q24-N(P24))</f>
        <v>2.0000000000131E-005</v>
      </c>
      <c r="S24" s="5" t="str">
        <f aca="false">IF(L24="","",IF(ISNUMBER(SEARCH("25-26",L24)),"25-26",IF(ISNUMBER(SEARCH("24-25",L24)),"24-25","other")))</f>
        <v>25-26</v>
      </c>
      <c r="T24" s="5"/>
      <c r="U24" s="13"/>
      <c r="V24" s="5"/>
      <c r="W24" s="5" t="str">
        <f aca="false">IF(AND(R24&lt;&gt;"",ABS(R24)&gt;0.05),"CO2e not kWh x factor",IF(V24="kWh differs from source","Virtual meter not mirroring",IF(AND(D24="Certificates - Location [kWh]",S24="24-25"),"Certificate on 24-25 factor","OK")))</f>
        <v>OK</v>
      </c>
    </row>
    <row r="25" customFormat="false" ht="15" hidden="false" customHeight="false" outlineLevel="0" collapsed="false">
      <c r="A25" s="5" t="s">
        <v>27</v>
      </c>
      <c r="B25" s="5" t="s">
        <v>83</v>
      </c>
      <c r="C25" s="5" t="s">
        <v>70</v>
      </c>
      <c r="D25" s="5" t="s">
        <v>75</v>
      </c>
      <c r="E25" s="5" t="s">
        <v>72</v>
      </c>
      <c r="F25" s="5" t="s">
        <v>73</v>
      </c>
      <c r="G25" s="5"/>
      <c r="H25" s="5" t="s">
        <v>7</v>
      </c>
      <c r="I25" s="13" t="n">
        <v>7904.1</v>
      </c>
      <c r="J25" s="5" t="n">
        <v>100</v>
      </c>
      <c r="K25" s="5" t="n">
        <v>0</v>
      </c>
      <c r="L25" s="5" t="s">
        <v>76</v>
      </c>
      <c r="M25" s="14" t="n">
        <v>0.64</v>
      </c>
      <c r="N25" s="15" t="n">
        <v>5.0586</v>
      </c>
      <c r="O25" s="15"/>
      <c r="P25" s="15" t="n">
        <v>5.0586</v>
      </c>
      <c r="Q25" s="15" t="n">
        <f aca="false">IF(M25="","",I25*M25/1000)</f>
        <v>5.058624</v>
      </c>
      <c r="R25" s="15" t="n">
        <f aca="false">IF(Q25="","",Q25-N(P25))</f>
        <v>2.40000000006901E-005</v>
      </c>
      <c r="S25" s="5" t="str">
        <f aca="false">IF(L25="","",IF(ISNUMBER(SEARCH("25-26",L25)),"25-26",IF(ISNUMBER(SEARCH("24-25",L25)),"24-25","other")))</f>
        <v>25-26</v>
      </c>
      <c r="T25" s="5"/>
      <c r="U25" s="13"/>
      <c r="V25" s="5"/>
      <c r="W25" s="5" t="str">
        <f aca="false">IF(AND(R25&lt;&gt;"",ABS(R25)&gt;0.05),"CO2e not kWh x factor",IF(V25="kWh differs from source","Virtual meter not mirroring",IF(AND(D25="Certificates - Location [kWh]",S25="24-25"),"Certificate on 24-25 factor","OK")))</f>
        <v>OK</v>
      </c>
    </row>
    <row r="26" customFormat="false" ht="15" hidden="false" customHeight="false" outlineLevel="0" collapsed="false">
      <c r="A26" s="5" t="s">
        <v>27</v>
      </c>
      <c r="B26" s="5" t="s">
        <v>83</v>
      </c>
      <c r="C26" s="5" t="s">
        <v>70</v>
      </c>
      <c r="D26" s="5" t="s">
        <v>75</v>
      </c>
      <c r="E26" s="5" t="s">
        <v>72</v>
      </c>
      <c r="F26" s="5" t="s">
        <v>73</v>
      </c>
      <c r="G26" s="5"/>
      <c r="H26" s="5" t="s">
        <v>8</v>
      </c>
      <c r="I26" s="13" t="n">
        <v>26500.7</v>
      </c>
      <c r="J26" s="5" t="n">
        <v>100</v>
      </c>
      <c r="K26" s="5" t="n">
        <v>0</v>
      </c>
      <c r="L26" s="5" t="s">
        <v>76</v>
      </c>
      <c r="M26" s="14" t="n">
        <v>0.64</v>
      </c>
      <c r="N26" s="15" t="n">
        <v>16.9604</v>
      </c>
      <c r="O26" s="15"/>
      <c r="P26" s="15" t="n">
        <v>16.9604</v>
      </c>
      <c r="Q26" s="15" t="n">
        <f aca="false">IF(M26="","",I26*M26/1000)</f>
        <v>16.960448</v>
      </c>
      <c r="R26" s="15" t="n">
        <f aca="false">IF(Q26="","",Q26-N(P26))</f>
        <v>4.79999999996039E-005</v>
      </c>
      <c r="S26" s="5" t="str">
        <f aca="false">IF(L26="","",IF(ISNUMBER(SEARCH("25-26",L26)),"25-26",IF(ISNUMBER(SEARCH("24-25",L26)),"24-25","other")))</f>
        <v>25-26</v>
      </c>
      <c r="T26" s="5"/>
      <c r="U26" s="13"/>
      <c r="V26" s="5"/>
      <c r="W26" s="5" t="str">
        <f aca="false">IF(AND(R26&lt;&gt;"",ABS(R26)&gt;0.05),"CO2e not kWh x factor",IF(V26="kWh differs from source","Virtual meter not mirroring",IF(AND(D26="Certificates - Location [kWh]",S26="24-25"),"Certificate on 24-25 factor","OK")))</f>
        <v>OK</v>
      </c>
    </row>
    <row r="27" customFormat="false" ht="15" hidden="false" customHeight="false" outlineLevel="0" collapsed="false">
      <c r="A27" s="5" t="s">
        <v>27</v>
      </c>
      <c r="B27" s="5" t="s">
        <v>83</v>
      </c>
      <c r="C27" s="5" t="s">
        <v>70</v>
      </c>
      <c r="D27" s="5" t="s">
        <v>75</v>
      </c>
      <c r="E27" s="5" t="s">
        <v>72</v>
      </c>
      <c r="F27" s="5" t="s">
        <v>73</v>
      </c>
      <c r="G27" s="5"/>
      <c r="H27" s="5" t="s">
        <v>9</v>
      </c>
      <c r="I27" s="13" t="n">
        <v>27646.5</v>
      </c>
      <c r="J27" s="5" t="n">
        <v>100</v>
      </c>
      <c r="K27" s="5" t="n">
        <v>0</v>
      </c>
      <c r="L27" s="5" t="s">
        <v>76</v>
      </c>
      <c r="M27" s="14" t="n">
        <v>0.64</v>
      </c>
      <c r="N27" s="15" t="n">
        <v>17.6938</v>
      </c>
      <c r="O27" s="15"/>
      <c r="P27" s="15" t="n">
        <v>17.6938</v>
      </c>
      <c r="Q27" s="15" t="n">
        <f aca="false">IF(M27="","",I27*M27/1000)</f>
        <v>17.69376</v>
      </c>
      <c r="R27" s="15" t="n">
        <f aca="false">IF(Q27="","",Q27-N(P27))</f>
        <v>-3.99999999984857E-005</v>
      </c>
      <c r="S27" s="5" t="str">
        <f aca="false">IF(L27="","",IF(ISNUMBER(SEARCH("25-26",L27)),"25-26",IF(ISNUMBER(SEARCH("24-25",L27)),"24-25","other")))</f>
        <v>25-26</v>
      </c>
      <c r="T27" s="5"/>
      <c r="U27" s="13"/>
      <c r="V27" s="5"/>
      <c r="W27" s="5" t="str">
        <f aca="false">IF(AND(R27&lt;&gt;"",ABS(R27)&gt;0.05),"CO2e not kWh x factor",IF(V27="kWh differs from source","Virtual meter not mirroring",IF(AND(D27="Certificates - Location [kWh]",S27="24-25"),"Certificate on 24-25 factor","OK")))</f>
        <v>OK</v>
      </c>
    </row>
    <row r="28" customFormat="false" ht="15" hidden="false" customHeight="false" outlineLevel="0" collapsed="false">
      <c r="A28" s="5" t="s">
        <v>27</v>
      </c>
      <c r="B28" s="5" t="s">
        <v>84</v>
      </c>
      <c r="C28" s="5" t="s">
        <v>78</v>
      </c>
      <c r="D28" s="5" t="s">
        <v>79</v>
      </c>
      <c r="E28" s="5" t="s">
        <v>80</v>
      </c>
      <c r="F28" s="5" t="s">
        <v>81</v>
      </c>
      <c r="G28" s="5"/>
      <c r="H28" s="5" t="s">
        <v>8</v>
      </c>
      <c r="I28" s="13" t="n">
        <v>26500.7</v>
      </c>
      <c r="J28" s="5" t="n">
        <v>100</v>
      </c>
      <c r="K28" s="5" t="n">
        <v>0</v>
      </c>
      <c r="L28" s="5" t="s">
        <v>82</v>
      </c>
      <c r="M28" s="14" t="n">
        <v>-0.66</v>
      </c>
      <c r="N28" s="15"/>
      <c r="O28" s="15" t="n">
        <v>-17.4905</v>
      </c>
      <c r="P28" s="15" t="n">
        <v>-17.4905</v>
      </c>
      <c r="Q28" s="15" t="n">
        <f aca="false">IF(M28="","",I28*M28/1000)</f>
        <v>-17.490462</v>
      </c>
      <c r="R28" s="15" t="n">
        <f aca="false">IF(Q28="","",Q28-N(P28))</f>
        <v>3.79999999999825E-005</v>
      </c>
      <c r="S28" s="5" t="str">
        <f aca="false">IF(L28="","",IF(ISNUMBER(SEARCH("25-26",L28)),"25-26",IF(ISNUMBER(SEARCH("24-25",L28)),"24-25","other")))</f>
        <v>24-25</v>
      </c>
      <c r="T28" s="5" t="s">
        <v>83</v>
      </c>
      <c r="U28" s="13" t="n">
        <f aca="false">SUMIFS($I:$I,$B:$B,T28,$H:$H,H28,$D:$D,"Electricity [kWh]")</f>
        <v>26500.7</v>
      </c>
      <c r="V28" s="5" t="str">
        <f aca="false">IF(ABS(I28-U28)&lt;0.5,"Mirrors source","kWh differs from source")</f>
        <v>Mirrors source</v>
      </c>
      <c r="W28" s="5" t="str">
        <f aca="false">IF(AND(R28&lt;&gt;"",ABS(R28)&gt;0.05),"CO2e not kWh x factor",IF(V28="kWh differs from source","Virtual meter not mirroring",IF(AND(D28="Certificates - Location [kWh]",S28="24-25"),"Certificate on 24-25 factor","OK")))</f>
        <v>Certificate on 24-25 factor</v>
      </c>
    </row>
    <row r="29" customFormat="false" ht="15" hidden="false" customHeight="false" outlineLevel="0" collapsed="false">
      <c r="A29" s="5" t="s">
        <v>27</v>
      </c>
      <c r="B29" s="5" t="s">
        <v>84</v>
      </c>
      <c r="C29" s="5" t="s">
        <v>78</v>
      </c>
      <c r="D29" s="5" t="s">
        <v>79</v>
      </c>
      <c r="E29" s="5" t="s">
        <v>80</v>
      </c>
      <c r="F29" s="5" t="s">
        <v>81</v>
      </c>
      <c r="G29" s="5"/>
      <c r="H29" s="5" t="s">
        <v>9</v>
      </c>
      <c r="I29" s="13" t="n">
        <v>27646.5</v>
      </c>
      <c r="J29" s="5" t="n">
        <v>100</v>
      </c>
      <c r="K29" s="5" t="n">
        <v>0</v>
      </c>
      <c r="L29" s="5" t="s">
        <v>82</v>
      </c>
      <c r="M29" s="14" t="n">
        <v>-0.66</v>
      </c>
      <c r="N29" s="15"/>
      <c r="O29" s="15" t="n">
        <v>-18.2467</v>
      </c>
      <c r="P29" s="15" t="n">
        <v>-18.2467</v>
      </c>
      <c r="Q29" s="15" t="n">
        <f aca="false">IF(M29="","",I29*M29/1000)</f>
        <v>-18.24669</v>
      </c>
      <c r="R29" s="15" t="n">
        <f aca="false">IF(Q29="","",Q29-N(P29))</f>
        <v>9.99999999962142E-006</v>
      </c>
      <c r="S29" s="5" t="str">
        <f aca="false">IF(L29="","",IF(ISNUMBER(SEARCH("25-26",L29)),"25-26",IF(ISNUMBER(SEARCH("24-25",L29)),"24-25","other")))</f>
        <v>24-25</v>
      </c>
      <c r="T29" s="5" t="s">
        <v>83</v>
      </c>
      <c r="U29" s="13" t="n">
        <f aca="false">SUMIFS($I:$I,$B:$B,T29,$H:$H,H29,$D:$D,"Electricity [kWh]")</f>
        <v>27646.5</v>
      </c>
      <c r="V29" s="5" t="str">
        <f aca="false">IF(ABS(I29-U29)&lt;0.5,"Mirrors source","kWh differs from source")</f>
        <v>Mirrors source</v>
      </c>
      <c r="W29" s="5" t="str">
        <f aca="false">IF(AND(R29&lt;&gt;"",ABS(R29)&gt;0.05),"CO2e not kWh x factor",IF(V29="kWh differs from source","Virtual meter not mirroring",IF(AND(D29="Certificates - Location [kWh]",S29="24-25"),"Certificate on 24-25 factor","OK")))</f>
        <v>Certificate on 24-25 factor</v>
      </c>
    </row>
    <row r="30" customFormat="false" ht="15" hidden="false" customHeight="false" outlineLevel="0" collapsed="false">
      <c r="A30" s="5" t="s">
        <v>28</v>
      </c>
      <c r="B30" s="5" t="s">
        <v>85</v>
      </c>
      <c r="C30" s="5" t="s">
        <v>78</v>
      </c>
      <c r="D30" s="5" t="s">
        <v>79</v>
      </c>
      <c r="E30" s="5" t="s">
        <v>86</v>
      </c>
      <c r="F30" s="5" t="s">
        <v>87</v>
      </c>
      <c r="G30" s="5"/>
      <c r="H30" s="5" t="s">
        <v>4</v>
      </c>
      <c r="I30" s="13" t="n">
        <v>66.1</v>
      </c>
      <c r="J30" s="5" t="n">
        <v>100</v>
      </c>
      <c r="K30" s="5" t="n">
        <v>0</v>
      </c>
      <c r="L30" s="5" t="s">
        <v>88</v>
      </c>
      <c r="M30" s="14" t="n">
        <v>-0.78</v>
      </c>
      <c r="N30" s="15"/>
      <c r="O30" s="15" t="n">
        <v>-0.0516</v>
      </c>
      <c r="P30" s="15" t="n">
        <v>-0.0516</v>
      </c>
      <c r="Q30" s="15" t="n">
        <f aca="false">IF(M30="","",I30*M30/1000)</f>
        <v>-0.051558</v>
      </c>
      <c r="R30" s="15" t="n">
        <f aca="false">IF(Q30="","",Q30-N(P30))</f>
        <v>4.20000000000004E-005</v>
      </c>
      <c r="S30" s="5" t="str">
        <f aca="false">IF(L30="","",IF(ISNUMBER(SEARCH("25-26",L30)),"25-26",IF(ISNUMBER(SEARCH("24-25",L30)),"24-25","other")))</f>
        <v>25-26</v>
      </c>
      <c r="T30" s="5"/>
      <c r="U30" s="13"/>
      <c r="V30" s="5"/>
      <c r="W30" s="5" t="str">
        <f aca="false">IF(AND(R30&lt;&gt;"",ABS(R30)&gt;0.05),"CO2e not kWh x factor",IF(V30="kWh differs from source","Virtual meter not mirroring",IF(AND(D30="Certificates - Location [kWh]",S30="24-25"),"Certificate on 24-25 factor","OK")))</f>
        <v>OK</v>
      </c>
    </row>
    <row r="31" customFormat="false" ht="15" hidden="false" customHeight="false" outlineLevel="0" collapsed="false">
      <c r="A31" s="5" t="s">
        <v>28</v>
      </c>
      <c r="B31" s="5" t="s">
        <v>85</v>
      </c>
      <c r="C31" s="5" t="s">
        <v>78</v>
      </c>
      <c r="D31" s="5" t="s">
        <v>79</v>
      </c>
      <c r="E31" s="5" t="s">
        <v>86</v>
      </c>
      <c r="F31" s="5" t="s">
        <v>87</v>
      </c>
      <c r="G31" s="5"/>
      <c r="H31" s="5" t="s">
        <v>5</v>
      </c>
      <c r="I31" s="13" t="n">
        <v>140.3</v>
      </c>
      <c r="J31" s="5" t="n">
        <v>100</v>
      </c>
      <c r="K31" s="5" t="n">
        <v>0</v>
      </c>
      <c r="L31" s="5" t="s">
        <v>88</v>
      </c>
      <c r="M31" s="14" t="n">
        <v>-0.78</v>
      </c>
      <c r="N31" s="15"/>
      <c r="O31" s="15" t="n">
        <v>-0.1094</v>
      </c>
      <c r="P31" s="15" t="n">
        <v>-0.1094</v>
      </c>
      <c r="Q31" s="15" t="n">
        <f aca="false">IF(M31="","",I31*M31/1000)</f>
        <v>-0.109434</v>
      </c>
      <c r="R31" s="15" t="n">
        <f aca="false">IF(Q31="","",Q31-N(P31))</f>
        <v>-3.40000000000201E-005</v>
      </c>
      <c r="S31" s="5" t="str">
        <f aca="false">IF(L31="","",IF(ISNUMBER(SEARCH("25-26",L31)),"25-26",IF(ISNUMBER(SEARCH("24-25",L31)),"24-25","other")))</f>
        <v>25-26</v>
      </c>
      <c r="T31" s="5"/>
      <c r="U31" s="13"/>
      <c r="V31" s="5"/>
      <c r="W31" s="5" t="str">
        <f aca="false">IF(AND(R31&lt;&gt;"",ABS(R31)&gt;0.05),"CO2e not kWh x factor",IF(V31="kWh differs from source","Virtual meter not mirroring",IF(AND(D31="Certificates - Location [kWh]",S31="24-25"),"Certificate on 24-25 factor","OK")))</f>
        <v>OK</v>
      </c>
    </row>
    <row r="32" customFormat="false" ht="15" hidden="false" customHeight="false" outlineLevel="0" collapsed="false">
      <c r="A32" s="5" t="s">
        <v>28</v>
      </c>
      <c r="B32" s="5" t="s">
        <v>85</v>
      </c>
      <c r="C32" s="5" t="s">
        <v>78</v>
      </c>
      <c r="D32" s="5" t="s">
        <v>79</v>
      </c>
      <c r="E32" s="5" t="s">
        <v>86</v>
      </c>
      <c r="F32" s="5" t="s">
        <v>87</v>
      </c>
      <c r="G32" s="5"/>
      <c r="H32" s="5" t="s">
        <v>6</v>
      </c>
      <c r="I32" s="13" t="n">
        <v>18.7</v>
      </c>
      <c r="J32" s="5" t="n">
        <v>100</v>
      </c>
      <c r="K32" s="5" t="n">
        <v>0</v>
      </c>
      <c r="L32" s="5" t="s">
        <v>88</v>
      </c>
      <c r="M32" s="14" t="n">
        <v>-0.78</v>
      </c>
      <c r="N32" s="15"/>
      <c r="O32" s="15" t="n">
        <v>-0.0146</v>
      </c>
      <c r="P32" s="15" t="n">
        <v>-0.0146</v>
      </c>
      <c r="Q32" s="15" t="n">
        <f aca="false">IF(M32="","",I32*M32/1000)</f>
        <v>-0.014586</v>
      </c>
      <c r="R32" s="15" t="n">
        <f aca="false">IF(Q32="","",Q32-N(P32))</f>
        <v>1.40000000000001E-005</v>
      </c>
      <c r="S32" s="5" t="str">
        <f aca="false">IF(L32="","",IF(ISNUMBER(SEARCH("25-26",L32)),"25-26",IF(ISNUMBER(SEARCH("24-25",L32)),"24-25","other")))</f>
        <v>25-26</v>
      </c>
      <c r="T32" s="5"/>
      <c r="U32" s="13"/>
      <c r="V32" s="5"/>
      <c r="W32" s="5" t="str">
        <f aca="false">IF(AND(R32&lt;&gt;"",ABS(R32)&gt;0.05),"CO2e not kWh x factor",IF(V32="kWh differs from source","Virtual meter not mirroring",IF(AND(D32="Certificates - Location [kWh]",S32="24-25"),"Certificate on 24-25 factor","OK")))</f>
        <v>OK</v>
      </c>
    </row>
    <row r="33" customFormat="false" ht="15" hidden="false" customHeight="false" outlineLevel="0" collapsed="false">
      <c r="A33" s="5" t="s">
        <v>28</v>
      </c>
      <c r="B33" s="5" t="s">
        <v>85</v>
      </c>
      <c r="C33" s="5" t="s">
        <v>78</v>
      </c>
      <c r="D33" s="5" t="s">
        <v>79</v>
      </c>
      <c r="E33" s="5" t="s">
        <v>86</v>
      </c>
      <c r="F33" s="5" t="s">
        <v>87</v>
      </c>
      <c r="G33" s="5"/>
      <c r="H33" s="5" t="s">
        <v>7</v>
      </c>
      <c r="I33" s="13" t="n">
        <v>199.9</v>
      </c>
      <c r="J33" s="5" t="n">
        <v>100</v>
      </c>
      <c r="K33" s="5" t="n">
        <v>0</v>
      </c>
      <c r="L33" s="5" t="s">
        <v>88</v>
      </c>
      <c r="M33" s="14" t="n">
        <v>-0.78</v>
      </c>
      <c r="N33" s="15"/>
      <c r="O33" s="15" t="n">
        <v>-0.1559</v>
      </c>
      <c r="P33" s="15" t="n">
        <v>-0.1559</v>
      </c>
      <c r="Q33" s="15" t="n">
        <f aca="false">IF(M33="","",I33*M33/1000)</f>
        <v>-0.155922</v>
      </c>
      <c r="R33" s="15" t="n">
        <f aca="false">IF(Q33="","",Q33-N(P33))</f>
        <v>-2.19999999999942E-005</v>
      </c>
      <c r="S33" s="5" t="str">
        <f aca="false">IF(L33="","",IF(ISNUMBER(SEARCH("25-26",L33)),"25-26",IF(ISNUMBER(SEARCH("24-25",L33)),"24-25","other")))</f>
        <v>25-26</v>
      </c>
      <c r="T33" s="5"/>
      <c r="U33" s="13"/>
      <c r="V33" s="5"/>
      <c r="W33" s="5" t="str">
        <f aca="false">IF(AND(R33&lt;&gt;"",ABS(R33)&gt;0.05),"CO2e not kWh x factor",IF(V33="kWh differs from source","Virtual meter not mirroring",IF(AND(D33="Certificates - Location [kWh]",S33="24-25"),"Certificate on 24-25 factor","OK")))</f>
        <v>OK</v>
      </c>
    </row>
    <row r="34" customFormat="false" ht="15" hidden="false" customHeight="false" outlineLevel="0" collapsed="false">
      <c r="A34" s="5" t="s">
        <v>28</v>
      </c>
      <c r="B34" s="5" t="s">
        <v>85</v>
      </c>
      <c r="C34" s="5" t="s">
        <v>78</v>
      </c>
      <c r="D34" s="5" t="s">
        <v>79</v>
      </c>
      <c r="E34" s="5" t="s">
        <v>86</v>
      </c>
      <c r="F34" s="5" t="s">
        <v>87</v>
      </c>
      <c r="G34" s="5"/>
      <c r="H34" s="5" t="s">
        <v>8</v>
      </c>
      <c r="I34" s="13" t="n">
        <v>206.5623</v>
      </c>
      <c r="J34" s="5" t="n">
        <v>0</v>
      </c>
      <c r="K34" s="5" t="n">
        <v>0</v>
      </c>
      <c r="L34" s="5" t="s">
        <v>88</v>
      </c>
      <c r="M34" s="14" t="n">
        <v>-0.78</v>
      </c>
      <c r="N34" s="15"/>
      <c r="O34" s="15" t="n">
        <v>-0.1611</v>
      </c>
      <c r="P34" s="15" t="n">
        <v>-0.1611</v>
      </c>
      <c r="Q34" s="15" t="n">
        <f aca="false">IF(M34="","",I34*M34/1000)</f>
        <v>-0.161118594</v>
      </c>
      <c r="R34" s="15" t="n">
        <f aca="false">IF(Q34="","",Q34-N(P34))</f>
        <v>-1.85940000000107E-005</v>
      </c>
      <c r="S34" s="5" t="str">
        <f aca="false">IF(L34="","",IF(ISNUMBER(SEARCH("25-26",L34)),"25-26",IF(ISNUMBER(SEARCH("24-25",L34)),"24-25","other")))</f>
        <v>25-26</v>
      </c>
      <c r="T34" s="5"/>
      <c r="U34" s="13"/>
      <c r="V34" s="5"/>
      <c r="W34" s="5" t="str">
        <f aca="false">IF(AND(R34&lt;&gt;"",ABS(R34)&gt;0.05),"CO2e not kWh x factor",IF(V34="kWh differs from source","Virtual meter not mirroring",IF(AND(D34="Certificates - Location [kWh]",S34="24-25"),"Certificate on 24-25 factor","OK")))</f>
        <v>OK</v>
      </c>
    </row>
    <row r="35" customFormat="false" ht="15" hidden="false" customHeight="false" outlineLevel="0" collapsed="false">
      <c r="A35" s="5" t="s">
        <v>28</v>
      </c>
      <c r="B35" s="5" t="s">
        <v>85</v>
      </c>
      <c r="C35" s="5" t="s">
        <v>78</v>
      </c>
      <c r="D35" s="5" t="s">
        <v>79</v>
      </c>
      <c r="E35" s="5" t="s">
        <v>86</v>
      </c>
      <c r="F35" s="5" t="s">
        <v>87</v>
      </c>
      <c r="G35" s="5"/>
      <c r="H35" s="5" t="s">
        <v>9</v>
      </c>
      <c r="I35" s="13" t="n">
        <v>206.5623</v>
      </c>
      <c r="J35" s="5" t="n">
        <v>0</v>
      </c>
      <c r="K35" s="5" t="n">
        <v>0</v>
      </c>
      <c r="L35" s="5" t="s">
        <v>88</v>
      </c>
      <c r="M35" s="14" t="n">
        <v>-0.78</v>
      </c>
      <c r="N35" s="15"/>
      <c r="O35" s="15" t="n">
        <v>-0.1611</v>
      </c>
      <c r="P35" s="15" t="n">
        <v>-0.1611</v>
      </c>
      <c r="Q35" s="15" t="n">
        <f aca="false">IF(M35="","",I35*M35/1000)</f>
        <v>-0.161118594</v>
      </c>
      <c r="R35" s="15" t="n">
        <f aca="false">IF(Q35="","",Q35-N(P35))</f>
        <v>-1.85940000000107E-005</v>
      </c>
      <c r="S35" s="5" t="str">
        <f aca="false">IF(L35="","",IF(ISNUMBER(SEARCH("25-26",L35)),"25-26",IF(ISNUMBER(SEARCH("24-25",L35)),"24-25","other")))</f>
        <v>25-26</v>
      </c>
      <c r="T35" s="5"/>
      <c r="U35" s="13"/>
      <c r="V35" s="5"/>
      <c r="W35" s="5" t="str">
        <f aca="false">IF(AND(R35&lt;&gt;"",ABS(R35)&gt;0.05),"CO2e not kWh x factor",IF(V35="kWh differs from source","Virtual meter not mirroring",IF(AND(D35="Certificates - Location [kWh]",S35="24-25"),"Certificate on 24-25 factor","OK")))</f>
        <v>OK</v>
      </c>
    </row>
    <row r="36" customFormat="false" ht="15" hidden="false" customHeight="false" outlineLevel="0" collapsed="false">
      <c r="A36" s="5" t="s">
        <v>28</v>
      </c>
      <c r="B36" s="5" t="s">
        <v>89</v>
      </c>
      <c r="C36" s="5" t="s">
        <v>90</v>
      </c>
      <c r="D36" s="5" t="s">
        <v>75</v>
      </c>
      <c r="E36" s="5" t="s">
        <v>91</v>
      </c>
      <c r="F36" s="5" t="s">
        <v>92</v>
      </c>
      <c r="G36" s="5"/>
      <c r="H36" s="5" t="s">
        <v>4</v>
      </c>
      <c r="I36" s="13" t="n">
        <v>66.1</v>
      </c>
      <c r="J36" s="5" t="n">
        <v>100</v>
      </c>
      <c r="K36" s="5" t="n">
        <v>0</v>
      </c>
      <c r="L36" s="5" t="s">
        <v>93</v>
      </c>
      <c r="M36" s="14" t="n">
        <v>0.78</v>
      </c>
      <c r="N36" s="15" t="n">
        <v>0.0516</v>
      </c>
      <c r="O36" s="15"/>
      <c r="P36" s="15" t="n">
        <v>0.0516</v>
      </c>
      <c r="Q36" s="15" t="n">
        <f aca="false">IF(M36="","",I36*M36/1000)</f>
        <v>0.051558</v>
      </c>
      <c r="R36" s="15" t="n">
        <f aca="false">IF(Q36="","",Q36-N(P36))</f>
        <v>-4.20000000000004E-005</v>
      </c>
      <c r="S36" s="5" t="str">
        <f aca="false">IF(L36="","",IF(ISNUMBER(SEARCH("25-26",L36)),"25-26",IF(ISNUMBER(SEARCH("24-25",L36)),"24-25","other")))</f>
        <v>25-26</v>
      </c>
      <c r="T36" s="5"/>
      <c r="U36" s="13"/>
      <c r="V36" s="5"/>
      <c r="W36" s="5" t="str">
        <f aca="false">IF(AND(R36&lt;&gt;"",ABS(R36)&gt;0.05),"CO2e not kWh x factor",IF(V36="kWh differs from source","Virtual meter not mirroring",IF(AND(D36="Certificates - Location [kWh]",S36="24-25"),"Certificate on 24-25 factor","OK")))</f>
        <v>OK</v>
      </c>
    </row>
    <row r="37" customFormat="false" ht="15" hidden="false" customHeight="false" outlineLevel="0" collapsed="false">
      <c r="A37" s="5" t="s">
        <v>28</v>
      </c>
      <c r="B37" s="5" t="s">
        <v>89</v>
      </c>
      <c r="C37" s="5" t="s">
        <v>90</v>
      </c>
      <c r="D37" s="5" t="s">
        <v>75</v>
      </c>
      <c r="E37" s="5" t="s">
        <v>91</v>
      </c>
      <c r="F37" s="5" t="s">
        <v>92</v>
      </c>
      <c r="G37" s="5"/>
      <c r="H37" s="5" t="s">
        <v>5</v>
      </c>
      <c r="I37" s="13" t="n">
        <v>140.3</v>
      </c>
      <c r="J37" s="5" t="n">
        <v>100</v>
      </c>
      <c r="K37" s="5" t="n">
        <v>0</v>
      </c>
      <c r="L37" s="5" t="s">
        <v>93</v>
      </c>
      <c r="M37" s="14" t="n">
        <v>0.78</v>
      </c>
      <c r="N37" s="15" t="n">
        <v>0.1094</v>
      </c>
      <c r="O37" s="15"/>
      <c r="P37" s="15" t="n">
        <v>0.1094</v>
      </c>
      <c r="Q37" s="15" t="n">
        <f aca="false">IF(M37="","",I37*M37/1000)</f>
        <v>0.109434</v>
      </c>
      <c r="R37" s="15" t="n">
        <f aca="false">IF(Q37="","",Q37-N(P37))</f>
        <v>3.40000000000201E-005</v>
      </c>
      <c r="S37" s="5" t="str">
        <f aca="false">IF(L37="","",IF(ISNUMBER(SEARCH("25-26",L37)),"25-26",IF(ISNUMBER(SEARCH("24-25",L37)),"24-25","other")))</f>
        <v>25-26</v>
      </c>
      <c r="T37" s="5"/>
      <c r="U37" s="13"/>
      <c r="V37" s="5"/>
      <c r="W37" s="5" t="str">
        <f aca="false">IF(AND(R37&lt;&gt;"",ABS(R37)&gt;0.05),"CO2e not kWh x factor",IF(V37="kWh differs from source","Virtual meter not mirroring",IF(AND(D37="Certificates - Location [kWh]",S37="24-25"),"Certificate on 24-25 factor","OK")))</f>
        <v>OK</v>
      </c>
    </row>
    <row r="38" customFormat="false" ht="15" hidden="false" customHeight="false" outlineLevel="0" collapsed="false">
      <c r="A38" s="5" t="s">
        <v>28</v>
      </c>
      <c r="B38" s="5" t="s">
        <v>89</v>
      </c>
      <c r="C38" s="5" t="s">
        <v>90</v>
      </c>
      <c r="D38" s="5" t="s">
        <v>75</v>
      </c>
      <c r="E38" s="5" t="s">
        <v>91</v>
      </c>
      <c r="F38" s="5" t="s">
        <v>92</v>
      </c>
      <c r="G38" s="5"/>
      <c r="H38" s="5" t="s">
        <v>6</v>
      </c>
      <c r="I38" s="13" t="n">
        <v>18.7</v>
      </c>
      <c r="J38" s="5" t="n">
        <v>100</v>
      </c>
      <c r="K38" s="5" t="n">
        <v>0</v>
      </c>
      <c r="L38" s="5" t="s">
        <v>93</v>
      </c>
      <c r="M38" s="14" t="n">
        <v>0.78</v>
      </c>
      <c r="N38" s="15" t="n">
        <v>0.0146</v>
      </c>
      <c r="O38" s="15"/>
      <c r="P38" s="15" t="n">
        <v>0.0146</v>
      </c>
      <c r="Q38" s="15" t="n">
        <f aca="false">IF(M38="","",I38*M38/1000)</f>
        <v>0.014586</v>
      </c>
      <c r="R38" s="15" t="n">
        <f aca="false">IF(Q38="","",Q38-N(P38))</f>
        <v>-1.40000000000001E-005</v>
      </c>
      <c r="S38" s="5" t="str">
        <f aca="false">IF(L38="","",IF(ISNUMBER(SEARCH("25-26",L38)),"25-26",IF(ISNUMBER(SEARCH("24-25",L38)),"24-25","other")))</f>
        <v>25-26</v>
      </c>
      <c r="T38" s="5"/>
      <c r="U38" s="13"/>
      <c r="V38" s="5"/>
      <c r="W38" s="5" t="str">
        <f aca="false">IF(AND(R38&lt;&gt;"",ABS(R38)&gt;0.05),"CO2e not kWh x factor",IF(V38="kWh differs from source","Virtual meter not mirroring",IF(AND(D38="Certificates - Location [kWh]",S38="24-25"),"Certificate on 24-25 factor","OK")))</f>
        <v>OK</v>
      </c>
    </row>
    <row r="39" customFormat="false" ht="15" hidden="false" customHeight="false" outlineLevel="0" collapsed="false">
      <c r="A39" s="5" t="s">
        <v>28</v>
      </c>
      <c r="B39" s="5" t="s">
        <v>89</v>
      </c>
      <c r="C39" s="5" t="s">
        <v>90</v>
      </c>
      <c r="D39" s="5" t="s">
        <v>75</v>
      </c>
      <c r="E39" s="5" t="s">
        <v>91</v>
      </c>
      <c r="F39" s="5" t="s">
        <v>92</v>
      </c>
      <c r="G39" s="5"/>
      <c r="H39" s="5" t="s">
        <v>7</v>
      </c>
      <c r="I39" s="13" t="n">
        <v>199.9</v>
      </c>
      <c r="J39" s="5" t="n">
        <v>100</v>
      </c>
      <c r="K39" s="5" t="n">
        <v>0</v>
      </c>
      <c r="L39" s="5" t="s">
        <v>93</v>
      </c>
      <c r="M39" s="14" t="n">
        <v>0.78</v>
      </c>
      <c r="N39" s="15" t="n">
        <v>0.1559</v>
      </c>
      <c r="O39" s="15"/>
      <c r="P39" s="15" t="n">
        <v>0.1559</v>
      </c>
      <c r="Q39" s="15" t="n">
        <f aca="false">IF(M39="","",I39*M39/1000)</f>
        <v>0.155922</v>
      </c>
      <c r="R39" s="15" t="n">
        <f aca="false">IF(Q39="","",Q39-N(P39))</f>
        <v>2.19999999999942E-005</v>
      </c>
      <c r="S39" s="5" t="str">
        <f aca="false">IF(L39="","",IF(ISNUMBER(SEARCH("25-26",L39)),"25-26",IF(ISNUMBER(SEARCH("24-25",L39)),"24-25","other")))</f>
        <v>25-26</v>
      </c>
      <c r="T39" s="5"/>
      <c r="U39" s="13"/>
      <c r="V39" s="5"/>
      <c r="W39" s="5" t="str">
        <f aca="false">IF(AND(R39&lt;&gt;"",ABS(R39)&gt;0.05),"CO2e not kWh x factor",IF(V39="kWh differs from source","Virtual meter not mirroring",IF(AND(D39="Certificates - Location [kWh]",S39="24-25"),"Certificate on 24-25 factor","OK")))</f>
        <v>OK</v>
      </c>
    </row>
    <row r="40" customFormat="false" ht="15" hidden="false" customHeight="false" outlineLevel="0" collapsed="false">
      <c r="A40" s="5" t="s">
        <v>28</v>
      </c>
      <c r="B40" s="5" t="s">
        <v>89</v>
      </c>
      <c r="C40" s="5" t="s">
        <v>90</v>
      </c>
      <c r="D40" s="5" t="s">
        <v>75</v>
      </c>
      <c r="E40" s="5" t="s">
        <v>91</v>
      </c>
      <c r="F40" s="5" t="s">
        <v>92</v>
      </c>
      <c r="G40" s="5"/>
      <c r="H40" s="5" t="s">
        <v>8</v>
      </c>
      <c r="I40" s="13" t="n">
        <v>206.5623</v>
      </c>
      <c r="J40" s="5" t="n">
        <v>0</v>
      </c>
      <c r="K40" s="5" t="n">
        <v>100</v>
      </c>
      <c r="L40" s="5" t="s">
        <v>93</v>
      </c>
      <c r="M40" s="14" t="n">
        <v>0.78</v>
      </c>
      <c r="N40" s="15" t="n">
        <v>0.1611</v>
      </c>
      <c r="O40" s="15"/>
      <c r="P40" s="15" t="n">
        <v>0.1611</v>
      </c>
      <c r="Q40" s="15" t="n">
        <f aca="false">IF(M40="","",I40*M40/1000)</f>
        <v>0.161118594</v>
      </c>
      <c r="R40" s="15" t="n">
        <f aca="false">IF(Q40="","",Q40-N(P40))</f>
        <v>1.85940000000107E-005</v>
      </c>
      <c r="S40" s="5" t="str">
        <f aca="false">IF(L40="","",IF(ISNUMBER(SEARCH("25-26",L40)),"25-26",IF(ISNUMBER(SEARCH("24-25",L40)),"24-25","other")))</f>
        <v>25-26</v>
      </c>
      <c r="T40" s="5"/>
      <c r="U40" s="13"/>
      <c r="V40" s="5"/>
      <c r="W40" s="5" t="str">
        <f aca="false">IF(AND(R40&lt;&gt;"",ABS(R40)&gt;0.05),"CO2e not kWh x factor",IF(V40="kWh differs from source","Virtual meter not mirroring",IF(AND(D40="Certificates - Location [kWh]",S40="24-25"),"Certificate on 24-25 factor","OK")))</f>
        <v>OK</v>
      </c>
    </row>
    <row r="41" customFormat="false" ht="15" hidden="false" customHeight="false" outlineLevel="0" collapsed="false">
      <c r="A41" s="5" t="s">
        <v>28</v>
      </c>
      <c r="B41" s="5" t="s">
        <v>89</v>
      </c>
      <c r="C41" s="5" t="s">
        <v>90</v>
      </c>
      <c r="D41" s="5" t="s">
        <v>75</v>
      </c>
      <c r="E41" s="5" t="s">
        <v>91</v>
      </c>
      <c r="F41" s="5" t="s">
        <v>92</v>
      </c>
      <c r="G41" s="5"/>
      <c r="H41" s="5" t="s">
        <v>9</v>
      </c>
      <c r="I41" s="13" t="n">
        <v>206.5623</v>
      </c>
      <c r="J41" s="5" t="n">
        <v>0</v>
      </c>
      <c r="K41" s="5" t="n">
        <v>100</v>
      </c>
      <c r="L41" s="5" t="s">
        <v>93</v>
      </c>
      <c r="M41" s="14" t="n">
        <v>0.78</v>
      </c>
      <c r="N41" s="15" t="n">
        <v>0.1611</v>
      </c>
      <c r="O41" s="15"/>
      <c r="P41" s="15" t="n">
        <v>0.1611</v>
      </c>
      <c r="Q41" s="15" t="n">
        <f aca="false">IF(M41="","",I41*M41/1000)</f>
        <v>0.161118594</v>
      </c>
      <c r="R41" s="15" t="n">
        <f aca="false">IF(Q41="","",Q41-N(P41))</f>
        <v>1.85940000000107E-005</v>
      </c>
      <c r="S41" s="5" t="str">
        <f aca="false">IF(L41="","",IF(ISNUMBER(SEARCH("25-26",L41)),"25-26",IF(ISNUMBER(SEARCH("24-25",L41)),"24-25","other")))</f>
        <v>25-26</v>
      </c>
      <c r="T41" s="5"/>
      <c r="U41" s="13"/>
      <c r="V41" s="5"/>
      <c r="W41" s="5" t="str">
        <f aca="false">IF(AND(R41&lt;&gt;"",ABS(R41)&gt;0.05),"CO2e not kWh x factor",IF(V41="kWh differs from source","Virtual meter not mirroring",IF(AND(D41="Certificates - Location [kWh]",S41="24-25"),"Certificate on 24-25 factor","OK")))</f>
        <v>OK</v>
      </c>
    </row>
    <row r="42" customFormat="false" ht="15" hidden="false" customHeight="false" outlineLevel="0" collapsed="false">
      <c r="A42" s="5" t="s">
        <v>29</v>
      </c>
      <c r="B42" s="5" t="s">
        <v>94</v>
      </c>
      <c r="C42" s="5" t="s">
        <v>95</v>
      </c>
      <c r="D42" s="5" t="s">
        <v>71</v>
      </c>
      <c r="E42" s="5" t="s">
        <v>96</v>
      </c>
      <c r="F42" s="5"/>
      <c r="G42" s="5"/>
      <c r="H42" s="5" t="s">
        <v>4</v>
      </c>
      <c r="I42" s="13" t="n">
        <v>0</v>
      </c>
      <c r="J42" s="5"/>
      <c r="K42" s="5"/>
      <c r="L42" s="5" t="s">
        <v>74</v>
      </c>
      <c r="M42" s="14" t="n">
        <v>-0.64</v>
      </c>
      <c r="N42" s="15"/>
      <c r="O42" s="15" t="n">
        <v>0</v>
      </c>
      <c r="P42" s="15"/>
      <c r="Q42" s="15" t="n">
        <f aca="false">IF(M42="","",I42*M42/1000)</f>
        <v>-0</v>
      </c>
      <c r="R42" s="15" t="n">
        <f aca="false">IF(Q42="","",Q42-N(P42))</f>
        <v>-0</v>
      </c>
      <c r="S42" s="5" t="str">
        <f aca="false">IF(L42="","",IF(ISNUMBER(SEARCH("25-26",L42)),"25-26",IF(ISNUMBER(SEARCH("24-25",L42)),"24-25","other")))</f>
        <v>25-26</v>
      </c>
      <c r="T42" s="5"/>
      <c r="U42" s="13"/>
      <c r="V42" s="5"/>
      <c r="W42" s="5" t="str">
        <f aca="false">IF(AND(R42&lt;&gt;"",ABS(R42)&gt;0.05),"CO2e not kWh x factor",IF(V42="kWh differs from source","Virtual meter not mirroring",IF(AND(D42="Certificates - Location [kWh]",S42="24-25"),"Certificate on 24-25 factor","OK")))</f>
        <v>OK</v>
      </c>
    </row>
    <row r="43" customFormat="false" ht="15" hidden="false" customHeight="false" outlineLevel="0" collapsed="false">
      <c r="A43" s="5" t="s">
        <v>29</v>
      </c>
      <c r="B43" s="5" t="s">
        <v>94</v>
      </c>
      <c r="C43" s="5" t="s">
        <v>95</v>
      </c>
      <c r="D43" s="5" t="s">
        <v>71</v>
      </c>
      <c r="E43" s="5" t="s">
        <v>96</v>
      </c>
      <c r="F43" s="5"/>
      <c r="G43" s="5"/>
      <c r="H43" s="5" t="s">
        <v>5</v>
      </c>
      <c r="I43" s="13" t="n">
        <v>0</v>
      </c>
      <c r="J43" s="5"/>
      <c r="K43" s="5"/>
      <c r="L43" s="5" t="s">
        <v>74</v>
      </c>
      <c r="M43" s="14" t="n">
        <v>-0.64</v>
      </c>
      <c r="N43" s="15"/>
      <c r="O43" s="15" t="n">
        <v>0</v>
      </c>
      <c r="P43" s="15"/>
      <c r="Q43" s="15" t="n">
        <f aca="false">IF(M43="","",I43*M43/1000)</f>
        <v>-0</v>
      </c>
      <c r="R43" s="15" t="n">
        <f aca="false">IF(Q43="","",Q43-N(P43))</f>
        <v>-0</v>
      </c>
      <c r="S43" s="5" t="str">
        <f aca="false">IF(L43="","",IF(ISNUMBER(SEARCH("25-26",L43)),"25-26",IF(ISNUMBER(SEARCH("24-25",L43)),"24-25","other")))</f>
        <v>25-26</v>
      </c>
      <c r="T43" s="5"/>
      <c r="U43" s="13"/>
      <c r="V43" s="5"/>
      <c r="W43" s="5" t="str">
        <f aca="false">IF(AND(R43&lt;&gt;"",ABS(R43)&gt;0.05),"CO2e not kWh x factor",IF(V43="kWh differs from source","Virtual meter not mirroring",IF(AND(D43="Certificates - Location [kWh]",S43="24-25"),"Certificate on 24-25 factor","OK")))</f>
        <v>OK</v>
      </c>
    </row>
    <row r="44" customFormat="false" ht="15" hidden="false" customHeight="false" outlineLevel="0" collapsed="false">
      <c r="A44" s="5" t="s">
        <v>29</v>
      </c>
      <c r="B44" s="5" t="s">
        <v>94</v>
      </c>
      <c r="C44" s="5" t="s">
        <v>95</v>
      </c>
      <c r="D44" s="5" t="s">
        <v>71</v>
      </c>
      <c r="E44" s="5" t="s">
        <v>96</v>
      </c>
      <c r="F44" s="5"/>
      <c r="G44" s="5"/>
      <c r="H44" s="5" t="s">
        <v>6</v>
      </c>
      <c r="I44" s="13" t="n">
        <v>0</v>
      </c>
      <c r="J44" s="5"/>
      <c r="K44" s="5"/>
      <c r="L44" s="5" t="s">
        <v>74</v>
      </c>
      <c r="M44" s="14" t="n">
        <v>-0.64</v>
      </c>
      <c r="N44" s="15"/>
      <c r="O44" s="15" t="n">
        <v>0</v>
      </c>
      <c r="P44" s="15"/>
      <c r="Q44" s="15" t="n">
        <f aca="false">IF(M44="","",I44*M44/1000)</f>
        <v>-0</v>
      </c>
      <c r="R44" s="15" t="n">
        <f aca="false">IF(Q44="","",Q44-N(P44))</f>
        <v>-0</v>
      </c>
      <c r="S44" s="5" t="str">
        <f aca="false">IF(L44="","",IF(ISNUMBER(SEARCH("25-26",L44)),"25-26",IF(ISNUMBER(SEARCH("24-25",L44)),"24-25","other")))</f>
        <v>25-26</v>
      </c>
      <c r="T44" s="5"/>
      <c r="U44" s="13"/>
      <c r="V44" s="5"/>
      <c r="W44" s="5" t="str">
        <f aca="false">IF(AND(R44&lt;&gt;"",ABS(R44)&gt;0.05),"CO2e not kWh x factor",IF(V44="kWh differs from source","Virtual meter not mirroring",IF(AND(D44="Certificates - Location [kWh]",S44="24-25"),"Certificate on 24-25 factor","OK")))</f>
        <v>OK</v>
      </c>
    </row>
    <row r="45" customFormat="false" ht="15" hidden="false" customHeight="false" outlineLevel="0" collapsed="false">
      <c r="A45" s="5" t="s">
        <v>29</v>
      </c>
      <c r="B45" s="5" t="s">
        <v>94</v>
      </c>
      <c r="C45" s="5" t="s">
        <v>95</v>
      </c>
      <c r="D45" s="5" t="s">
        <v>71</v>
      </c>
      <c r="E45" s="5" t="s">
        <v>96</v>
      </c>
      <c r="F45" s="5"/>
      <c r="G45" s="5"/>
      <c r="H45" s="5" t="s">
        <v>7</v>
      </c>
      <c r="I45" s="13" t="n">
        <v>0</v>
      </c>
      <c r="J45" s="5"/>
      <c r="K45" s="5"/>
      <c r="L45" s="5" t="s">
        <v>74</v>
      </c>
      <c r="M45" s="14" t="n">
        <v>-0.64</v>
      </c>
      <c r="N45" s="15"/>
      <c r="O45" s="15" t="n">
        <v>0</v>
      </c>
      <c r="P45" s="15"/>
      <c r="Q45" s="15" t="n">
        <f aca="false">IF(M45="","",I45*M45/1000)</f>
        <v>-0</v>
      </c>
      <c r="R45" s="15" t="n">
        <f aca="false">IF(Q45="","",Q45-N(P45))</f>
        <v>-0</v>
      </c>
      <c r="S45" s="5" t="str">
        <f aca="false">IF(L45="","",IF(ISNUMBER(SEARCH("25-26",L45)),"25-26",IF(ISNUMBER(SEARCH("24-25",L45)),"24-25","other")))</f>
        <v>25-26</v>
      </c>
      <c r="T45" s="5"/>
      <c r="U45" s="13"/>
      <c r="V45" s="5"/>
      <c r="W45" s="5" t="str">
        <f aca="false">IF(AND(R45&lt;&gt;"",ABS(R45)&gt;0.05),"CO2e not kWh x factor",IF(V45="kWh differs from source","Virtual meter not mirroring",IF(AND(D45="Certificates - Location [kWh]",S45="24-25"),"Certificate on 24-25 factor","OK")))</f>
        <v>OK</v>
      </c>
    </row>
    <row r="46" customFormat="false" ht="15" hidden="false" customHeight="false" outlineLevel="0" collapsed="false">
      <c r="A46" s="5" t="s">
        <v>29</v>
      </c>
      <c r="B46" s="5" t="s">
        <v>94</v>
      </c>
      <c r="C46" s="5" t="s">
        <v>95</v>
      </c>
      <c r="D46" s="5" t="s">
        <v>71</v>
      </c>
      <c r="E46" s="5" t="s">
        <v>96</v>
      </c>
      <c r="F46" s="5"/>
      <c r="G46" s="5"/>
      <c r="H46" s="5" t="s">
        <v>8</v>
      </c>
      <c r="I46" s="13" t="n">
        <v>0</v>
      </c>
      <c r="J46" s="5"/>
      <c r="K46" s="5"/>
      <c r="L46" s="5" t="s">
        <v>74</v>
      </c>
      <c r="M46" s="14" t="n">
        <v>-0.64</v>
      </c>
      <c r="N46" s="15"/>
      <c r="O46" s="15" t="n">
        <v>0</v>
      </c>
      <c r="P46" s="15"/>
      <c r="Q46" s="15" t="n">
        <f aca="false">IF(M46="","",I46*M46/1000)</f>
        <v>-0</v>
      </c>
      <c r="R46" s="15" t="n">
        <f aca="false">IF(Q46="","",Q46-N(P46))</f>
        <v>-0</v>
      </c>
      <c r="S46" s="5" t="str">
        <f aca="false">IF(L46="","",IF(ISNUMBER(SEARCH("25-26",L46)),"25-26",IF(ISNUMBER(SEARCH("24-25",L46)),"24-25","other")))</f>
        <v>25-26</v>
      </c>
      <c r="T46" s="5"/>
      <c r="U46" s="13"/>
      <c r="V46" s="5"/>
      <c r="W46" s="5" t="str">
        <f aca="false">IF(AND(R46&lt;&gt;"",ABS(R46)&gt;0.05),"CO2e not kWh x factor",IF(V46="kWh differs from source","Virtual meter not mirroring",IF(AND(D46="Certificates - Location [kWh]",S46="24-25"),"Certificate on 24-25 factor","OK")))</f>
        <v>OK</v>
      </c>
    </row>
    <row r="47" customFormat="false" ht="15" hidden="false" customHeight="false" outlineLevel="0" collapsed="false">
      <c r="A47" s="5" t="s">
        <v>29</v>
      </c>
      <c r="B47" s="5" t="s">
        <v>94</v>
      </c>
      <c r="C47" s="5" t="s">
        <v>95</v>
      </c>
      <c r="D47" s="5" t="s">
        <v>71</v>
      </c>
      <c r="E47" s="5" t="s">
        <v>96</v>
      </c>
      <c r="F47" s="5"/>
      <c r="G47" s="5"/>
      <c r="H47" s="5" t="s">
        <v>9</v>
      </c>
      <c r="I47" s="13" t="n">
        <v>0</v>
      </c>
      <c r="J47" s="5"/>
      <c r="K47" s="5"/>
      <c r="L47" s="5" t="s">
        <v>74</v>
      </c>
      <c r="M47" s="14" t="n">
        <v>-0.64</v>
      </c>
      <c r="N47" s="15"/>
      <c r="O47" s="15" t="n">
        <v>0</v>
      </c>
      <c r="P47" s="15"/>
      <c r="Q47" s="15" t="n">
        <f aca="false">IF(M47="","",I47*M47/1000)</f>
        <v>-0</v>
      </c>
      <c r="R47" s="15" t="n">
        <f aca="false">IF(Q47="","",Q47-N(P47))</f>
        <v>-0</v>
      </c>
      <c r="S47" s="5" t="str">
        <f aca="false">IF(L47="","",IF(ISNUMBER(SEARCH("25-26",L47)),"25-26",IF(ISNUMBER(SEARCH("24-25",L47)),"24-25","other")))</f>
        <v>25-26</v>
      </c>
      <c r="T47" s="5"/>
      <c r="U47" s="13"/>
      <c r="V47" s="5"/>
      <c r="W47" s="5" t="str">
        <f aca="false">IF(AND(R47&lt;&gt;"",ABS(R47)&gt;0.05),"CO2e not kWh x factor",IF(V47="kWh differs from source","Virtual meter not mirroring",IF(AND(D47="Certificates - Location [kWh]",S47="24-25"),"Certificate on 24-25 factor","OK")))</f>
        <v>OK</v>
      </c>
    </row>
    <row r="48" customFormat="false" ht="15" hidden="false" customHeight="false" outlineLevel="0" collapsed="false">
      <c r="A48" s="5" t="s">
        <v>29</v>
      </c>
      <c r="B48" s="5" t="s">
        <v>94</v>
      </c>
      <c r="C48" s="5" t="s">
        <v>95</v>
      </c>
      <c r="D48" s="5" t="s">
        <v>75</v>
      </c>
      <c r="E48" s="5" t="s">
        <v>96</v>
      </c>
      <c r="F48" s="5"/>
      <c r="G48" s="5"/>
      <c r="H48" s="5" t="s">
        <v>4</v>
      </c>
      <c r="I48" s="13" t="n">
        <v>227830.533</v>
      </c>
      <c r="J48" s="5" t="n">
        <v>100</v>
      </c>
      <c r="K48" s="5" t="n">
        <v>0</v>
      </c>
      <c r="L48" s="5" t="s">
        <v>76</v>
      </c>
      <c r="M48" s="14" t="n">
        <v>0.64</v>
      </c>
      <c r="N48" s="15" t="n">
        <v>145.8115</v>
      </c>
      <c r="O48" s="15"/>
      <c r="P48" s="15" t="n">
        <v>145.8115</v>
      </c>
      <c r="Q48" s="15" t="n">
        <f aca="false">IF(M48="","",I48*M48/1000)</f>
        <v>145.81154112</v>
      </c>
      <c r="R48" s="15" t="n">
        <f aca="false">IF(Q48="","",Q48-N(P48))</f>
        <v>4.11200000201006E-005</v>
      </c>
      <c r="S48" s="5" t="str">
        <f aca="false">IF(L48="","",IF(ISNUMBER(SEARCH("25-26",L48)),"25-26",IF(ISNUMBER(SEARCH("24-25",L48)),"24-25","other")))</f>
        <v>25-26</v>
      </c>
      <c r="T48" s="5"/>
      <c r="U48" s="13"/>
      <c r="V48" s="5"/>
      <c r="W48" s="5" t="str">
        <f aca="false">IF(AND(R48&lt;&gt;"",ABS(R48)&gt;0.05),"CO2e not kWh x factor",IF(V48="kWh differs from source","Virtual meter not mirroring",IF(AND(D48="Certificates - Location [kWh]",S48="24-25"),"Certificate on 24-25 factor","OK")))</f>
        <v>OK</v>
      </c>
    </row>
    <row r="49" customFormat="false" ht="15" hidden="false" customHeight="false" outlineLevel="0" collapsed="false">
      <c r="A49" s="5" t="s">
        <v>29</v>
      </c>
      <c r="B49" s="5" t="s">
        <v>94</v>
      </c>
      <c r="C49" s="5" t="s">
        <v>95</v>
      </c>
      <c r="D49" s="5" t="s">
        <v>75</v>
      </c>
      <c r="E49" s="5" t="s">
        <v>96</v>
      </c>
      <c r="F49" s="5"/>
      <c r="G49" s="5"/>
      <c r="H49" s="5" t="s">
        <v>5</v>
      </c>
      <c r="I49" s="13" t="n">
        <v>205319.763</v>
      </c>
      <c r="J49" s="5" t="n">
        <v>100</v>
      </c>
      <c r="K49" s="5" t="n">
        <v>0</v>
      </c>
      <c r="L49" s="5" t="s">
        <v>76</v>
      </c>
      <c r="M49" s="14" t="n">
        <v>0.64</v>
      </c>
      <c r="N49" s="15" t="n">
        <v>131.4046</v>
      </c>
      <c r="O49" s="15"/>
      <c r="P49" s="15" t="n">
        <v>131.4046</v>
      </c>
      <c r="Q49" s="15" t="n">
        <f aca="false">IF(M49="","",I49*M49/1000)</f>
        <v>131.40464832</v>
      </c>
      <c r="R49" s="15" t="n">
        <f aca="false">IF(Q49="","",Q49-N(P49))</f>
        <v>4.83200000189754E-005</v>
      </c>
      <c r="S49" s="5" t="str">
        <f aca="false">IF(L49="","",IF(ISNUMBER(SEARCH("25-26",L49)),"25-26",IF(ISNUMBER(SEARCH("24-25",L49)),"24-25","other")))</f>
        <v>25-26</v>
      </c>
      <c r="T49" s="5"/>
      <c r="U49" s="13"/>
      <c r="V49" s="5"/>
      <c r="W49" s="5" t="str">
        <f aca="false">IF(AND(R49&lt;&gt;"",ABS(R49)&gt;0.05),"CO2e not kWh x factor",IF(V49="kWh differs from source","Virtual meter not mirroring",IF(AND(D49="Certificates - Location [kWh]",S49="24-25"),"Certificate on 24-25 factor","OK")))</f>
        <v>OK</v>
      </c>
    </row>
    <row r="50" customFormat="false" ht="15" hidden="false" customHeight="false" outlineLevel="0" collapsed="false">
      <c r="A50" s="5" t="s">
        <v>29</v>
      </c>
      <c r="B50" s="5" t="s">
        <v>94</v>
      </c>
      <c r="C50" s="5" t="s">
        <v>95</v>
      </c>
      <c r="D50" s="5" t="s">
        <v>75</v>
      </c>
      <c r="E50" s="5" t="s">
        <v>96</v>
      </c>
      <c r="F50" s="5"/>
      <c r="G50" s="5"/>
      <c r="H50" s="5" t="s">
        <v>6</v>
      </c>
      <c r="I50" s="13" t="n">
        <v>227003.3227</v>
      </c>
      <c r="J50" s="5" t="n">
        <v>100</v>
      </c>
      <c r="K50" s="5" t="n">
        <v>0</v>
      </c>
      <c r="L50" s="5" t="s">
        <v>76</v>
      </c>
      <c r="M50" s="14" t="n">
        <v>0.64</v>
      </c>
      <c r="N50" s="15" t="n">
        <v>145.2821</v>
      </c>
      <c r="O50" s="15"/>
      <c r="P50" s="15" t="n">
        <v>145.2821</v>
      </c>
      <c r="Q50" s="15" t="n">
        <f aca="false">IF(M50="","",I50*M50/1000)</f>
        <v>145.282126528</v>
      </c>
      <c r="R50" s="15" t="n">
        <f aca="false">IF(Q50="","",Q50-N(P50))</f>
        <v>2.65279999780432E-005</v>
      </c>
      <c r="S50" s="5" t="str">
        <f aca="false">IF(L50="","",IF(ISNUMBER(SEARCH("25-26",L50)),"25-26",IF(ISNUMBER(SEARCH("24-25",L50)),"24-25","other")))</f>
        <v>25-26</v>
      </c>
      <c r="T50" s="5"/>
      <c r="U50" s="13"/>
      <c r="V50" s="5"/>
      <c r="W50" s="5" t="str">
        <f aca="false">IF(AND(R50&lt;&gt;"",ABS(R50)&gt;0.05),"CO2e not kWh x factor",IF(V50="kWh differs from source","Virtual meter not mirroring",IF(AND(D50="Certificates - Location [kWh]",S50="24-25"),"Certificate on 24-25 factor","OK")))</f>
        <v>OK</v>
      </c>
    </row>
    <row r="51" customFormat="false" ht="15" hidden="false" customHeight="false" outlineLevel="0" collapsed="false">
      <c r="A51" s="5" t="s">
        <v>29</v>
      </c>
      <c r="B51" s="5" t="s">
        <v>94</v>
      </c>
      <c r="C51" s="5" t="s">
        <v>95</v>
      </c>
      <c r="D51" s="5" t="s">
        <v>75</v>
      </c>
      <c r="E51" s="5" t="s">
        <v>96</v>
      </c>
      <c r="F51" s="5"/>
      <c r="G51" s="5"/>
      <c r="H51" s="5" t="s">
        <v>7</v>
      </c>
      <c r="I51" s="13" t="n">
        <v>227595.5003</v>
      </c>
      <c r="J51" s="5" t="n">
        <v>100</v>
      </c>
      <c r="K51" s="5" t="n">
        <v>0</v>
      </c>
      <c r="L51" s="5" t="s">
        <v>76</v>
      </c>
      <c r="M51" s="14" t="n">
        <v>0.64</v>
      </c>
      <c r="N51" s="15" t="n">
        <v>145.6611</v>
      </c>
      <c r="O51" s="15"/>
      <c r="P51" s="15" t="n">
        <v>145.6611</v>
      </c>
      <c r="Q51" s="15" t="n">
        <f aca="false">IF(M51="","",I51*M51/1000)</f>
        <v>145.661120192</v>
      </c>
      <c r="R51" s="15" t="n">
        <f aca="false">IF(Q51="","",Q51-N(P51))</f>
        <v>2.01919999938127E-005</v>
      </c>
      <c r="S51" s="5" t="str">
        <f aca="false">IF(L51="","",IF(ISNUMBER(SEARCH("25-26",L51)),"25-26",IF(ISNUMBER(SEARCH("24-25",L51)),"24-25","other")))</f>
        <v>25-26</v>
      </c>
      <c r="T51" s="5"/>
      <c r="U51" s="13"/>
      <c r="V51" s="5"/>
      <c r="W51" s="5" t="str">
        <f aca="false">IF(AND(R51&lt;&gt;"",ABS(R51)&gt;0.05),"CO2e not kWh x factor",IF(V51="kWh differs from source","Virtual meter not mirroring",IF(AND(D51="Certificates - Location [kWh]",S51="24-25"),"Certificate on 24-25 factor","OK")))</f>
        <v>OK</v>
      </c>
    </row>
    <row r="52" customFormat="false" ht="15" hidden="false" customHeight="false" outlineLevel="0" collapsed="false">
      <c r="A52" s="5" t="s">
        <v>29</v>
      </c>
      <c r="B52" s="5" t="s">
        <v>94</v>
      </c>
      <c r="C52" s="5" t="s">
        <v>95</v>
      </c>
      <c r="D52" s="5" t="s">
        <v>75</v>
      </c>
      <c r="E52" s="5" t="s">
        <v>96</v>
      </c>
      <c r="F52" s="5"/>
      <c r="G52" s="5"/>
      <c r="H52" s="5" t="s">
        <v>8</v>
      </c>
      <c r="I52" s="13" t="n">
        <v>258866.97</v>
      </c>
      <c r="J52" s="5" t="n">
        <v>100</v>
      </c>
      <c r="K52" s="5" t="n">
        <v>0</v>
      </c>
      <c r="L52" s="5" t="s">
        <v>76</v>
      </c>
      <c r="M52" s="14" t="n">
        <v>0.64</v>
      </c>
      <c r="N52" s="15" t="n">
        <v>165.6749</v>
      </c>
      <c r="O52" s="15"/>
      <c r="P52" s="15" t="n">
        <v>165.6749</v>
      </c>
      <c r="Q52" s="15" t="n">
        <f aca="false">IF(M52="","",I52*M52/1000)</f>
        <v>165.6748608</v>
      </c>
      <c r="R52" s="15" t="n">
        <f aca="false">IF(Q52="","",Q52-N(P52))</f>
        <v>-3.92000000033477E-005</v>
      </c>
      <c r="S52" s="5" t="str">
        <f aca="false">IF(L52="","",IF(ISNUMBER(SEARCH("25-26",L52)),"25-26",IF(ISNUMBER(SEARCH("24-25",L52)),"24-25","other")))</f>
        <v>25-26</v>
      </c>
      <c r="T52" s="5"/>
      <c r="U52" s="13"/>
      <c r="V52" s="5"/>
      <c r="W52" s="5" t="str">
        <f aca="false">IF(AND(R52&lt;&gt;"",ABS(R52)&gt;0.05),"CO2e not kWh x factor",IF(V52="kWh differs from source","Virtual meter not mirroring",IF(AND(D52="Certificates - Location [kWh]",S52="24-25"),"Certificate on 24-25 factor","OK")))</f>
        <v>OK</v>
      </c>
    </row>
    <row r="53" customFormat="false" ht="15" hidden="false" customHeight="false" outlineLevel="0" collapsed="false">
      <c r="A53" s="5" t="s">
        <v>29</v>
      </c>
      <c r="B53" s="5" t="s">
        <v>94</v>
      </c>
      <c r="C53" s="5" t="s">
        <v>95</v>
      </c>
      <c r="D53" s="5" t="s">
        <v>75</v>
      </c>
      <c r="E53" s="5" t="s">
        <v>96</v>
      </c>
      <c r="F53" s="5"/>
      <c r="G53" s="5"/>
      <c r="H53" s="5" t="s">
        <v>9</v>
      </c>
      <c r="I53" s="13" t="n">
        <v>255504.565</v>
      </c>
      <c r="J53" s="5" t="n">
        <v>100</v>
      </c>
      <c r="K53" s="5" t="n">
        <v>0</v>
      </c>
      <c r="L53" s="5" t="s">
        <v>76</v>
      </c>
      <c r="M53" s="14" t="n">
        <v>0.64</v>
      </c>
      <c r="N53" s="15" t="n">
        <v>163.5229</v>
      </c>
      <c r="O53" s="15"/>
      <c r="P53" s="15" t="n">
        <v>163.5229</v>
      </c>
      <c r="Q53" s="15" t="n">
        <f aca="false">IF(M53="","",I53*M53/1000)</f>
        <v>163.5229216</v>
      </c>
      <c r="R53" s="15" t="n">
        <f aca="false">IF(Q53="","",Q53-N(P53))</f>
        <v>2.15999999966243E-005</v>
      </c>
      <c r="S53" s="5" t="str">
        <f aca="false">IF(L53="","",IF(ISNUMBER(SEARCH("25-26",L53)),"25-26",IF(ISNUMBER(SEARCH("24-25",L53)),"24-25","other")))</f>
        <v>25-26</v>
      </c>
      <c r="T53" s="5"/>
      <c r="U53" s="13"/>
      <c r="V53" s="5"/>
      <c r="W53" s="5" t="str">
        <f aca="false">IF(AND(R53&lt;&gt;"",ABS(R53)&gt;0.05),"CO2e not kWh x factor",IF(V53="kWh differs from source","Virtual meter not mirroring",IF(AND(D53="Certificates - Location [kWh]",S53="24-25"),"Certificate on 24-25 factor","OK")))</f>
        <v>OK</v>
      </c>
    </row>
    <row r="54" customFormat="false" ht="15" hidden="false" customHeight="false" outlineLevel="0" collapsed="false">
      <c r="A54" s="5" t="s">
        <v>29</v>
      </c>
      <c r="B54" s="5" t="s">
        <v>97</v>
      </c>
      <c r="C54" s="5" t="s">
        <v>98</v>
      </c>
      <c r="D54" s="5" t="s">
        <v>99</v>
      </c>
      <c r="E54" s="5"/>
      <c r="F54" s="5" t="s">
        <v>100</v>
      </c>
      <c r="G54" s="5"/>
      <c r="H54" s="5" t="s">
        <v>4</v>
      </c>
      <c r="I54" s="13" t="n">
        <v>14980</v>
      </c>
      <c r="J54" s="5" t="n">
        <v>100</v>
      </c>
      <c r="K54" s="5" t="n">
        <v>0</v>
      </c>
      <c r="L54" s="5" t="s">
        <v>101</v>
      </c>
      <c r="M54" s="14" t="n">
        <v>0</v>
      </c>
      <c r="N54" s="15"/>
      <c r="O54" s="15"/>
      <c r="P54" s="15"/>
      <c r="Q54" s="15" t="n">
        <f aca="false">IF(M54="","",I54*M54/1000)</f>
        <v>0</v>
      </c>
      <c r="R54" s="15" t="n">
        <f aca="false">IF(Q54="","",Q54-N(P54))</f>
        <v>0</v>
      </c>
      <c r="S54" s="5" t="str">
        <f aca="false">IF(L54="","",IF(ISNUMBER(SEARCH("25-26",L54)),"25-26",IF(ISNUMBER(SEARCH("24-25",L54)),"24-25","other")))</f>
        <v>other</v>
      </c>
      <c r="T54" s="5"/>
      <c r="U54" s="13"/>
      <c r="V54" s="5"/>
      <c r="W54" s="5" t="str">
        <f aca="false">IF(AND(R54&lt;&gt;"",ABS(R54)&gt;0.05),"CO2e not kWh x factor",IF(V54="kWh differs from source","Virtual meter not mirroring",IF(AND(D54="Certificates - Location [kWh]",S54="24-25"),"Certificate on 24-25 factor","OK")))</f>
        <v>OK</v>
      </c>
    </row>
    <row r="55" customFormat="false" ht="15" hidden="false" customHeight="false" outlineLevel="0" collapsed="false">
      <c r="A55" s="5" t="s">
        <v>29</v>
      </c>
      <c r="B55" s="5" t="s">
        <v>97</v>
      </c>
      <c r="C55" s="5" t="s">
        <v>98</v>
      </c>
      <c r="D55" s="5" t="s">
        <v>99</v>
      </c>
      <c r="E55" s="5"/>
      <c r="F55" s="5" t="s">
        <v>100</v>
      </c>
      <c r="G55" s="5"/>
      <c r="H55" s="5" t="s">
        <v>5</v>
      </c>
      <c r="I55" s="13" t="n">
        <v>12540</v>
      </c>
      <c r="J55" s="5" t="n">
        <v>100</v>
      </c>
      <c r="K55" s="5" t="n">
        <v>0</v>
      </c>
      <c r="L55" s="5" t="s">
        <v>101</v>
      </c>
      <c r="M55" s="14" t="n">
        <v>0</v>
      </c>
      <c r="N55" s="15"/>
      <c r="O55" s="15"/>
      <c r="P55" s="15"/>
      <c r="Q55" s="15" t="n">
        <f aca="false">IF(M55="","",I55*M55/1000)</f>
        <v>0</v>
      </c>
      <c r="R55" s="15" t="n">
        <f aca="false">IF(Q55="","",Q55-N(P55))</f>
        <v>0</v>
      </c>
      <c r="S55" s="5" t="str">
        <f aca="false">IF(L55="","",IF(ISNUMBER(SEARCH("25-26",L55)),"25-26",IF(ISNUMBER(SEARCH("24-25",L55)),"24-25","other")))</f>
        <v>other</v>
      </c>
      <c r="T55" s="5"/>
      <c r="U55" s="13"/>
      <c r="V55" s="5"/>
      <c r="W55" s="5" t="str">
        <f aca="false">IF(AND(R55&lt;&gt;"",ABS(R55)&gt;0.05),"CO2e not kWh x factor",IF(V55="kWh differs from source","Virtual meter not mirroring",IF(AND(D55="Certificates - Location [kWh]",S55="24-25"),"Certificate on 24-25 factor","OK")))</f>
        <v>OK</v>
      </c>
    </row>
    <row r="56" customFormat="false" ht="15" hidden="false" customHeight="false" outlineLevel="0" collapsed="false">
      <c r="A56" s="5" t="s">
        <v>29</v>
      </c>
      <c r="B56" s="5" t="s">
        <v>97</v>
      </c>
      <c r="C56" s="5" t="s">
        <v>98</v>
      </c>
      <c r="D56" s="5" t="s">
        <v>99</v>
      </c>
      <c r="E56" s="5"/>
      <c r="F56" s="5" t="s">
        <v>100</v>
      </c>
      <c r="G56" s="5"/>
      <c r="H56" s="5" t="s">
        <v>6</v>
      </c>
      <c r="I56" s="13" t="n">
        <v>6277</v>
      </c>
      <c r="J56" s="5" t="n">
        <v>100</v>
      </c>
      <c r="K56" s="5" t="n">
        <v>0</v>
      </c>
      <c r="L56" s="5" t="s">
        <v>101</v>
      </c>
      <c r="M56" s="14" t="n">
        <v>0</v>
      </c>
      <c r="N56" s="15"/>
      <c r="O56" s="15"/>
      <c r="P56" s="15"/>
      <c r="Q56" s="15" t="n">
        <f aca="false">IF(M56="","",I56*M56/1000)</f>
        <v>0</v>
      </c>
      <c r="R56" s="15" t="n">
        <f aca="false">IF(Q56="","",Q56-N(P56))</f>
        <v>0</v>
      </c>
      <c r="S56" s="5" t="str">
        <f aca="false">IF(L56="","",IF(ISNUMBER(SEARCH("25-26",L56)),"25-26",IF(ISNUMBER(SEARCH("24-25",L56)),"24-25","other")))</f>
        <v>other</v>
      </c>
      <c r="T56" s="5"/>
      <c r="U56" s="13"/>
      <c r="V56" s="5"/>
      <c r="W56" s="5" t="str">
        <f aca="false">IF(AND(R56&lt;&gt;"",ABS(R56)&gt;0.05),"CO2e not kWh x factor",IF(V56="kWh differs from source","Virtual meter not mirroring",IF(AND(D56="Certificates - Location [kWh]",S56="24-25"),"Certificate on 24-25 factor","OK")))</f>
        <v>OK</v>
      </c>
    </row>
    <row r="57" customFormat="false" ht="15" hidden="false" customHeight="false" outlineLevel="0" collapsed="false">
      <c r="A57" s="5" t="s">
        <v>29</v>
      </c>
      <c r="B57" s="5" t="s">
        <v>97</v>
      </c>
      <c r="C57" s="5" t="s">
        <v>98</v>
      </c>
      <c r="D57" s="5" t="s">
        <v>99</v>
      </c>
      <c r="E57" s="5"/>
      <c r="F57" s="5" t="s">
        <v>100</v>
      </c>
      <c r="G57" s="5"/>
      <c r="H57" s="5" t="s">
        <v>7</v>
      </c>
      <c r="I57" s="13" t="n">
        <v>6534.08</v>
      </c>
      <c r="J57" s="5" t="n">
        <v>100</v>
      </c>
      <c r="K57" s="5" t="n">
        <v>0</v>
      </c>
      <c r="L57" s="5" t="s">
        <v>101</v>
      </c>
      <c r="M57" s="14" t="n">
        <v>0</v>
      </c>
      <c r="N57" s="15"/>
      <c r="O57" s="15"/>
      <c r="P57" s="15"/>
      <c r="Q57" s="15" t="n">
        <f aca="false">IF(M57="","",I57*M57/1000)</f>
        <v>0</v>
      </c>
      <c r="R57" s="15" t="n">
        <f aca="false">IF(Q57="","",Q57-N(P57))</f>
        <v>0</v>
      </c>
      <c r="S57" s="5" t="str">
        <f aca="false">IF(L57="","",IF(ISNUMBER(SEARCH("25-26",L57)),"25-26",IF(ISNUMBER(SEARCH("24-25",L57)),"24-25","other")))</f>
        <v>other</v>
      </c>
      <c r="T57" s="5"/>
      <c r="U57" s="13"/>
      <c r="V57" s="5"/>
      <c r="W57" s="5" t="str">
        <f aca="false">IF(AND(R57&lt;&gt;"",ABS(R57)&gt;0.05),"CO2e not kWh x factor",IF(V57="kWh differs from source","Virtual meter not mirroring",IF(AND(D57="Certificates - Location [kWh]",S57="24-25"),"Certificate on 24-25 factor","OK")))</f>
        <v>OK</v>
      </c>
    </row>
    <row r="58" customFormat="false" ht="15" hidden="false" customHeight="false" outlineLevel="0" collapsed="false">
      <c r="A58" s="5" t="s">
        <v>29</v>
      </c>
      <c r="B58" s="5" t="s">
        <v>97</v>
      </c>
      <c r="C58" s="5" t="s">
        <v>98</v>
      </c>
      <c r="D58" s="5" t="s">
        <v>99</v>
      </c>
      <c r="E58" s="5"/>
      <c r="F58" s="5" t="s">
        <v>100</v>
      </c>
      <c r="G58" s="5"/>
      <c r="H58" s="5" t="s">
        <v>8</v>
      </c>
      <c r="I58" s="13" t="n">
        <v>6751.8837</v>
      </c>
      <c r="J58" s="5" t="n">
        <v>0</v>
      </c>
      <c r="K58" s="5" t="n">
        <v>100</v>
      </c>
      <c r="L58" s="5" t="s">
        <v>101</v>
      </c>
      <c r="M58" s="14" t="n">
        <v>0</v>
      </c>
      <c r="N58" s="15"/>
      <c r="O58" s="15"/>
      <c r="P58" s="15"/>
      <c r="Q58" s="15" t="n">
        <f aca="false">IF(M58="","",I58*M58/1000)</f>
        <v>0</v>
      </c>
      <c r="R58" s="15" t="n">
        <f aca="false">IF(Q58="","",Q58-N(P58))</f>
        <v>0</v>
      </c>
      <c r="S58" s="5" t="str">
        <f aca="false">IF(L58="","",IF(ISNUMBER(SEARCH("25-26",L58)),"25-26",IF(ISNUMBER(SEARCH("24-25",L58)),"24-25","other")))</f>
        <v>other</v>
      </c>
      <c r="T58" s="5"/>
      <c r="U58" s="13"/>
      <c r="V58" s="5"/>
      <c r="W58" s="5" t="str">
        <f aca="false">IF(AND(R58&lt;&gt;"",ABS(R58)&gt;0.05),"CO2e not kWh x factor",IF(V58="kWh differs from source","Virtual meter not mirroring",IF(AND(D58="Certificates - Location [kWh]",S58="24-25"),"Certificate on 24-25 factor","OK")))</f>
        <v>OK</v>
      </c>
    </row>
    <row r="59" customFormat="false" ht="15" hidden="false" customHeight="false" outlineLevel="0" collapsed="false">
      <c r="A59" s="5" t="s">
        <v>29</v>
      </c>
      <c r="B59" s="5" t="s">
        <v>97</v>
      </c>
      <c r="C59" s="5" t="s">
        <v>98</v>
      </c>
      <c r="D59" s="5" t="s">
        <v>99</v>
      </c>
      <c r="E59" s="5"/>
      <c r="F59" s="5" t="s">
        <v>100</v>
      </c>
      <c r="G59" s="5"/>
      <c r="H59" s="5" t="s">
        <v>9</v>
      </c>
      <c r="I59" s="13" t="n">
        <v>3924.9999</v>
      </c>
      <c r="J59" s="5" t="n">
        <v>0</v>
      </c>
      <c r="K59" s="5" t="n">
        <v>100</v>
      </c>
      <c r="L59" s="5" t="s">
        <v>101</v>
      </c>
      <c r="M59" s="14" t="n">
        <v>0</v>
      </c>
      <c r="N59" s="15"/>
      <c r="O59" s="15"/>
      <c r="P59" s="15"/>
      <c r="Q59" s="15" t="n">
        <f aca="false">IF(M59="","",I59*M59/1000)</f>
        <v>0</v>
      </c>
      <c r="R59" s="15" t="n">
        <f aca="false">IF(Q59="","",Q59-N(P59))</f>
        <v>0</v>
      </c>
      <c r="S59" s="5" t="str">
        <f aca="false">IF(L59="","",IF(ISNUMBER(SEARCH("25-26",L59)),"25-26",IF(ISNUMBER(SEARCH("24-25",L59)),"24-25","other")))</f>
        <v>other</v>
      </c>
      <c r="T59" s="5"/>
      <c r="U59" s="13"/>
      <c r="V59" s="5"/>
      <c r="W59" s="5" t="str">
        <f aca="false">IF(AND(R59&lt;&gt;"",ABS(R59)&gt;0.05),"CO2e not kWh x factor",IF(V59="kWh differs from source","Virtual meter not mirroring",IF(AND(D59="Certificates - Location [kWh]",S59="24-25"),"Certificate on 24-25 factor","OK")))</f>
        <v>OK</v>
      </c>
    </row>
    <row r="60" customFormat="false" ht="15" hidden="false" customHeight="false" outlineLevel="0" collapsed="false">
      <c r="A60" s="5" t="s">
        <v>29</v>
      </c>
      <c r="B60" s="5" t="s">
        <v>102</v>
      </c>
      <c r="C60" s="5" t="s">
        <v>95</v>
      </c>
      <c r="D60" s="5" t="s">
        <v>75</v>
      </c>
      <c r="E60" s="5" t="s">
        <v>96</v>
      </c>
      <c r="F60" s="5"/>
      <c r="G60" s="5"/>
      <c r="H60" s="5" t="s">
        <v>4</v>
      </c>
      <c r="I60" s="13" t="n">
        <v>-92043.5353</v>
      </c>
      <c r="J60" s="5" t="n">
        <v>100</v>
      </c>
      <c r="K60" s="5" t="n">
        <v>0</v>
      </c>
      <c r="L60" s="5" t="s">
        <v>76</v>
      </c>
      <c r="M60" s="14" t="n">
        <v>0.64</v>
      </c>
      <c r="N60" s="15" t="n">
        <v>-58.9079</v>
      </c>
      <c r="O60" s="15"/>
      <c r="P60" s="15" t="n">
        <v>-58.9079</v>
      </c>
      <c r="Q60" s="15" t="n">
        <f aca="false">IF(M60="","",I60*M60/1000)</f>
        <v>-58.907862592</v>
      </c>
      <c r="R60" s="15" t="n">
        <f aca="false">IF(Q60="","",Q60-N(P60))</f>
        <v>3.740799999008E-005</v>
      </c>
      <c r="S60" s="5" t="str">
        <f aca="false">IF(L60="","",IF(ISNUMBER(SEARCH("25-26",L60)),"25-26",IF(ISNUMBER(SEARCH("24-25",L60)),"24-25","other")))</f>
        <v>25-26</v>
      </c>
      <c r="T60" s="5"/>
      <c r="U60" s="13"/>
      <c r="V60" s="5"/>
      <c r="W60" s="5" t="str">
        <f aca="false">IF(AND(R60&lt;&gt;"",ABS(R60)&gt;0.05),"CO2e not kWh x factor",IF(V60="kWh differs from source","Virtual meter not mirroring",IF(AND(D60="Certificates - Location [kWh]",S60="24-25"),"Certificate on 24-25 factor","OK")))</f>
        <v>OK</v>
      </c>
    </row>
    <row r="61" customFormat="false" ht="15" hidden="false" customHeight="false" outlineLevel="0" collapsed="false">
      <c r="A61" s="5" t="s">
        <v>29</v>
      </c>
      <c r="B61" s="5" t="s">
        <v>102</v>
      </c>
      <c r="C61" s="5" t="s">
        <v>95</v>
      </c>
      <c r="D61" s="5" t="s">
        <v>75</v>
      </c>
      <c r="E61" s="5" t="s">
        <v>96</v>
      </c>
      <c r="F61" s="5"/>
      <c r="G61" s="5"/>
      <c r="H61" s="5" t="s">
        <v>5</v>
      </c>
      <c r="I61" s="13" t="n">
        <v>-82949.1843</v>
      </c>
      <c r="J61" s="5" t="n">
        <v>100</v>
      </c>
      <c r="K61" s="5" t="n">
        <v>0</v>
      </c>
      <c r="L61" s="5" t="s">
        <v>76</v>
      </c>
      <c r="M61" s="14" t="n">
        <v>0.64</v>
      </c>
      <c r="N61" s="15" t="n">
        <v>-53.0875</v>
      </c>
      <c r="O61" s="15"/>
      <c r="P61" s="15" t="n">
        <v>-53.0875</v>
      </c>
      <c r="Q61" s="15" t="n">
        <f aca="false">IF(M61="","",I61*M61/1000)</f>
        <v>-53.087477952</v>
      </c>
      <c r="R61" s="15" t="n">
        <f aca="false">IF(Q61="","",Q61-N(P61))</f>
        <v>2.20480000052703E-005</v>
      </c>
      <c r="S61" s="5" t="str">
        <f aca="false">IF(L61="","",IF(ISNUMBER(SEARCH("25-26",L61)),"25-26",IF(ISNUMBER(SEARCH("24-25",L61)),"24-25","other")))</f>
        <v>25-26</v>
      </c>
      <c r="T61" s="5"/>
      <c r="U61" s="13"/>
      <c r="V61" s="5"/>
      <c r="W61" s="5" t="str">
        <f aca="false">IF(AND(R61&lt;&gt;"",ABS(R61)&gt;0.05),"CO2e not kWh x factor",IF(V61="kWh differs from source","Virtual meter not mirroring",IF(AND(D61="Certificates - Location [kWh]",S61="24-25"),"Certificate on 24-25 factor","OK")))</f>
        <v>OK</v>
      </c>
    </row>
    <row r="62" customFormat="false" ht="15" hidden="false" customHeight="false" outlineLevel="0" collapsed="false">
      <c r="A62" s="5" t="s">
        <v>29</v>
      </c>
      <c r="B62" s="5" t="s">
        <v>102</v>
      </c>
      <c r="C62" s="5" t="s">
        <v>95</v>
      </c>
      <c r="D62" s="5" t="s">
        <v>75</v>
      </c>
      <c r="E62" s="5" t="s">
        <v>96</v>
      </c>
      <c r="F62" s="5"/>
      <c r="G62" s="5"/>
      <c r="H62" s="5" t="s">
        <v>6</v>
      </c>
      <c r="I62" s="13" t="n">
        <v>-91709.3424</v>
      </c>
      <c r="J62" s="5" t="n">
        <v>100</v>
      </c>
      <c r="K62" s="5" t="n">
        <v>0</v>
      </c>
      <c r="L62" s="5" t="s">
        <v>76</v>
      </c>
      <c r="M62" s="14" t="n">
        <v>0.64</v>
      </c>
      <c r="N62" s="15" t="n">
        <v>-58.694</v>
      </c>
      <c r="O62" s="15"/>
      <c r="P62" s="15" t="n">
        <v>-58.694</v>
      </c>
      <c r="Q62" s="15" t="n">
        <f aca="false">IF(M62="","",I62*M62/1000)</f>
        <v>-58.693979136</v>
      </c>
      <c r="R62" s="15" t="n">
        <f aca="false">IF(Q62="","",Q62-N(P62))</f>
        <v>2.08640000067817E-005</v>
      </c>
      <c r="S62" s="5" t="str">
        <f aca="false">IF(L62="","",IF(ISNUMBER(SEARCH("25-26",L62)),"25-26",IF(ISNUMBER(SEARCH("24-25",L62)),"24-25","other")))</f>
        <v>25-26</v>
      </c>
      <c r="T62" s="5"/>
      <c r="U62" s="13"/>
      <c r="V62" s="5"/>
      <c r="W62" s="5" t="str">
        <f aca="false">IF(AND(R62&lt;&gt;"",ABS(R62)&gt;0.05),"CO2e not kWh x factor",IF(V62="kWh differs from source","Virtual meter not mirroring",IF(AND(D62="Certificates - Location [kWh]",S62="24-25"),"Certificate on 24-25 factor","OK")))</f>
        <v>OK</v>
      </c>
    </row>
    <row r="63" customFormat="false" ht="15" hidden="false" customHeight="false" outlineLevel="0" collapsed="false">
      <c r="A63" s="5" t="s">
        <v>29</v>
      </c>
      <c r="B63" s="5" t="s">
        <v>102</v>
      </c>
      <c r="C63" s="5" t="s">
        <v>95</v>
      </c>
      <c r="D63" s="5" t="s">
        <v>75</v>
      </c>
      <c r="E63" s="5" t="s">
        <v>96</v>
      </c>
      <c r="F63" s="5"/>
      <c r="G63" s="5"/>
      <c r="H63" s="5" t="s">
        <v>7</v>
      </c>
      <c r="I63" s="13" t="n">
        <v>-91948.5821</v>
      </c>
      <c r="J63" s="5" t="n">
        <v>100</v>
      </c>
      <c r="K63" s="5" t="n">
        <v>0</v>
      </c>
      <c r="L63" s="5" t="s">
        <v>76</v>
      </c>
      <c r="M63" s="14" t="n">
        <v>0.64</v>
      </c>
      <c r="N63" s="15" t="n">
        <v>-58.8471</v>
      </c>
      <c r="O63" s="15"/>
      <c r="P63" s="15" t="n">
        <v>-58.8471</v>
      </c>
      <c r="Q63" s="15" t="n">
        <f aca="false">IF(M63="","",I63*M63/1000)</f>
        <v>-58.847092544</v>
      </c>
      <c r="R63" s="15" t="n">
        <f aca="false">IF(Q63="","",Q63-N(P63))</f>
        <v>7.45599999874003E-006</v>
      </c>
      <c r="S63" s="5" t="str">
        <f aca="false">IF(L63="","",IF(ISNUMBER(SEARCH("25-26",L63)),"25-26",IF(ISNUMBER(SEARCH("24-25",L63)),"24-25","other")))</f>
        <v>25-26</v>
      </c>
      <c r="T63" s="5"/>
      <c r="U63" s="13"/>
      <c r="V63" s="5"/>
      <c r="W63" s="5" t="str">
        <f aca="false">IF(AND(R63&lt;&gt;"",ABS(R63)&gt;0.05),"CO2e not kWh x factor",IF(V63="kWh differs from source","Virtual meter not mirroring",IF(AND(D63="Certificates - Location [kWh]",S63="24-25"),"Certificate on 24-25 factor","OK")))</f>
        <v>OK</v>
      </c>
    </row>
    <row r="64" customFormat="false" ht="15" hidden="false" customHeight="false" outlineLevel="0" collapsed="false">
      <c r="A64" s="5" t="s">
        <v>29</v>
      </c>
      <c r="B64" s="5" t="s">
        <v>102</v>
      </c>
      <c r="C64" s="5" t="s">
        <v>95</v>
      </c>
      <c r="D64" s="5" t="s">
        <v>75</v>
      </c>
      <c r="E64" s="5" t="s">
        <v>96</v>
      </c>
      <c r="F64" s="5"/>
      <c r="G64" s="5"/>
      <c r="H64" s="5" t="s">
        <v>8</v>
      </c>
      <c r="I64" s="13" t="n">
        <v>-104582.2559</v>
      </c>
      <c r="J64" s="5" t="n">
        <v>100</v>
      </c>
      <c r="K64" s="5" t="n">
        <v>0</v>
      </c>
      <c r="L64" s="5" t="s">
        <v>76</v>
      </c>
      <c r="M64" s="14" t="n">
        <v>0.64</v>
      </c>
      <c r="N64" s="15" t="n">
        <v>-66.9326</v>
      </c>
      <c r="O64" s="15"/>
      <c r="P64" s="15" t="n">
        <v>-66.9326</v>
      </c>
      <c r="Q64" s="15" t="n">
        <f aca="false">IF(M64="","",I64*M64/1000)</f>
        <v>-66.932643776</v>
      </c>
      <c r="R64" s="15" t="n">
        <f aca="false">IF(Q64="","",Q64-N(P64))</f>
        <v>-4.37759999982745E-005</v>
      </c>
      <c r="S64" s="5" t="str">
        <f aca="false">IF(L64="","",IF(ISNUMBER(SEARCH("25-26",L64)),"25-26",IF(ISNUMBER(SEARCH("24-25",L64)),"24-25","other")))</f>
        <v>25-26</v>
      </c>
      <c r="T64" s="5"/>
      <c r="U64" s="13"/>
      <c r="V64" s="5"/>
      <c r="W64" s="5" t="str">
        <f aca="false">IF(AND(R64&lt;&gt;"",ABS(R64)&gt;0.05),"CO2e not kWh x factor",IF(V64="kWh differs from source","Virtual meter not mirroring",IF(AND(D64="Certificates - Location [kWh]",S64="24-25"),"Certificate on 24-25 factor","OK")))</f>
        <v>OK</v>
      </c>
    </row>
    <row r="65" customFormat="false" ht="15" hidden="false" customHeight="false" outlineLevel="0" collapsed="false">
      <c r="A65" s="5" t="s">
        <v>29</v>
      </c>
      <c r="B65" s="5" t="s">
        <v>102</v>
      </c>
      <c r="C65" s="5" t="s">
        <v>95</v>
      </c>
      <c r="D65" s="5" t="s">
        <v>75</v>
      </c>
      <c r="E65" s="5" t="s">
        <v>96</v>
      </c>
      <c r="F65" s="5"/>
      <c r="G65" s="5"/>
      <c r="H65" s="5" t="s">
        <v>9</v>
      </c>
      <c r="I65" s="13" t="n">
        <v>-103223.8443</v>
      </c>
      <c r="J65" s="5" t="n">
        <v>100</v>
      </c>
      <c r="K65" s="5" t="n">
        <v>0</v>
      </c>
      <c r="L65" s="5" t="s">
        <v>76</v>
      </c>
      <c r="M65" s="14" t="n">
        <v>0.64</v>
      </c>
      <c r="N65" s="15" t="n">
        <v>-66.0633</v>
      </c>
      <c r="O65" s="15"/>
      <c r="P65" s="15" t="n">
        <v>-66.0633</v>
      </c>
      <c r="Q65" s="15" t="n">
        <f aca="false">IF(M65="","",I65*M65/1000)</f>
        <v>-66.063260352</v>
      </c>
      <c r="R65" s="15" t="n">
        <f aca="false">IF(Q65="","",Q65-N(P65))</f>
        <v>3.96479999977828E-005</v>
      </c>
      <c r="S65" s="5" t="str">
        <f aca="false">IF(L65="","",IF(ISNUMBER(SEARCH("25-26",L65)),"25-26",IF(ISNUMBER(SEARCH("24-25",L65)),"24-25","other")))</f>
        <v>25-26</v>
      </c>
      <c r="T65" s="5"/>
      <c r="U65" s="13"/>
      <c r="V65" s="5"/>
      <c r="W65" s="5" t="str">
        <f aca="false">IF(AND(R65&lt;&gt;"",ABS(R65)&gt;0.05),"CO2e not kWh x factor",IF(V65="kWh differs from source","Virtual meter not mirroring",IF(AND(D65="Certificates - Location [kWh]",S65="24-25"),"Certificate on 24-25 factor","OK")))</f>
        <v>OK</v>
      </c>
    </row>
    <row r="66" customFormat="false" ht="15" hidden="false" customHeight="false" outlineLevel="0" collapsed="false">
      <c r="A66" s="5" t="s">
        <v>30</v>
      </c>
      <c r="B66" s="5" t="s">
        <v>103</v>
      </c>
      <c r="C66" s="5" t="s">
        <v>98</v>
      </c>
      <c r="D66" s="5" t="s">
        <v>99</v>
      </c>
      <c r="E66" s="5"/>
      <c r="F66" s="5" t="s">
        <v>104</v>
      </c>
      <c r="G66" s="5"/>
      <c r="H66" s="5" t="s">
        <v>4</v>
      </c>
      <c r="I66" s="13" t="n">
        <v>15850</v>
      </c>
      <c r="J66" s="5" t="n">
        <v>100</v>
      </c>
      <c r="K66" s="5" t="n">
        <v>0</v>
      </c>
      <c r="L66" s="5" t="s">
        <v>101</v>
      </c>
      <c r="M66" s="14" t="n">
        <v>0</v>
      </c>
      <c r="N66" s="15"/>
      <c r="O66" s="15"/>
      <c r="P66" s="15"/>
      <c r="Q66" s="15" t="n">
        <f aca="false">IF(M66="","",I66*M66/1000)</f>
        <v>0</v>
      </c>
      <c r="R66" s="15" t="n">
        <f aca="false">IF(Q66="","",Q66-N(P66))</f>
        <v>0</v>
      </c>
      <c r="S66" s="5" t="str">
        <f aca="false">IF(L66="","",IF(ISNUMBER(SEARCH("25-26",L66)),"25-26",IF(ISNUMBER(SEARCH("24-25",L66)),"24-25","other")))</f>
        <v>other</v>
      </c>
      <c r="T66" s="5"/>
      <c r="U66" s="13"/>
      <c r="V66" s="5"/>
      <c r="W66" s="5" t="str">
        <f aca="false">IF(AND(R66&lt;&gt;"",ABS(R66)&gt;0.05),"CO2e not kWh x factor",IF(V66="kWh differs from source","Virtual meter not mirroring",IF(AND(D66="Certificates - Location [kWh]",S66="24-25"),"Certificate on 24-25 factor","OK")))</f>
        <v>OK</v>
      </c>
    </row>
    <row r="67" customFormat="false" ht="15" hidden="false" customHeight="false" outlineLevel="0" collapsed="false">
      <c r="A67" s="5" t="s">
        <v>30</v>
      </c>
      <c r="B67" s="5" t="s">
        <v>103</v>
      </c>
      <c r="C67" s="5" t="s">
        <v>98</v>
      </c>
      <c r="D67" s="5" t="s">
        <v>99</v>
      </c>
      <c r="E67" s="5"/>
      <c r="F67" s="5" t="s">
        <v>104</v>
      </c>
      <c r="G67" s="5"/>
      <c r="H67" s="5" t="s">
        <v>5</v>
      </c>
      <c r="I67" s="13" t="n">
        <v>15890</v>
      </c>
      <c r="J67" s="5" t="n">
        <v>100</v>
      </c>
      <c r="K67" s="5" t="n">
        <v>0</v>
      </c>
      <c r="L67" s="5" t="s">
        <v>101</v>
      </c>
      <c r="M67" s="14" t="n">
        <v>0</v>
      </c>
      <c r="N67" s="15"/>
      <c r="O67" s="15"/>
      <c r="P67" s="15"/>
      <c r="Q67" s="15" t="n">
        <f aca="false">IF(M67="","",I67*M67/1000)</f>
        <v>0</v>
      </c>
      <c r="R67" s="15" t="n">
        <f aca="false">IF(Q67="","",Q67-N(P67))</f>
        <v>0</v>
      </c>
      <c r="S67" s="5" t="str">
        <f aca="false">IF(L67="","",IF(ISNUMBER(SEARCH("25-26",L67)),"25-26",IF(ISNUMBER(SEARCH("24-25",L67)),"24-25","other")))</f>
        <v>other</v>
      </c>
      <c r="T67" s="5"/>
      <c r="U67" s="13"/>
      <c r="V67" s="5"/>
      <c r="W67" s="5" t="str">
        <f aca="false">IF(AND(R67&lt;&gt;"",ABS(R67)&gt;0.05),"CO2e not kWh x factor",IF(V67="kWh differs from source","Virtual meter not mirroring",IF(AND(D67="Certificates - Location [kWh]",S67="24-25"),"Certificate on 24-25 factor","OK")))</f>
        <v>OK</v>
      </c>
    </row>
    <row r="68" customFormat="false" ht="15" hidden="false" customHeight="false" outlineLevel="0" collapsed="false">
      <c r="A68" s="5" t="s">
        <v>30</v>
      </c>
      <c r="B68" s="5" t="s">
        <v>103</v>
      </c>
      <c r="C68" s="5" t="s">
        <v>98</v>
      </c>
      <c r="D68" s="5" t="s">
        <v>99</v>
      </c>
      <c r="E68" s="5"/>
      <c r="F68" s="5" t="s">
        <v>104</v>
      </c>
      <c r="G68" s="5"/>
      <c r="H68" s="5" t="s">
        <v>6</v>
      </c>
      <c r="I68" s="13" t="n">
        <v>8919.1</v>
      </c>
      <c r="J68" s="5" t="n">
        <v>100</v>
      </c>
      <c r="K68" s="5" t="n">
        <v>0</v>
      </c>
      <c r="L68" s="5" t="s">
        <v>101</v>
      </c>
      <c r="M68" s="14" t="n">
        <v>0</v>
      </c>
      <c r="N68" s="15"/>
      <c r="O68" s="15"/>
      <c r="P68" s="15"/>
      <c r="Q68" s="15" t="n">
        <f aca="false">IF(M68="","",I68*M68/1000)</f>
        <v>0</v>
      </c>
      <c r="R68" s="15" t="n">
        <f aca="false">IF(Q68="","",Q68-N(P68))</f>
        <v>0</v>
      </c>
      <c r="S68" s="5" t="str">
        <f aca="false">IF(L68="","",IF(ISNUMBER(SEARCH("25-26",L68)),"25-26",IF(ISNUMBER(SEARCH("24-25",L68)),"24-25","other")))</f>
        <v>other</v>
      </c>
      <c r="T68" s="5"/>
      <c r="U68" s="13"/>
      <c r="V68" s="5"/>
      <c r="W68" s="5" t="str">
        <f aca="false">IF(AND(R68&lt;&gt;"",ABS(R68)&gt;0.05),"CO2e not kWh x factor",IF(V68="kWh differs from source","Virtual meter not mirroring",IF(AND(D68="Certificates - Location [kWh]",S68="24-25"),"Certificate on 24-25 factor","OK")))</f>
        <v>OK</v>
      </c>
    </row>
    <row r="69" customFormat="false" ht="15" hidden="false" customHeight="false" outlineLevel="0" collapsed="false">
      <c r="A69" s="5" t="s">
        <v>30</v>
      </c>
      <c r="B69" s="5" t="s">
        <v>103</v>
      </c>
      <c r="C69" s="5" t="s">
        <v>98</v>
      </c>
      <c r="D69" s="5" t="s">
        <v>99</v>
      </c>
      <c r="E69" s="5"/>
      <c r="F69" s="5" t="s">
        <v>104</v>
      </c>
      <c r="G69" s="5"/>
      <c r="H69" s="5" t="s">
        <v>7</v>
      </c>
      <c r="I69" s="13" t="n">
        <v>7745</v>
      </c>
      <c r="J69" s="5" t="n">
        <v>100</v>
      </c>
      <c r="K69" s="5" t="n">
        <v>0</v>
      </c>
      <c r="L69" s="5" t="s">
        <v>101</v>
      </c>
      <c r="M69" s="14" t="n">
        <v>0</v>
      </c>
      <c r="N69" s="15"/>
      <c r="O69" s="15"/>
      <c r="P69" s="15"/>
      <c r="Q69" s="15" t="n">
        <f aca="false">IF(M69="","",I69*M69/1000)</f>
        <v>0</v>
      </c>
      <c r="R69" s="15" t="n">
        <f aca="false">IF(Q69="","",Q69-N(P69))</f>
        <v>0</v>
      </c>
      <c r="S69" s="5" t="str">
        <f aca="false">IF(L69="","",IF(ISNUMBER(SEARCH("25-26",L69)),"25-26",IF(ISNUMBER(SEARCH("24-25",L69)),"24-25","other")))</f>
        <v>other</v>
      </c>
      <c r="T69" s="5"/>
      <c r="U69" s="13"/>
      <c r="V69" s="5"/>
      <c r="W69" s="5" t="str">
        <f aca="false">IF(AND(R69&lt;&gt;"",ABS(R69)&gt;0.05),"CO2e not kWh x factor",IF(V69="kWh differs from source","Virtual meter not mirroring",IF(AND(D69="Certificates - Location [kWh]",S69="24-25"),"Certificate on 24-25 factor","OK")))</f>
        <v>OK</v>
      </c>
    </row>
    <row r="70" customFormat="false" ht="15" hidden="false" customHeight="false" outlineLevel="0" collapsed="false">
      <c r="A70" s="5" t="s">
        <v>30</v>
      </c>
      <c r="B70" s="5" t="s">
        <v>103</v>
      </c>
      <c r="C70" s="5" t="s">
        <v>98</v>
      </c>
      <c r="D70" s="5" t="s">
        <v>99</v>
      </c>
      <c r="E70" s="5"/>
      <c r="F70" s="5" t="s">
        <v>104</v>
      </c>
      <c r="G70" s="5"/>
      <c r="H70" s="5" t="s">
        <v>8</v>
      </c>
      <c r="I70" s="13" t="n">
        <v>11335</v>
      </c>
      <c r="J70" s="5" t="n">
        <v>100</v>
      </c>
      <c r="K70" s="5" t="n">
        <v>0</v>
      </c>
      <c r="L70" s="5" t="s">
        <v>101</v>
      </c>
      <c r="M70" s="14" t="n">
        <v>0</v>
      </c>
      <c r="N70" s="15"/>
      <c r="O70" s="15"/>
      <c r="P70" s="15"/>
      <c r="Q70" s="15" t="n">
        <f aca="false">IF(M70="","",I70*M70/1000)</f>
        <v>0</v>
      </c>
      <c r="R70" s="15" t="n">
        <f aca="false">IF(Q70="","",Q70-N(P70))</f>
        <v>0</v>
      </c>
      <c r="S70" s="5" t="str">
        <f aca="false">IF(L70="","",IF(ISNUMBER(SEARCH("25-26",L70)),"25-26",IF(ISNUMBER(SEARCH("24-25",L70)),"24-25","other")))</f>
        <v>other</v>
      </c>
      <c r="T70" s="5"/>
      <c r="U70" s="13"/>
      <c r="V70" s="5"/>
      <c r="W70" s="5" t="str">
        <f aca="false">IF(AND(R70&lt;&gt;"",ABS(R70)&gt;0.05),"CO2e not kWh x factor",IF(V70="kWh differs from source","Virtual meter not mirroring",IF(AND(D70="Certificates - Location [kWh]",S70="24-25"),"Certificate on 24-25 factor","OK")))</f>
        <v>OK</v>
      </c>
    </row>
    <row r="71" customFormat="false" ht="15" hidden="false" customHeight="false" outlineLevel="0" collapsed="false">
      <c r="A71" s="5" t="s">
        <v>30</v>
      </c>
      <c r="B71" s="5" t="s">
        <v>103</v>
      </c>
      <c r="C71" s="5" t="s">
        <v>98</v>
      </c>
      <c r="D71" s="5" t="s">
        <v>99</v>
      </c>
      <c r="E71" s="5"/>
      <c r="F71" s="5" t="s">
        <v>104</v>
      </c>
      <c r="G71" s="5"/>
      <c r="H71" s="5" t="s">
        <v>9</v>
      </c>
      <c r="I71" s="13" t="n">
        <v>11795.0009</v>
      </c>
      <c r="J71" s="5" t="n">
        <v>0</v>
      </c>
      <c r="K71" s="5" t="n">
        <v>100</v>
      </c>
      <c r="L71" s="5" t="s">
        <v>101</v>
      </c>
      <c r="M71" s="14" t="n">
        <v>0</v>
      </c>
      <c r="N71" s="15"/>
      <c r="O71" s="15"/>
      <c r="P71" s="15"/>
      <c r="Q71" s="15" t="n">
        <f aca="false">IF(M71="","",I71*M71/1000)</f>
        <v>0</v>
      </c>
      <c r="R71" s="15" t="n">
        <f aca="false">IF(Q71="","",Q71-N(P71))</f>
        <v>0</v>
      </c>
      <c r="S71" s="5" t="str">
        <f aca="false">IF(L71="","",IF(ISNUMBER(SEARCH("25-26",L71)),"25-26",IF(ISNUMBER(SEARCH("24-25",L71)),"24-25","other")))</f>
        <v>other</v>
      </c>
      <c r="T71" s="5"/>
      <c r="U71" s="13"/>
      <c r="V71" s="5"/>
      <c r="W71" s="5" t="str">
        <f aca="false">IF(AND(R71&lt;&gt;"",ABS(R71)&gt;0.05),"CO2e not kWh x factor",IF(V71="kWh differs from source","Virtual meter not mirroring",IF(AND(D71="Certificates - Location [kWh]",S71="24-25"),"Certificate on 24-25 factor","OK")))</f>
        <v>OK</v>
      </c>
    </row>
    <row r="72" customFormat="false" ht="15" hidden="false" customHeight="false" outlineLevel="0" collapsed="false">
      <c r="A72" s="5" t="s">
        <v>30</v>
      </c>
      <c r="B72" s="5" t="s">
        <v>105</v>
      </c>
      <c r="C72" s="5" t="s">
        <v>90</v>
      </c>
      <c r="D72" s="5" t="s">
        <v>75</v>
      </c>
      <c r="E72" s="5" t="s">
        <v>91</v>
      </c>
      <c r="F72" s="5"/>
      <c r="G72" s="5"/>
      <c r="H72" s="5" t="s">
        <v>4</v>
      </c>
      <c r="I72" s="13" t="n">
        <v>180360</v>
      </c>
      <c r="J72" s="5" t="n">
        <v>100</v>
      </c>
      <c r="K72" s="5" t="n">
        <v>0</v>
      </c>
      <c r="L72" s="5" t="s">
        <v>93</v>
      </c>
      <c r="M72" s="14" t="n">
        <v>0.78</v>
      </c>
      <c r="N72" s="15" t="n">
        <v>140.6808</v>
      </c>
      <c r="O72" s="15"/>
      <c r="P72" s="15" t="n">
        <v>140.6808</v>
      </c>
      <c r="Q72" s="15" t="n">
        <f aca="false">IF(M72="","",I72*M72/1000)</f>
        <v>140.6808</v>
      </c>
      <c r="R72" s="15" t="n">
        <f aca="false">IF(Q72="","",Q72-N(P72))</f>
        <v>0</v>
      </c>
      <c r="S72" s="5" t="str">
        <f aca="false">IF(L72="","",IF(ISNUMBER(SEARCH("25-26",L72)),"25-26",IF(ISNUMBER(SEARCH("24-25",L72)),"24-25","other")))</f>
        <v>25-26</v>
      </c>
      <c r="T72" s="5"/>
      <c r="U72" s="13"/>
      <c r="V72" s="5"/>
      <c r="W72" s="5" t="str">
        <f aca="false">IF(AND(R72&lt;&gt;"",ABS(R72)&gt;0.05),"CO2e not kWh x factor",IF(V72="kWh differs from source","Virtual meter not mirroring",IF(AND(D72="Certificates - Location [kWh]",S72="24-25"),"Certificate on 24-25 factor","OK")))</f>
        <v>OK</v>
      </c>
    </row>
    <row r="73" customFormat="false" ht="15" hidden="false" customHeight="false" outlineLevel="0" collapsed="false">
      <c r="A73" s="5" t="s">
        <v>30</v>
      </c>
      <c r="B73" s="5" t="s">
        <v>105</v>
      </c>
      <c r="C73" s="5" t="s">
        <v>90</v>
      </c>
      <c r="D73" s="5" t="s">
        <v>75</v>
      </c>
      <c r="E73" s="5" t="s">
        <v>91</v>
      </c>
      <c r="F73" s="5"/>
      <c r="G73" s="5"/>
      <c r="H73" s="5" t="s">
        <v>5</v>
      </c>
      <c r="I73" s="13" t="n">
        <v>184300</v>
      </c>
      <c r="J73" s="5" t="n">
        <v>100</v>
      </c>
      <c r="K73" s="5" t="n">
        <v>0</v>
      </c>
      <c r="L73" s="5" t="s">
        <v>93</v>
      </c>
      <c r="M73" s="14" t="n">
        <v>0.78</v>
      </c>
      <c r="N73" s="15" t="n">
        <v>143.754</v>
      </c>
      <c r="O73" s="15"/>
      <c r="P73" s="15" t="n">
        <v>143.754</v>
      </c>
      <c r="Q73" s="15" t="n">
        <f aca="false">IF(M73="","",I73*M73/1000)</f>
        <v>143.754</v>
      </c>
      <c r="R73" s="15" t="n">
        <f aca="false">IF(Q73="","",Q73-N(P73))</f>
        <v>0</v>
      </c>
      <c r="S73" s="5" t="str">
        <f aca="false">IF(L73="","",IF(ISNUMBER(SEARCH("25-26",L73)),"25-26",IF(ISNUMBER(SEARCH("24-25",L73)),"24-25","other")))</f>
        <v>25-26</v>
      </c>
      <c r="T73" s="5"/>
      <c r="U73" s="13"/>
      <c r="V73" s="5"/>
      <c r="W73" s="5" t="str">
        <f aca="false">IF(AND(R73&lt;&gt;"",ABS(R73)&gt;0.05),"CO2e not kWh x factor",IF(V73="kWh differs from source","Virtual meter not mirroring",IF(AND(D73="Certificates - Location [kWh]",S73="24-25"),"Certificate on 24-25 factor","OK")))</f>
        <v>OK</v>
      </c>
    </row>
    <row r="74" customFormat="false" ht="15" hidden="false" customHeight="false" outlineLevel="0" collapsed="false">
      <c r="A74" s="5" t="s">
        <v>30</v>
      </c>
      <c r="B74" s="5" t="s">
        <v>105</v>
      </c>
      <c r="C74" s="5" t="s">
        <v>90</v>
      </c>
      <c r="D74" s="5" t="s">
        <v>75</v>
      </c>
      <c r="E74" s="5" t="s">
        <v>91</v>
      </c>
      <c r="F74" s="5"/>
      <c r="G74" s="5"/>
      <c r="H74" s="5" t="s">
        <v>6</v>
      </c>
      <c r="I74" s="13" t="n">
        <v>204160</v>
      </c>
      <c r="J74" s="5" t="n">
        <v>100</v>
      </c>
      <c r="K74" s="5" t="n">
        <v>0</v>
      </c>
      <c r="L74" s="5" t="s">
        <v>93</v>
      </c>
      <c r="M74" s="14" t="n">
        <v>0.78</v>
      </c>
      <c r="N74" s="15" t="n">
        <v>159.2448</v>
      </c>
      <c r="O74" s="15"/>
      <c r="P74" s="15" t="n">
        <v>159.2448</v>
      </c>
      <c r="Q74" s="15" t="n">
        <f aca="false">IF(M74="","",I74*M74/1000)</f>
        <v>159.2448</v>
      </c>
      <c r="R74" s="15" t="n">
        <f aca="false">IF(Q74="","",Q74-N(P74))</f>
        <v>0</v>
      </c>
      <c r="S74" s="5" t="str">
        <f aca="false">IF(L74="","",IF(ISNUMBER(SEARCH("25-26",L74)),"25-26",IF(ISNUMBER(SEARCH("24-25",L74)),"24-25","other")))</f>
        <v>25-26</v>
      </c>
      <c r="T74" s="5"/>
      <c r="U74" s="13"/>
      <c r="V74" s="5"/>
      <c r="W74" s="5" t="str">
        <f aca="false">IF(AND(R74&lt;&gt;"",ABS(R74)&gt;0.05),"CO2e not kWh x factor",IF(V74="kWh differs from source","Virtual meter not mirroring",IF(AND(D74="Certificates - Location [kWh]",S74="24-25"),"Certificate on 24-25 factor","OK")))</f>
        <v>OK</v>
      </c>
    </row>
    <row r="75" customFormat="false" ht="15" hidden="false" customHeight="false" outlineLevel="0" collapsed="false">
      <c r="A75" s="5" t="s">
        <v>30</v>
      </c>
      <c r="B75" s="5" t="s">
        <v>105</v>
      </c>
      <c r="C75" s="5" t="s">
        <v>90</v>
      </c>
      <c r="D75" s="5" t="s">
        <v>75</v>
      </c>
      <c r="E75" s="5" t="s">
        <v>91</v>
      </c>
      <c r="F75" s="5"/>
      <c r="G75" s="5"/>
      <c r="H75" s="5" t="s">
        <v>7</v>
      </c>
      <c r="I75" s="13" t="n">
        <v>208475</v>
      </c>
      <c r="J75" s="5" t="n">
        <v>100</v>
      </c>
      <c r="K75" s="5" t="n">
        <v>0</v>
      </c>
      <c r="L75" s="5" t="s">
        <v>93</v>
      </c>
      <c r="M75" s="14" t="n">
        <v>0.78</v>
      </c>
      <c r="N75" s="15" t="n">
        <v>162.6105</v>
      </c>
      <c r="O75" s="15"/>
      <c r="P75" s="15" t="n">
        <v>162.6105</v>
      </c>
      <c r="Q75" s="15" t="n">
        <f aca="false">IF(M75="","",I75*M75/1000)</f>
        <v>162.6105</v>
      </c>
      <c r="R75" s="15" t="n">
        <f aca="false">IF(Q75="","",Q75-N(P75))</f>
        <v>0</v>
      </c>
      <c r="S75" s="5" t="str">
        <f aca="false">IF(L75="","",IF(ISNUMBER(SEARCH("25-26",L75)),"25-26",IF(ISNUMBER(SEARCH("24-25",L75)),"24-25","other")))</f>
        <v>25-26</v>
      </c>
      <c r="T75" s="5"/>
      <c r="U75" s="13"/>
      <c r="V75" s="5"/>
      <c r="W75" s="5" t="str">
        <f aca="false">IF(AND(R75&lt;&gt;"",ABS(R75)&gt;0.05),"CO2e not kWh x factor",IF(V75="kWh differs from source","Virtual meter not mirroring",IF(AND(D75="Certificates - Location [kWh]",S75="24-25"),"Certificate on 24-25 factor","OK")))</f>
        <v>OK</v>
      </c>
    </row>
    <row r="76" customFormat="false" ht="15" hidden="false" customHeight="false" outlineLevel="0" collapsed="false">
      <c r="A76" s="5" t="s">
        <v>30</v>
      </c>
      <c r="B76" s="5" t="s">
        <v>105</v>
      </c>
      <c r="C76" s="5" t="s">
        <v>90</v>
      </c>
      <c r="D76" s="5" t="s">
        <v>75</v>
      </c>
      <c r="E76" s="5" t="s">
        <v>91</v>
      </c>
      <c r="F76" s="5"/>
      <c r="G76" s="5"/>
      <c r="H76" s="5" t="s">
        <v>8</v>
      </c>
      <c r="I76" s="13" t="n">
        <v>219172</v>
      </c>
      <c r="J76" s="5" t="n">
        <v>100</v>
      </c>
      <c r="K76" s="5" t="n">
        <v>0</v>
      </c>
      <c r="L76" s="5" t="s">
        <v>93</v>
      </c>
      <c r="M76" s="14" t="n">
        <v>0.78</v>
      </c>
      <c r="N76" s="15" t="n">
        <v>170.9542</v>
      </c>
      <c r="O76" s="15"/>
      <c r="P76" s="15" t="n">
        <v>170.9542</v>
      </c>
      <c r="Q76" s="15" t="n">
        <f aca="false">IF(M76="","",I76*M76/1000)</f>
        <v>170.95416</v>
      </c>
      <c r="R76" s="15" t="n">
        <f aca="false">IF(Q76="","",Q76-N(P76))</f>
        <v>-3.99999999842748E-005</v>
      </c>
      <c r="S76" s="5" t="str">
        <f aca="false">IF(L76="","",IF(ISNUMBER(SEARCH("25-26",L76)),"25-26",IF(ISNUMBER(SEARCH("24-25",L76)),"24-25","other")))</f>
        <v>25-26</v>
      </c>
      <c r="T76" s="5"/>
      <c r="U76" s="13"/>
      <c r="V76" s="5"/>
      <c r="W76" s="5" t="str">
        <f aca="false">IF(AND(R76&lt;&gt;"",ABS(R76)&gt;0.05),"CO2e not kWh x factor",IF(V76="kWh differs from source","Virtual meter not mirroring",IF(AND(D76="Certificates - Location [kWh]",S76="24-25"),"Certificate on 24-25 factor","OK")))</f>
        <v>OK</v>
      </c>
    </row>
    <row r="77" customFormat="false" ht="15" hidden="false" customHeight="false" outlineLevel="0" collapsed="false">
      <c r="A77" s="5" t="s">
        <v>30</v>
      </c>
      <c r="B77" s="5" t="s">
        <v>105</v>
      </c>
      <c r="C77" s="5" t="s">
        <v>90</v>
      </c>
      <c r="D77" s="5" t="s">
        <v>75</v>
      </c>
      <c r="E77" s="5" t="s">
        <v>91</v>
      </c>
      <c r="F77" s="5"/>
      <c r="G77" s="5"/>
      <c r="H77" s="5" t="s">
        <v>9</v>
      </c>
      <c r="I77" s="13" t="n">
        <v>219752.1986</v>
      </c>
      <c r="J77" s="5" t="n">
        <v>0</v>
      </c>
      <c r="K77" s="5" t="n">
        <v>100</v>
      </c>
      <c r="L77" s="5" t="s">
        <v>93</v>
      </c>
      <c r="M77" s="14" t="n">
        <v>0.78</v>
      </c>
      <c r="N77" s="15" t="n">
        <v>171.4067</v>
      </c>
      <c r="O77" s="15"/>
      <c r="P77" s="15" t="n">
        <v>171.4067</v>
      </c>
      <c r="Q77" s="15" t="n">
        <f aca="false">IF(M77="","",I77*M77/1000)</f>
        <v>171.406714908</v>
      </c>
      <c r="R77" s="15" t="n">
        <f aca="false">IF(Q77="","",Q77-N(P77))</f>
        <v>1.49079999971491E-005</v>
      </c>
      <c r="S77" s="5" t="str">
        <f aca="false">IF(L77="","",IF(ISNUMBER(SEARCH("25-26",L77)),"25-26",IF(ISNUMBER(SEARCH("24-25",L77)),"24-25","other")))</f>
        <v>25-26</v>
      </c>
      <c r="T77" s="5"/>
      <c r="U77" s="13"/>
      <c r="V77" s="5"/>
      <c r="W77" s="5" t="str">
        <f aca="false">IF(AND(R77&lt;&gt;"",ABS(R77)&gt;0.05),"CO2e not kWh x factor",IF(V77="kWh differs from source","Virtual meter not mirroring",IF(AND(D77="Certificates - Location [kWh]",S77="24-25"),"Certificate on 24-25 factor","OK")))</f>
        <v>OK</v>
      </c>
    </row>
    <row r="78" customFormat="false" ht="15" hidden="false" customHeight="false" outlineLevel="0" collapsed="false">
      <c r="A78" s="5" t="s">
        <v>30</v>
      </c>
      <c r="B78" s="5" t="s">
        <v>106</v>
      </c>
      <c r="C78" s="5" t="s">
        <v>78</v>
      </c>
      <c r="D78" s="5" t="s">
        <v>79</v>
      </c>
      <c r="E78" s="5" t="s">
        <v>86</v>
      </c>
      <c r="F78" s="5" t="s">
        <v>87</v>
      </c>
      <c r="G78" s="5"/>
      <c r="H78" s="5" t="s">
        <v>4</v>
      </c>
      <c r="I78" s="13" t="n">
        <v>180360</v>
      </c>
      <c r="J78" s="5" t="n">
        <v>100</v>
      </c>
      <c r="K78" s="5" t="n">
        <v>0</v>
      </c>
      <c r="L78" s="5" t="s">
        <v>88</v>
      </c>
      <c r="M78" s="14" t="n">
        <v>-0.78</v>
      </c>
      <c r="N78" s="15"/>
      <c r="O78" s="15" t="n">
        <v>-140.6808</v>
      </c>
      <c r="P78" s="15" t="n">
        <v>-140.6808</v>
      </c>
      <c r="Q78" s="15" t="n">
        <f aca="false">IF(M78="","",I78*M78/1000)</f>
        <v>-140.6808</v>
      </c>
      <c r="R78" s="15" t="n">
        <f aca="false">IF(Q78="","",Q78-N(P78))</f>
        <v>0</v>
      </c>
      <c r="S78" s="5" t="str">
        <f aca="false">IF(L78="","",IF(ISNUMBER(SEARCH("25-26",L78)),"25-26",IF(ISNUMBER(SEARCH("24-25",L78)),"24-25","other")))</f>
        <v>25-26</v>
      </c>
      <c r="T78" s="5"/>
      <c r="U78" s="13"/>
      <c r="V78" s="5"/>
      <c r="W78" s="5" t="str">
        <f aca="false">IF(AND(R78&lt;&gt;"",ABS(R78)&gt;0.05),"CO2e not kWh x factor",IF(V78="kWh differs from source","Virtual meter not mirroring",IF(AND(D78="Certificates - Location [kWh]",S78="24-25"),"Certificate on 24-25 factor","OK")))</f>
        <v>OK</v>
      </c>
    </row>
    <row r="79" customFormat="false" ht="15" hidden="false" customHeight="false" outlineLevel="0" collapsed="false">
      <c r="A79" s="5" t="s">
        <v>30</v>
      </c>
      <c r="B79" s="5" t="s">
        <v>106</v>
      </c>
      <c r="C79" s="5" t="s">
        <v>78</v>
      </c>
      <c r="D79" s="5" t="s">
        <v>79</v>
      </c>
      <c r="E79" s="5" t="s">
        <v>86</v>
      </c>
      <c r="F79" s="5" t="s">
        <v>87</v>
      </c>
      <c r="G79" s="5"/>
      <c r="H79" s="5" t="s">
        <v>5</v>
      </c>
      <c r="I79" s="13" t="n">
        <v>184300</v>
      </c>
      <c r="J79" s="5" t="n">
        <v>100</v>
      </c>
      <c r="K79" s="5" t="n">
        <v>0</v>
      </c>
      <c r="L79" s="5" t="s">
        <v>88</v>
      </c>
      <c r="M79" s="14" t="n">
        <v>-0.78</v>
      </c>
      <c r="N79" s="15"/>
      <c r="O79" s="15" t="n">
        <v>-143.754</v>
      </c>
      <c r="P79" s="15" t="n">
        <v>-143.754</v>
      </c>
      <c r="Q79" s="15" t="n">
        <f aca="false">IF(M79="","",I79*M79/1000)</f>
        <v>-143.754</v>
      </c>
      <c r="R79" s="15" t="n">
        <f aca="false">IF(Q79="","",Q79-N(P79))</f>
        <v>0</v>
      </c>
      <c r="S79" s="5" t="str">
        <f aca="false">IF(L79="","",IF(ISNUMBER(SEARCH("25-26",L79)),"25-26",IF(ISNUMBER(SEARCH("24-25",L79)),"24-25","other")))</f>
        <v>25-26</v>
      </c>
      <c r="T79" s="5"/>
      <c r="U79" s="13"/>
      <c r="V79" s="5"/>
      <c r="W79" s="5" t="str">
        <f aca="false">IF(AND(R79&lt;&gt;"",ABS(R79)&gt;0.05),"CO2e not kWh x factor",IF(V79="kWh differs from source","Virtual meter not mirroring",IF(AND(D79="Certificates - Location [kWh]",S79="24-25"),"Certificate on 24-25 factor","OK")))</f>
        <v>OK</v>
      </c>
    </row>
    <row r="80" customFormat="false" ht="15" hidden="false" customHeight="false" outlineLevel="0" collapsed="false">
      <c r="A80" s="5" t="s">
        <v>30</v>
      </c>
      <c r="B80" s="5" t="s">
        <v>106</v>
      </c>
      <c r="C80" s="5" t="s">
        <v>78</v>
      </c>
      <c r="D80" s="5" t="s">
        <v>79</v>
      </c>
      <c r="E80" s="5" t="s">
        <v>86</v>
      </c>
      <c r="F80" s="5" t="s">
        <v>87</v>
      </c>
      <c r="G80" s="5"/>
      <c r="H80" s="5" t="s">
        <v>6</v>
      </c>
      <c r="I80" s="13" t="n">
        <v>204160</v>
      </c>
      <c r="J80" s="5" t="n">
        <v>100</v>
      </c>
      <c r="K80" s="5" t="n">
        <v>0</v>
      </c>
      <c r="L80" s="5" t="s">
        <v>88</v>
      </c>
      <c r="M80" s="14" t="n">
        <v>-0.78</v>
      </c>
      <c r="N80" s="15"/>
      <c r="O80" s="15" t="n">
        <v>-159.2448</v>
      </c>
      <c r="P80" s="15" t="n">
        <v>-159.2448</v>
      </c>
      <c r="Q80" s="15" t="n">
        <f aca="false">IF(M80="","",I80*M80/1000)</f>
        <v>-159.2448</v>
      </c>
      <c r="R80" s="15" t="n">
        <f aca="false">IF(Q80="","",Q80-N(P80))</f>
        <v>0</v>
      </c>
      <c r="S80" s="5" t="str">
        <f aca="false">IF(L80="","",IF(ISNUMBER(SEARCH("25-26",L80)),"25-26",IF(ISNUMBER(SEARCH("24-25",L80)),"24-25","other")))</f>
        <v>25-26</v>
      </c>
      <c r="T80" s="5"/>
      <c r="U80" s="13"/>
      <c r="V80" s="5"/>
      <c r="W80" s="5" t="str">
        <f aca="false">IF(AND(R80&lt;&gt;"",ABS(R80)&gt;0.05),"CO2e not kWh x factor",IF(V80="kWh differs from source","Virtual meter not mirroring",IF(AND(D80="Certificates - Location [kWh]",S80="24-25"),"Certificate on 24-25 factor","OK")))</f>
        <v>OK</v>
      </c>
    </row>
    <row r="81" customFormat="false" ht="15" hidden="false" customHeight="false" outlineLevel="0" collapsed="false">
      <c r="A81" s="5" t="s">
        <v>30</v>
      </c>
      <c r="B81" s="5" t="s">
        <v>106</v>
      </c>
      <c r="C81" s="5" t="s">
        <v>78</v>
      </c>
      <c r="D81" s="5" t="s">
        <v>79</v>
      </c>
      <c r="E81" s="5" t="s">
        <v>86</v>
      </c>
      <c r="F81" s="5" t="s">
        <v>87</v>
      </c>
      <c r="G81" s="5"/>
      <c r="H81" s="5" t="s">
        <v>7</v>
      </c>
      <c r="I81" s="13" t="n">
        <v>208475</v>
      </c>
      <c r="J81" s="5" t="n">
        <v>100</v>
      </c>
      <c r="K81" s="5" t="n">
        <v>0</v>
      </c>
      <c r="L81" s="5" t="s">
        <v>88</v>
      </c>
      <c r="M81" s="14" t="n">
        <v>-0.78</v>
      </c>
      <c r="N81" s="15"/>
      <c r="O81" s="15" t="n">
        <v>-162.6105</v>
      </c>
      <c r="P81" s="15" t="n">
        <v>-162.6105</v>
      </c>
      <c r="Q81" s="15" t="n">
        <f aca="false">IF(M81="","",I81*M81/1000)</f>
        <v>-162.6105</v>
      </c>
      <c r="R81" s="15" t="n">
        <f aca="false">IF(Q81="","",Q81-N(P81))</f>
        <v>0</v>
      </c>
      <c r="S81" s="5" t="str">
        <f aca="false">IF(L81="","",IF(ISNUMBER(SEARCH("25-26",L81)),"25-26",IF(ISNUMBER(SEARCH("24-25",L81)),"24-25","other")))</f>
        <v>25-26</v>
      </c>
      <c r="T81" s="5"/>
      <c r="U81" s="13"/>
      <c r="V81" s="5"/>
      <c r="W81" s="5" t="str">
        <f aca="false">IF(AND(R81&lt;&gt;"",ABS(R81)&gt;0.05),"CO2e not kWh x factor",IF(V81="kWh differs from source","Virtual meter not mirroring",IF(AND(D81="Certificates - Location [kWh]",S81="24-25"),"Certificate on 24-25 factor","OK")))</f>
        <v>OK</v>
      </c>
    </row>
    <row r="82" customFormat="false" ht="15" hidden="false" customHeight="false" outlineLevel="0" collapsed="false">
      <c r="A82" s="5" t="s">
        <v>30</v>
      </c>
      <c r="B82" s="5" t="s">
        <v>106</v>
      </c>
      <c r="C82" s="5" t="s">
        <v>78</v>
      </c>
      <c r="D82" s="5" t="s">
        <v>79</v>
      </c>
      <c r="E82" s="5" t="s">
        <v>86</v>
      </c>
      <c r="F82" s="5" t="s">
        <v>87</v>
      </c>
      <c r="G82" s="5"/>
      <c r="H82" s="5" t="s">
        <v>8</v>
      </c>
      <c r="I82" s="13" t="n">
        <v>219172</v>
      </c>
      <c r="J82" s="5" t="n">
        <v>100</v>
      </c>
      <c r="K82" s="5" t="n">
        <v>0</v>
      </c>
      <c r="L82" s="5" t="s">
        <v>88</v>
      </c>
      <c r="M82" s="14" t="n">
        <v>-0.78</v>
      </c>
      <c r="N82" s="15"/>
      <c r="O82" s="15" t="n">
        <v>-170.9542</v>
      </c>
      <c r="P82" s="15" t="n">
        <v>-170.9542</v>
      </c>
      <c r="Q82" s="15" t="n">
        <f aca="false">IF(M82="","",I82*M82/1000)</f>
        <v>-170.95416</v>
      </c>
      <c r="R82" s="15" t="n">
        <f aca="false">IF(Q82="","",Q82-N(P82))</f>
        <v>3.99999999842748E-005</v>
      </c>
      <c r="S82" s="5" t="str">
        <f aca="false">IF(L82="","",IF(ISNUMBER(SEARCH("25-26",L82)),"25-26",IF(ISNUMBER(SEARCH("24-25",L82)),"24-25","other")))</f>
        <v>25-26</v>
      </c>
      <c r="T82" s="5"/>
      <c r="U82" s="13"/>
      <c r="V82" s="5"/>
      <c r="W82" s="5" t="str">
        <f aca="false">IF(AND(R82&lt;&gt;"",ABS(R82)&gt;0.05),"CO2e not kWh x factor",IF(V82="kWh differs from source","Virtual meter not mirroring",IF(AND(D82="Certificates - Location [kWh]",S82="24-25"),"Certificate on 24-25 factor","OK")))</f>
        <v>OK</v>
      </c>
    </row>
    <row r="83" customFormat="false" ht="15" hidden="false" customHeight="false" outlineLevel="0" collapsed="false">
      <c r="A83" s="5" t="s">
        <v>30</v>
      </c>
      <c r="B83" s="5" t="s">
        <v>106</v>
      </c>
      <c r="C83" s="5" t="s">
        <v>78</v>
      </c>
      <c r="D83" s="5" t="s">
        <v>79</v>
      </c>
      <c r="E83" s="5" t="s">
        <v>86</v>
      </c>
      <c r="F83" s="5" t="s">
        <v>87</v>
      </c>
      <c r="G83" s="5"/>
      <c r="H83" s="5" t="s">
        <v>9</v>
      </c>
      <c r="I83" s="13" t="n">
        <v>219752.1986</v>
      </c>
      <c r="J83" s="5" t="n">
        <v>0</v>
      </c>
      <c r="K83" s="5" t="n">
        <v>0</v>
      </c>
      <c r="L83" s="5" t="s">
        <v>88</v>
      </c>
      <c r="M83" s="14" t="n">
        <v>-0.78</v>
      </c>
      <c r="N83" s="15"/>
      <c r="O83" s="15" t="n">
        <v>-171.4067</v>
      </c>
      <c r="P83" s="15" t="n">
        <v>-171.4067</v>
      </c>
      <c r="Q83" s="15" t="n">
        <f aca="false">IF(M83="","",I83*M83/1000)</f>
        <v>-171.406714908</v>
      </c>
      <c r="R83" s="15" t="n">
        <f aca="false">IF(Q83="","",Q83-N(P83))</f>
        <v>-1.49079999971491E-005</v>
      </c>
      <c r="S83" s="5" t="str">
        <f aca="false">IF(L83="","",IF(ISNUMBER(SEARCH("25-26",L83)),"25-26",IF(ISNUMBER(SEARCH("24-25",L83)),"24-25","other")))</f>
        <v>25-26</v>
      </c>
      <c r="T83" s="5"/>
      <c r="U83" s="13"/>
      <c r="V83" s="5"/>
      <c r="W83" s="5" t="str">
        <f aca="false">IF(AND(R83&lt;&gt;"",ABS(R83)&gt;0.05),"CO2e not kWh x factor",IF(V83="kWh differs from source","Virtual meter not mirroring",IF(AND(D83="Certificates - Location [kWh]",S83="24-25"),"Certificate on 24-25 factor","OK")))</f>
        <v>OK</v>
      </c>
    </row>
    <row r="84" customFormat="false" ht="15" hidden="false" customHeight="false" outlineLevel="0" collapsed="false">
      <c r="A84" s="5" t="s">
        <v>31</v>
      </c>
      <c r="B84" s="5" t="s">
        <v>107</v>
      </c>
      <c r="C84" s="5" t="s">
        <v>95</v>
      </c>
      <c r="D84" s="5" t="s">
        <v>71</v>
      </c>
      <c r="E84" s="5" t="s">
        <v>108</v>
      </c>
      <c r="F84" s="5" t="s">
        <v>109</v>
      </c>
      <c r="G84" s="5" t="s">
        <v>110</v>
      </c>
      <c r="H84" s="5" t="s">
        <v>5</v>
      </c>
      <c r="I84" s="13" t="n">
        <v>0</v>
      </c>
      <c r="J84" s="5"/>
      <c r="K84" s="5"/>
      <c r="L84" s="5" t="s">
        <v>111</v>
      </c>
      <c r="M84" s="14" t="n">
        <v>-0.67</v>
      </c>
      <c r="N84" s="15"/>
      <c r="O84" s="15" t="n">
        <v>0</v>
      </c>
      <c r="P84" s="15"/>
      <c r="Q84" s="15" t="n">
        <f aca="false">IF(M84="","",I84*M84/1000)</f>
        <v>-0</v>
      </c>
      <c r="R84" s="15" t="n">
        <f aca="false">IF(Q84="","",Q84-N(P84))</f>
        <v>-0</v>
      </c>
      <c r="S84" s="5" t="str">
        <f aca="false">IF(L84="","",IF(ISNUMBER(SEARCH("25-26",L84)),"25-26",IF(ISNUMBER(SEARCH("24-25",L84)),"24-25","other")))</f>
        <v>25-26</v>
      </c>
      <c r="T84" s="5"/>
      <c r="U84" s="13"/>
      <c r="V84" s="5"/>
      <c r="W84" s="5" t="str">
        <f aca="false">IF(AND(R84&lt;&gt;"",ABS(R84)&gt;0.05),"CO2e not kWh x factor",IF(V84="kWh differs from source","Virtual meter not mirroring",IF(AND(D84="Certificates - Location [kWh]",S84="24-25"),"Certificate on 24-25 factor","OK")))</f>
        <v>OK</v>
      </c>
    </row>
    <row r="85" customFormat="false" ht="15" hidden="false" customHeight="false" outlineLevel="0" collapsed="false">
      <c r="A85" s="5" t="s">
        <v>31</v>
      </c>
      <c r="B85" s="5" t="s">
        <v>107</v>
      </c>
      <c r="C85" s="5" t="s">
        <v>95</v>
      </c>
      <c r="D85" s="5" t="s">
        <v>71</v>
      </c>
      <c r="E85" s="5" t="s">
        <v>108</v>
      </c>
      <c r="F85" s="5" t="s">
        <v>109</v>
      </c>
      <c r="G85" s="5" t="s">
        <v>110</v>
      </c>
      <c r="H85" s="5" t="s">
        <v>6</v>
      </c>
      <c r="I85" s="13" t="n">
        <v>0</v>
      </c>
      <c r="J85" s="5"/>
      <c r="K85" s="5"/>
      <c r="L85" s="5" t="s">
        <v>111</v>
      </c>
      <c r="M85" s="14" t="n">
        <v>-0.67</v>
      </c>
      <c r="N85" s="15"/>
      <c r="O85" s="15" t="n">
        <v>0</v>
      </c>
      <c r="P85" s="15"/>
      <c r="Q85" s="15" t="n">
        <f aca="false">IF(M85="","",I85*M85/1000)</f>
        <v>-0</v>
      </c>
      <c r="R85" s="15" t="n">
        <f aca="false">IF(Q85="","",Q85-N(P85))</f>
        <v>-0</v>
      </c>
      <c r="S85" s="5" t="str">
        <f aca="false">IF(L85="","",IF(ISNUMBER(SEARCH("25-26",L85)),"25-26",IF(ISNUMBER(SEARCH("24-25",L85)),"24-25","other")))</f>
        <v>25-26</v>
      </c>
      <c r="T85" s="5"/>
      <c r="U85" s="13"/>
      <c r="V85" s="5"/>
      <c r="W85" s="5" t="str">
        <f aca="false">IF(AND(R85&lt;&gt;"",ABS(R85)&gt;0.05),"CO2e not kWh x factor",IF(V85="kWh differs from source","Virtual meter not mirroring",IF(AND(D85="Certificates - Location [kWh]",S85="24-25"),"Certificate on 24-25 factor","OK")))</f>
        <v>OK</v>
      </c>
    </row>
    <row r="86" customFormat="false" ht="15" hidden="false" customHeight="false" outlineLevel="0" collapsed="false">
      <c r="A86" s="5" t="s">
        <v>31</v>
      </c>
      <c r="B86" s="5" t="s">
        <v>107</v>
      </c>
      <c r="C86" s="5" t="s">
        <v>95</v>
      </c>
      <c r="D86" s="5" t="s">
        <v>71</v>
      </c>
      <c r="E86" s="5" t="s">
        <v>108</v>
      </c>
      <c r="F86" s="5" t="s">
        <v>109</v>
      </c>
      <c r="G86" s="5" t="s">
        <v>110</v>
      </c>
      <c r="H86" s="5" t="s">
        <v>7</v>
      </c>
      <c r="I86" s="13" t="n">
        <v>0</v>
      </c>
      <c r="J86" s="5"/>
      <c r="K86" s="5"/>
      <c r="L86" s="5" t="s">
        <v>111</v>
      </c>
      <c r="M86" s="14" t="n">
        <v>-0.67</v>
      </c>
      <c r="N86" s="15"/>
      <c r="O86" s="15" t="n">
        <v>0</v>
      </c>
      <c r="P86" s="15"/>
      <c r="Q86" s="15" t="n">
        <f aca="false">IF(M86="","",I86*M86/1000)</f>
        <v>-0</v>
      </c>
      <c r="R86" s="15" t="n">
        <f aca="false">IF(Q86="","",Q86-N(P86))</f>
        <v>-0</v>
      </c>
      <c r="S86" s="5" t="str">
        <f aca="false">IF(L86="","",IF(ISNUMBER(SEARCH("25-26",L86)),"25-26",IF(ISNUMBER(SEARCH("24-25",L86)),"24-25","other")))</f>
        <v>25-26</v>
      </c>
      <c r="T86" s="5"/>
      <c r="U86" s="13"/>
      <c r="V86" s="5"/>
      <c r="W86" s="5" t="str">
        <f aca="false">IF(AND(R86&lt;&gt;"",ABS(R86)&gt;0.05),"CO2e not kWh x factor",IF(V86="kWh differs from source","Virtual meter not mirroring",IF(AND(D86="Certificates - Location [kWh]",S86="24-25"),"Certificate on 24-25 factor","OK")))</f>
        <v>OK</v>
      </c>
    </row>
    <row r="87" customFormat="false" ht="15" hidden="false" customHeight="false" outlineLevel="0" collapsed="false">
      <c r="A87" s="5" t="s">
        <v>31</v>
      </c>
      <c r="B87" s="5" t="s">
        <v>107</v>
      </c>
      <c r="C87" s="5" t="s">
        <v>95</v>
      </c>
      <c r="D87" s="5" t="s">
        <v>75</v>
      </c>
      <c r="E87" s="5" t="s">
        <v>108</v>
      </c>
      <c r="F87" s="5" t="s">
        <v>109</v>
      </c>
      <c r="G87" s="5" t="s">
        <v>110</v>
      </c>
      <c r="H87" s="5" t="s">
        <v>5</v>
      </c>
      <c r="I87" s="13" t="n">
        <v>236992.7</v>
      </c>
      <c r="J87" s="5" t="n">
        <v>100</v>
      </c>
      <c r="K87" s="5" t="n">
        <v>0</v>
      </c>
      <c r="L87" s="5" t="s">
        <v>112</v>
      </c>
      <c r="M87" s="14" t="n">
        <v>0.67</v>
      </c>
      <c r="N87" s="15" t="n">
        <v>158.7851</v>
      </c>
      <c r="O87" s="15"/>
      <c r="P87" s="15" t="n">
        <v>158.7851</v>
      </c>
      <c r="Q87" s="15" t="n">
        <f aca="false">IF(M87="","",I87*M87/1000)</f>
        <v>158.785109</v>
      </c>
      <c r="R87" s="15" t="n">
        <f aca="false">IF(Q87="","",Q87-N(P87))</f>
        <v>9.0000000341206E-006</v>
      </c>
      <c r="S87" s="5" t="str">
        <f aca="false">IF(L87="","",IF(ISNUMBER(SEARCH("25-26",L87)),"25-26",IF(ISNUMBER(SEARCH("24-25",L87)),"24-25","other")))</f>
        <v>25-26</v>
      </c>
      <c r="T87" s="5"/>
      <c r="U87" s="13"/>
      <c r="V87" s="5"/>
      <c r="W87" s="5" t="str">
        <f aca="false">IF(AND(R87&lt;&gt;"",ABS(R87)&gt;0.05),"CO2e not kWh x factor",IF(V87="kWh differs from source","Virtual meter not mirroring",IF(AND(D87="Certificates - Location [kWh]",S87="24-25"),"Certificate on 24-25 factor","OK")))</f>
        <v>OK</v>
      </c>
    </row>
    <row r="88" customFormat="false" ht="15" hidden="false" customHeight="false" outlineLevel="0" collapsed="false">
      <c r="A88" s="5" t="s">
        <v>31</v>
      </c>
      <c r="B88" s="5" t="s">
        <v>107</v>
      </c>
      <c r="C88" s="5" t="s">
        <v>95</v>
      </c>
      <c r="D88" s="5" t="s">
        <v>75</v>
      </c>
      <c r="E88" s="5" t="s">
        <v>108</v>
      </c>
      <c r="F88" s="5" t="s">
        <v>109</v>
      </c>
      <c r="G88" s="5" t="s">
        <v>110</v>
      </c>
      <c r="H88" s="5" t="s">
        <v>6</v>
      </c>
      <c r="I88" s="13" t="n">
        <v>254414.4</v>
      </c>
      <c r="J88" s="5" t="n">
        <v>100</v>
      </c>
      <c r="K88" s="5" t="n">
        <v>0</v>
      </c>
      <c r="L88" s="5" t="s">
        <v>112</v>
      </c>
      <c r="M88" s="14" t="n">
        <v>0.67</v>
      </c>
      <c r="N88" s="15" t="n">
        <v>170.4576</v>
      </c>
      <c r="O88" s="15"/>
      <c r="P88" s="15" t="n">
        <v>170.4576</v>
      </c>
      <c r="Q88" s="15" t="n">
        <f aca="false">IF(M88="","",I88*M88/1000)</f>
        <v>170.457648</v>
      </c>
      <c r="R88" s="15" t="n">
        <f aca="false">IF(Q88="","",Q88-N(P88))</f>
        <v>4.79999999924985E-005</v>
      </c>
      <c r="S88" s="5" t="str">
        <f aca="false">IF(L88="","",IF(ISNUMBER(SEARCH("25-26",L88)),"25-26",IF(ISNUMBER(SEARCH("24-25",L88)),"24-25","other")))</f>
        <v>25-26</v>
      </c>
      <c r="T88" s="5"/>
      <c r="U88" s="13"/>
      <c r="V88" s="5"/>
      <c r="W88" s="5" t="str">
        <f aca="false">IF(AND(R88&lt;&gt;"",ABS(R88)&gt;0.05),"CO2e not kWh x factor",IF(V88="kWh differs from source","Virtual meter not mirroring",IF(AND(D88="Certificates - Location [kWh]",S88="24-25"),"Certificate on 24-25 factor","OK")))</f>
        <v>OK</v>
      </c>
    </row>
    <row r="89" customFormat="false" ht="15" hidden="false" customHeight="false" outlineLevel="0" collapsed="false">
      <c r="A89" s="5" t="s">
        <v>31</v>
      </c>
      <c r="B89" s="5" t="s">
        <v>107</v>
      </c>
      <c r="C89" s="5" t="s">
        <v>95</v>
      </c>
      <c r="D89" s="5" t="s">
        <v>75</v>
      </c>
      <c r="E89" s="5" t="s">
        <v>108</v>
      </c>
      <c r="F89" s="5" t="s">
        <v>109</v>
      </c>
      <c r="G89" s="5" t="s">
        <v>110</v>
      </c>
      <c r="H89" s="5" t="s">
        <v>7</v>
      </c>
      <c r="I89" s="13" t="n">
        <v>246307.1</v>
      </c>
      <c r="J89" s="5" t="n">
        <v>100</v>
      </c>
      <c r="K89" s="5" t="n">
        <v>0</v>
      </c>
      <c r="L89" s="5" t="s">
        <v>112</v>
      </c>
      <c r="M89" s="14" t="n">
        <v>0.67</v>
      </c>
      <c r="N89" s="15" t="n">
        <v>165.0258</v>
      </c>
      <c r="O89" s="15"/>
      <c r="P89" s="15" t="n">
        <v>165.0258</v>
      </c>
      <c r="Q89" s="15" t="n">
        <f aca="false">IF(M89="","",I89*M89/1000)</f>
        <v>165.025757</v>
      </c>
      <c r="R89" s="15" t="n">
        <f aca="false">IF(Q89="","",Q89-N(P89))</f>
        <v>-4.30000000051223E-005</v>
      </c>
      <c r="S89" s="5" t="str">
        <f aca="false">IF(L89="","",IF(ISNUMBER(SEARCH("25-26",L89)),"25-26",IF(ISNUMBER(SEARCH("24-25",L89)),"24-25","other")))</f>
        <v>25-26</v>
      </c>
      <c r="T89" s="5"/>
      <c r="U89" s="13"/>
      <c r="V89" s="5"/>
      <c r="W89" s="5" t="str">
        <f aca="false">IF(AND(R89&lt;&gt;"",ABS(R89)&gt;0.05),"CO2e not kWh x factor",IF(V89="kWh differs from source","Virtual meter not mirroring",IF(AND(D89="Certificates - Location [kWh]",S89="24-25"),"Certificate on 24-25 factor","OK")))</f>
        <v>OK</v>
      </c>
    </row>
    <row r="90" customFormat="false" ht="15" hidden="false" customHeight="false" outlineLevel="0" collapsed="false">
      <c r="A90" s="5" t="s">
        <v>31</v>
      </c>
      <c r="B90" s="5" t="s">
        <v>113</v>
      </c>
      <c r="C90" s="5" t="s">
        <v>95</v>
      </c>
      <c r="D90" s="5" t="s">
        <v>71</v>
      </c>
      <c r="E90" s="5" t="s">
        <v>108</v>
      </c>
      <c r="F90" s="5" t="s">
        <v>109</v>
      </c>
      <c r="G90" s="5" t="s">
        <v>110</v>
      </c>
      <c r="H90" s="5" t="s">
        <v>5</v>
      </c>
      <c r="I90" s="13" t="n">
        <v>0</v>
      </c>
      <c r="J90" s="5"/>
      <c r="K90" s="5"/>
      <c r="L90" s="5" t="s">
        <v>111</v>
      </c>
      <c r="M90" s="14" t="n">
        <v>-0.67</v>
      </c>
      <c r="N90" s="15"/>
      <c r="O90" s="15" t="n">
        <v>0</v>
      </c>
      <c r="P90" s="15"/>
      <c r="Q90" s="15" t="n">
        <f aca="false">IF(M90="","",I90*M90/1000)</f>
        <v>-0</v>
      </c>
      <c r="R90" s="15" t="n">
        <f aca="false">IF(Q90="","",Q90-N(P90))</f>
        <v>-0</v>
      </c>
      <c r="S90" s="5" t="str">
        <f aca="false">IF(L90="","",IF(ISNUMBER(SEARCH("25-26",L90)),"25-26",IF(ISNUMBER(SEARCH("24-25",L90)),"24-25","other")))</f>
        <v>25-26</v>
      </c>
      <c r="T90" s="5"/>
      <c r="U90" s="13"/>
      <c r="V90" s="5"/>
      <c r="W90" s="5" t="str">
        <f aca="false">IF(AND(R90&lt;&gt;"",ABS(R90)&gt;0.05),"CO2e not kWh x factor",IF(V90="kWh differs from source","Virtual meter not mirroring",IF(AND(D90="Certificates - Location [kWh]",S90="24-25"),"Certificate on 24-25 factor","OK")))</f>
        <v>OK</v>
      </c>
    </row>
    <row r="91" customFormat="false" ht="15" hidden="false" customHeight="false" outlineLevel="0" collapsed="false">
      <c r="A91" s="5" t="s">
        <v>31</v>
      </c>
      <c r="B91" s="5" t="s">
        <v>113</v>
      </c>
      <c r="C91" s="5" t="s">
        <v>95</v>
      </c>
      <c r="D91" s="5" t="s">
        <v>71</v>
      </c>
      <c r="E91" s="5" t="s">
        <v>108</v>
      </c>
      <c r="F91" s="5" t="s">
        <v>109</v>
      </c>
      <c r="G91" s="5" t="s">
        <v>110</v>
      </c>
      <c r="H91" s="5" t="s">
        <v>6</v>
      </c>
      <c r="I91" s="13" t="n">
        <v>0</v>
      </c>
      <c r="J91" s="5"/>
      <c r="K91" s="5"/>
      <c r="L91" s="5" t="s">
        <v>111</v>
      </c>
      <c r="M91" s="14" t="n">
        <v>-0.67</v>
      </c>
      <c r="N91" s="15"/>
      <c r="O91" s="15" t="n">
        <v>0</v>
      </c>
      <c r="P91" s="15"/>
      <c r="Q91" s="15" t="n">
        <f aca="false">IF(M91="","",I91*M91/1000)</f>
        <v>-0</v>
      </c>
      <c r="R91" s="15" t="n">
        <f aca="false">IF(Q91="","",Q91-N(P91))</f>
        <v>-0</v>
      </c>
      <c r="S91" s="5" t="str">
        <f aca="false">IF(L91="","",IF(ISNUMBER(SEARCH("25-26",L91)),"25-26",IF(ISNUMBER(SEARCH("24-25",L91)),"24-25","other")))</f>
        <v>25-26</v>
      </c>
      <c r="T91" s="5"/>
      <c r="U91" s="13"/>
      <c r="V91" s="5"/>
      <c r="W91" s="5" t="str">
        <f aca="false">IF(AND(R91&lt;&gt;"",ABS(R91)&gt;0.05),"CO2e not kWh x factor",IF(V91="kWh differs from source","Virtual meter not mirroring",IF(AND(D91="Certificates - Location [kWh]",S91="24-25"),"Certificate on 24-25 factor","OK")))</f>
        <v>OK</v>
      </c>
    </row>
    <row r="92" customFormat="false" ht="15" hidden="false" customHeight="false" outlineLevel="0" collapsed="false">
      <c r="A92" s="5" t="s">
        <v>31</v>
      </c>
      <c r="B92" s="5" t="s">
        <v>113</v>
      </c>
      <c r="C92" s="5" t="s">
        <v>95</v>
      </c>
      <c r="D92" s="5" t="s">
        <v>71</v>
      </c>
      <c r="E92" s="5" t="s">
        <v>108</v>
      </c>
      <c r="F92" s="5" t="s">
        <v>109</v>
      </c>
      <c r="G92" s="5" t="s">
        <v>110</v>
      </c>
      <c r="H92" s="5" t="s">
        <v>7</v>
      </c>
      <c r="I92" s="13" t="n">
        <v>0</v>
      </c>
      <c r="J92" s="5"/>
      <c r="K92" s="5"/>
      <c r="L92" s="5" t="s">
        <v>111</v>
      </c>
      <c r="M92" s="14" t="n">
        <v>-0.67</v>
      </c>
      <c r="N92" s="15"/>
      <c r="O92" s="15" t="n">
        <v>0</v>
      </c>
      <c r="P92" s="15"/>
      <c r="Q92" s="15" t="n">
        <f aca="false">IF(M92="","",I92*M92/1000)</f>
        <v>-0</v>
      </c>
      <c r="R92" s="15" t="n">
        <f aca="false">IF(Q92="","",Q92-N(P92))</f>
        <v>-0</v>
      </c>
      <c r="S92" s="5" t="str">
        <f aca="false">IF(L92="","",IF(ISNUMBER(SEARCH("25-26",L92)),"25-26",IF(ISNUMBER(SEARCH("24-25",L92)),"24-25","other")))</f>
        <v>25-26</v>
      </c>
      <c r="T92" s="5"/>
      <c r="U92" s="13"/>
      <c r="V92" s="5"/>
      <c r="W92" s="5" t="str">
        <f aca="false">IF(AND(R92&lt;&gt;"",ABS(R92)&gt;0.05),"CO2e not kWh x factor",IF(V92="kWh differs from source","Virtual meter not mirroring",IF(AND(D92="Certificates - Location [kWh]",S92="24-25"),"Certificate on 24-25 factor","OK")))</f>
        <v>OK</v>
      </c>
    </row>
    <row r="93" customFormat="false" ht="15" hidden="false" customHeight="false" outlineLevel="0" collapsed="false">
      <c r="A93" s="5" t="s">
        <v>31</v>
      </c>
      <c r="B93" s="5" t="s">
        <v>113</v>
      </c>
      <c r="C93" s="5" t="s">
        <v>95</v>
      </c>
      <c r="D93" s="5" t="s">
        <v>75</v>
      </c>
      <c r="E93" s="5" t="s">
        <v>108</v>
      </c>
      <c r="F93" s="5" t="s">
        <v>109</v>
      </c>
      <c r="G93" s="5" t="s">
        <v>110</v>
      </c>
      <c r="H93" s="5" t="s">
        <v>5</v>
      </c>
      <c r="I93" s="13" t="n">
        <v>12841.65</v>
      </c>
      <c r="J93" s="5" t="n">
        <v>100</v>
      </c>
      <c r="K93" s="5" t="n">
        <v>0</v>
      </c>
      <c r="L93" s="5" t="s">
        <v>112</v>
      </c>
      <c r="M93" s="14" t="n">
        <v>0.67</v>
      </c>
      <c r="N93" s="15" t="n">
        <v>8.6039</v>
      </c>
      <c r="O93" s="15"/>
      <c r="P93" s="15" t="n">
        <v>8.6039</v>
      </c>
      <c r="Q93" s="15" t="n">
        <f aca="false">IF(M93="","",I93*M93/1000)</f>
        <v>8.6039055</v>
      </c>
      <c r="R93" s="15" t="n">
        <f aca="false">IF(Q93="","",Q93-N(P93))</f>
        <v>5.50000000210105E-006</v>
      </c>
      <c r="S93" s="5" t="str">
        <f aca="false">IF(L93="","",IF(ISNUMBER(SEARCH("25-26",L93)),"25-26",IF(ISNUMBER(SEARCH("24-25",L93)),"24-25","other")))</f>
        <v>25-26</v>
      </c>
      <c r="T93" s="5"/>
      <c r="U93" s="13"/>
      <c r="V93" s="5"/>
      <c r="W93" s="5" t="str">
        <f aca="false">IF(AND(R93&lt;&gt;"",ABS(R93)&gt;0.05),"CO2e not kWh x factor",IF(V93="kWh differs from source","Virtual meter not mirroring",IF(AND(D93="Certificates - Location [kWh]",S93="24-25"),"Certificate on 24-25 factor","OK")))</f>
        <v>OK</v>
      </c>
    </row>
    <row r="94" customFormat="false" ht="15" hidden="false" customHeight="false" outlineLevel="0" collapsed="false">
      <c r="A94" s="5" t="s">
        <v>31</v>
      </c>
      <c r="B94" s="5" t="s">
        <v>113</v>
      </c>
      <c r="C94" s="5" t="s">
        <v>95</v>
      </c>
      <c r="D94" s="5" t="s">
        <v>75</v>
      </c>
      <c r="E94" s="5" t="s">
        <v>108</v>
      </c>
      <c r="F94" s="5" t="s">
        <v>109</v>
      </c>
      <c r="G94" s="5" t="s">
        <v>110</v>
      </c>
      <c r="H94" s="5" t="s">
        <v>6</v>
      </c>
      <c r="I94" s="13" t="n">
        <v>12520.86</v>
      </c>
      <c r="J94" s="5" t="n">
        <v>100</v>
      </c>
      <c r="K94" s="5" t="n">
        <v>0</v>
      </c>
      <c r="L94" s="5" t="s">
        <v>112</v>
      </c>
      <c r="M94" s="14" t="n">
        <v>0.67</v>
      </c>
      <c r="N94" s="15" t="n">
        <v>8.389</v>
      </c>
      <c r="O94" s="15"/>
      <c r="P94" s="15" t="n">
        <v>8.389</v>
      </c>
      <c r="Q94" s="15" t="n">
        <f aca="false">IF(M94="","",I94*M94/1000)</f>
        <v>8.3889762</v>
      </c>
      <c r="R94" s="15" t="n">
        <f aca="false">IF(Q94="","",Q94-N(P94))</f>
        <v>-2.37999999992411E-005</v>
      </c>
      <c r="S94" s="5" t="str">
        <f aca="false">IF(L94="","",IF(ISNUMBER(SEARCH("25-26",L94)),"25-26",IF(ISNUMBER(SEARCH("24-25",L94)),"24-25","other")))</f>
        <v>25-26</v>
      </c>
      <c r="T94" s="5"/>
      <c r="U94" s="13"/>
      <c r="V94" s="5"/>
      <c r="W94" s="5" t="str">
        <f aca="false">IF(AND(R94&lt;&gt;"",ABS(R94)&gt;0.05),"CO2e not kWh x factor",IF(V94="kWh differs from source","Virtual meter not mirroring",IF(AND(D94="Certificates - Location [kWh]",S94="24-25"),"Certificate on 24-25 factor","OK")))</f>
        <v>OK</v>
      </c>
    </row>
    <row r="95" customFormat="false" ht="15" hidden="false" customHeight="false" outlineLevel="0" collapsed="false">
      <c r="A95" s="5" t="s">
        <v>31</v>
      </c>
      <c r="B95" s="5" t="s">
        <v>113</v>
      </c>
      <c r="C95" s="5" t="s">
        <v>95</v>
      </c>
      <c r="D95" s="5" t="s">
        <v>75</v>
      </c>
      <c r="E95" s="5" t="s">
        <v>108</v>
      </c>
      <c r="F95" s="5" t="s">
        <v>109</v>
      </c>
      <c r="G95" s="5" t="s">
        <v>110</v>
      </c>
      <c r="H95" s="5" t="s">
        <v>7</v>
      </c>
      <c r="I95" s="13" t="n">
        <v>10932.43</v>
      </c>
      <c r="J95" s="5" t="n">
        <v>100</v>
      </c>
      <c r="K95" s="5" t="n">
        <v>0</v>
      </c>
      <c r="L95" s="5" t="s">
        <v>112</v>
      </c>
      <c r="M95" s="14" t="n">
        <v>0.67</v>
      </c>
      <c r="N95" s="15" t="n">
        <v>7.3247</v>
      </c>
      <c r="O95" s="15"/>
      <c r="P95" s="15" t="n">
        <v>7.3247</v>
      </c>
      <c r="Q95" s="15" t="n">
        <f aca="false">IF(M95="","",I95*M95/1000)</f>
        <v>7.3247281</v>
      </c>
      <c r="R95" s="15" t="n">
        <f aca="false">IF(Q95="","",Q95-N(P95))</f>
        <v>2.81000000006415E-005</v>
      </c>
      <c r="S95" s="5" t="str">
        <f aca="false">IF(L95="","",IF(ISNUMBER(SEARCH("25-26",L95)),"25-26",IF(ISNUMBER(SEARCH("24-25",L95)),"24-25","other")))</f>
        <v>25-26</v>
      </c>
      <c r="T95" s="5"/>
      <c r="U95" s="13"/>
      <c r="V95" s="5"/>
      <c r="W95" s="5" t="str">
        <f aca="false">IF(AND(R95&lt;&gt;"",ABS(R95)&gt;0.05),"CO2e not kWh x factor",IF(V95="kWh differs from source","Virtual meter not mirroring",IF(AND(D95="Certificates - Location [kWh]",S95="24-25"),"Certificate on 24-25 factor","OK")))</f>
        <v>OK</v>
      </c>
    </row>
    <row r="96" customFormat="false" ht="15" hidden="false" customHeight="false" outlineLevel="0" collapsed="false">
      <c r="A96" s="5" t="s">
        <v>31</v>
      </c>
      <c r="B96" s="5" t="s">
        <v>114</v>
      </c>
      <c r="C96" s="5" t="s">
        <v>95</v>
      </c>
      <c r="D96" s="5" t="s">
        <v>71</v>
      </c>
      <c r="E96" s="5" t="s">
        <v>108</v>
      </c>
      <c r="F96" s="5"/>
      <c r="G96" s="5" t="s">
        <v>115</v>
      </c>
      <c r="H96" s="5" t="s">
        <v>4</v>
      </c>
      <c r="I96" s="13" t="n">
        <v>0</v>
      </c>
      <c r="J96" s="5"/>
      <c r="K96" s="5"/>
      <c r="L96" s="5" t="s">
        <v>111</v>
      </c>
      <c r="M96" s="14" t="n">
        <v>-0.67</v>
      </c>
      <c r="N96" s="15"/>
      <c r="O96" s="15" t="n">
        <v>0</v>
      </c>
      <c r="P96" s="15"/>
      <c r="Q96" s="15" t="n">
        <f aca="false">IF(M96="","",I96*M96/1000)</f>
        <v>-0</v>
      </c>
      <c r="R96" s="15" t="n">
        <f aca="false">IF(Q96="","",Q96-N(P96))</f>
        <v>-0</v>
      </c>
      <c r="S96" s="5" t="str">
        <f aca="false">IF(L96="","",IF(ISNUMBER(SEARCH("25-26",L96)),"25-26",IF(ISNUMBER(SEARCH("24-25",L96)),"24-25","other")))</f>
        <v>25-26</v>
      </c>
      <c r="T96" s="5"/>
      <c r="U96" s="13"/>
      <c r="V96" s="5"/>
      <c r="W96" s="5" t="str">
        <f aca="false">IF(AND(R96&lt;&gt;"",ABS(R96)&gt;0.05),"CO2e not kWh x factor",IF(V96="kWh differs from source","Virtual meter not mirroring",IF(AND(D96="Certificates - Location [kWh]",S96="24-25"),"Certificate on 24-25 factor","OK")))</f>
        <v>OK</v>
      </c>
    </row>
    <row r="97" customFormat="false" ht="15" hidden="false" customHeight="false" outlineLevel="0" collapsed="false">
      <c r="A97" s="5" t="s">
        <v>31</v>
      </c>
      <c r="B97" s="5" t="s">
        <v>114</v>
      </c>
      <c r="C97" s="5" t="s">
        <v>95</v>
      </c>
      <c r="D97" s="5" t="s">
        <v>75</v>
      </c>
      <c r="E97" s="5" t="s">
        <v>108</v>
      </c>
      <c r="F97" s="5"/>
      <c r="G97" s="5" t="s">
        <v>115</v>
      </c>
      <c r="H97" s="5" t="s">
        <v>4</v>
      </c>
      <c r="I97" s="13" t="n">
        <v>356443.6</v>
      </c>
      <c r="J97" s="5" t="n">
        <v>100</v>
      </c>
      <c r="K97" s="5" t="n">
        <v>0</v>
      </c>
      <c r="L97" s="5" t="s">
        <v>112</v>
      </c>
      <c r="M97" s="14" t="n">
        <v>0.67</v>
      </c>
      <c r="N97" s="15" t="n">
        <v>238.8172</v>
      </c>
      <c r="O97" s="15"/>
      <c r="P97" s="15" t="n">
        <v>238.8172</v>
      </c>
      <c r="Q97" s="15" t="n">
        <f aca="false">IF(M97="","",I97*M97/1000)</f>
        <v>238.817212</v>
      </c>
      <c r="R97" s="15" t="n">
        <f aca="false">IF(Q97="","",Q97-N(P97))</f>
        <v>1.19999999981246E-005</v>
      </c>
      <c r="S97" s="5" t="str">
        <f aca="false">IF(L97="","",IF(ISNUMBER(SEARCH("25-26",L97)),"25-26",IF(ISNUMBER(SEARCH("24-25",L97)),"24-25","other")))</f>
        <v>25-26</v>
      </c>
      <c r="T97" s="5"/>
      <c r="U97" s="13"/>
      <c r="V97" s="5"/>
      <c r="W97" s="5" t="str">
        <f aca="false">IF(AND(R97&lt;&gt;"",ABS(R97)&gt;0.05),"CO2e not kWh x factor",IF(V97="kWh differs from source","Virtual meter not mirroring",IF(AND(D97="Certificates - Location [kWh]",S97="24-25"),"Certificate on 24-25 factor","OK")))</f>
        <v>OK</v>
      </c>
    </row>
    <row r="98" customFormat="false" ht="15" hidden="false" customHeight="false" outlineLevel="0" collapsed="false">
      <c r="A98" s="5" t="s">
        <v>31</v>
      </c>
      <c r="B98" s="5" t="s">
        <v>116</v>
      </c>
      <c r="C98" s="5" t="s">
        <v>95</v>
      </c>
      <c r="D98" s="5" t="s">
        <v>71</v>
      </c>
      <c r="E98" s="5" t="s">
        <v>108</v>
      </c>
      <c r="F98" s="5"/>
      <c r="G98" s="5" t="s">
        <v>115</v>
      </c>
      <c r="H98" s="5" t="s">
        <v>4</v>
      </c>
      <c r="I98" s="13" t="n">
        <v>0</v>
      </c>
      <c r="J98" s="5"/>
      <c r="K98" s="5"/>
      <c r="L98" s="5" t="s">
        <v>111</v>
      </c>
      <c r="M98" s="14" t="n">
        <v>-0.67</v>
      </c>
      <c r="N98" s="15"/>
      <c r="O98" s="15" t="n">
        <v>0</v>
      </c>
      <c r="P98" s="15"/>
      <c r="Q98" s="15" t="n">
        <f aca="false">IF(M98="","",I98*M98/1000)</f>
        <v>-0</v>
      </c>
      <c r="R98" s="15" t="n">
        <f aca="false">IF(Q98="","",Q98-N(P98))</f>
        <v>-0</v>
      </c>
      <c r="S98" s="5" t="str">
        <f aca="false">IF(L98="","",IF(ISNUMBER(SEARCH("25-26",L98)),"25-26",IF(ISNUMBER(SEARCH("24-25",L98)),"24-25","other")))</f>
        <v>25-26</v>
      </c>
      <c r="T98" s="5"/>
      <c r="U98" s="13"/>
      <c r="V98" s="5"/>
      <c r="W98" s="5" t="str">
        <f aca="false">IF(AND(R98&lt;&gt;"",ABS(R98)&gt;0.05),"CO2e not kWh x factor",IF(V98="kWh differs from source","Virtual meter not mirroring",IF(AND(D98="Certificates - Location [kWh]",S98="24-25"),"Certificate on 24-25 factor","OK")))</f>
        <v>OK</v>
      </c>
    </row>
    <row r="99" customFormat="false" ht="15" hidden="false" customHeight="false" outlineLevel="0" collapsed="false">
      <c r="A99" s="5" t="s">
        <v>31</v>
      </c>
      <c r="B99" s="5" t="s">
        <v>116</v>
      </c>
      <c r="C99" s="5" t="s">
        <v>95</v>
      </c>
      <c r="D99" s="5" t="s">
        <v>75</v>
      </c>
      <c r="E99" s="5" t="s">
        <v>108</v>
      </c>
      <c r="F99" s="5"/>
      <c r="G99" s="5" t="s">
        <v>115</v>
      </c>
      <c r="H99" s="5" t="s">
        <v>4</v>
      </c>
      <c r="I99" s="13" t="n">
        <v>13537.38</v>
      </c>
      <c r="J99" s="5" t="n">
        <v>100</v>
      </c>
      <c r="K99" s="5" t="n">
        <v>0</v>
      </c>
      <c r="L99" s="5" t="s">
        <v>112</v>
      </c>
      <c r="M99" s="14" t="n">
        <v>0.67</v>
      </c>
      <c r="N99" s="15" t="n">
        <v>9.07</v>
      </c>
      <c r="O99" s="15"/>
      <c r="P99" s="15" t="n">
        <v>9.07</v>
      </c>
      <c r="Q99" s="15" t="n">
        <f aca="false">IF(M99="","",I99*M99/1000)</f>
        <v>9.0700446</v>
      </c>
      <c r="R99" s="15" t="n">
        <f aca="false">IF(Q99="","",Q99-N(P99))</f>
        <v>4.4599999998951E-005</v>
      </c>
      <c r="S99" s="5" t="str">
        <f aca="false">IF(L99="","",IF(ISNUMBER(SEARCH("25-26",L99)),"25-26",IF(ISNUMBER(SEARCH("24-25",L99)),"24-25","other")))</f>
        <v>25-26</v>
      </c>
      <c r="T99" s="5"/>
      <c r="U99" s="13"/>
      <c r="V99" s="5"/>
      <c r="W99" s="5" t="str">
        <f aca="false">IF(AND(R99&lt;&gt;"",ABS(R99)&gt;0.05),"CO2e not kWh x factor",IF(V99="kWh differs from source","Virtual meter not mirroring",IF(AND(D99="Certificates - Location [kWh]",S99="24-25"),"Certificate on 24-25 factor","OK")))</f>
        <v>OK</v>
      </c>
    </row>
    <row r="100" customFormat="false" ht="15" hidden="false" customHeight="false" outlineLevel="0" collapsed="false">
      <c r="A100" s="5" t="s">
        <v>31</v>
      </c>
      <c r="B100" s="5" t="s">
        <v>117</v>
      </c>
      <c r="C100" s="5" t="s">
        <v>95</v>
      </c>
      <c r="D100" s="5" t="s">
        <v>71</v>
      </c>
      <c r="E100" s="5" t="s">
        <v>118</v>
      </c>
      <c r="F100" s="5"/>
      <c r="G100" s="5"/>
      <c r="H100" s="5" t="s">
        <v>8</v>
      </c>
      <c r="I100" s="13" t="n">
        <v>0</v>
      </c>
      <c r="J100" s="5"/>
      <c r="K100" s="5"/>
      <c r="L100" s="5" t="s">
        <v>111</v>
      </c>
      <c r="M100" s="14" t="n">
        <v>-0.67</v>
      </c>
      <c r="N100" s="15"/>
      <c r="O100" s="15" t="n">
        <v>0</v>
      </c>
      <c r="P100" s="15"/>
      <c r="Q100" s="15" t="n">
        <f aca="false">IF(M100="","",I100*M100/1000)</f>
        <v>-0</v>
      </c>
      <c r="R100" s="15" t="n">
        <f aca="false">IF(Q100="","",Q100-N(P100))</f>
        <v>-0</v>
      </c>
      <c r="S100" s="5" t="str">
        <f aca="false">IF(L100="","",IF(ISNUMBER(SEARCH("25-26",L100)),"25-26",IF(ISNUMBER(SEARCH("24-25",L100)),"24-25","other")))</f>
        <v>25-26</v>
      </c>
      <c r="T100" s="5"/>
      <c r="U100" s="13"/>
      <c r="V100" s="5"/>
      <c r="W100" s="5" t="str">
        <f aca="false">IF(AND(R100&lt;&gt;"",ABS(R100)&gt;0.05),"CO2e not kWh x factor",IF(V100="kWh differs from source","Virtual meter not mirroring",IF(AND(D100="Certificates - Location [kWh]",S100="24-25"),"Certificate on 24-25 factor","OK")))</f>
        <v>OK</v>
      </c>
    </row>
    <row r="101" customFormat="false" ht="15" hidden="false" customHeight="false" outlineLevel="0" collapsed="false">
      <c r="A101" s="5" t="s">
        <v>31</v>
      </c>
      <c r="B101" s="5" t="s">
        <v>117</v>
      </c>
      <c r="C101" s="5" t="s">
        <v>95</v>
      </c>
      <c r="D101" s="5" t="s">
        <v>71</v>
      </c>
      <c r="E101" s="5" t="s">
        <v>118</v>
      </c>
      <c r="F101" s="5"/>
      <c r="G101" s="5"/>
      <c r="H101" s="5" t="s">
        <v>9</v>
      </c>
      <c r="I101" s="13" t="n">
        <v>0</v>
      </c>
      <c r="J101" s="5"/>
      <c r="K101" s="5"/>
      <c r="L101" s="5" t="s">
        <v>111</v>
      </c>
      <c r="M101" s="14" t="n">
        <v>-0.67</v>
      </c>
      <c r="N101" s="15"/>
      <c r="O101" s="15" t="n">
        <v>0</v>
      </c>
      <c r="P101" s="15"/>
      <c r="Q101" s="15" t="n">
        <f aca="false">IF(M101="","",I101*M101/1000)</f>
        <v>-0</v>
      </c>
      <c r="R101" s="15" t="n">
        <f aca="false">IF(Q101="","",Q101-N(P101))</f>
        <v>-0</v>
      </c>
      <c r="S101" s="5" t="str">
        <f aca="false">IF(L101="","",IF(ISNUMBER(SEARCH("25-26",L101)),"25-26",IF(ISNUMBER(SEARCH("24-25",L101)),"24-25","other")))</f>
        <v>25-26</v>
      </c>
      <c r="T101" s="5"/>
      <c r="U101" s="13"/>
      <c r="V101" s="5"/>
      <c r="W101" s="5" t="str">
        <f aca="false">IF(AND(R101&lt;&gt;"",ABS(R101)&gt;0.05),"CO2e not kWh x factor",IF(V101="kWh differs from source","Virtual meter not mirroring",IF(AND(D101="Certificates - Location [kWh]",S101="24-25"),"Certificate on 24-25 factor","OK")))</f>
        <v>OK</v>
      </c>
    </row>
    <row r="102" customFormat="false" ht="15" hidden="false" customHeight="false" outlineLevel="0" collapsed="false">
      <c r="A102" s="5" t="s">
        <v>31</v>
      </c>
      <c r="B102" s="5" t="s">
        <v>117</v>
      </c>
      <c r="C102" s="5" t="s">
        <v>95</v>
      </c>
      <c r="D102" s="5" t="s">
        <v>75</v>
      </c>
      <c r="E102" s="5" t="s">
        <v>118</v>
      </c>
      <c r="F102" s="5"/>
      <c r="G102" s="5"/>
      <c r="H102" s="5" t="s">
        <v>8</v>
      </c>
      <c r="I102" s="13" t="n">
        <v>277212.1</v>
      </c>
      <c r="J102" s="5" t="n">
        <v>100</v>
      </c>
      <c r="K102" s="5" t="n">
        <v>0</v>
      </c>
      <c r="L102" s="5" t="s">
        <v>112</v>
      </c>
      <c r="M102" s="14" t="n">
        <v>0.67</v>
      </c>
      <c r="N102" s="15" t="n">
        <v>185.7321</v>
      </c>
      <c r="O102" s="15"/>
      <c r="P102" s="15" t="n">
        <v>185.7321</v>
      </c>
      <c r="Q102" s="15" t="n">
        <f aca="false">IF(M102="","",I102*M102/1000)</f>
        <v>185.732107</v>
      </c>
      <c r="R102" s="15" t="n">
        <f aca="false">IF(Q102="","",Q102-N(P102))</f>
        <v>6.9999999823267E-006</v>
      </c>
      <c r="S102" s="5" t="str">
        <f aca="false">IF(L102="","",IF(ISNUMBER(SEARCH("25-26",L102)),"25-26",IF(ISNUMBER(SEARCH("24-25",L102)),"24-25","other")))</f>
        <v>25-26</v>
      </c>
      <c r="T102" s="5"/>
      <c r="U102" s="13"/>
      <c r="V102" s="5"/>
      <c r="W102" s="5" t="str">
        <f aca="false">IF(AND(R102&lt;&gt;"",ABS(R102)&gt;0.05),"CO2e not kWh x factor",IF(V102="kWh differs from source","Virtual meter not mirroring",IF(AND(D102="Certificates - Location [kWh]",S102="24-25"),"Certificate on 24-25 factor","OK")))</f>
        <v>OK</v>
      </c>
    </row>
    <row r="103" customFormat="false" ht="15" hidden="false" customHeight="false" outlineLevel="0" collapsed="false">
      <c r="A103" s="5" t="s">
        <v>31</v>
      </c>
      <c r="B103" s="5" t="s">
        <v>117</v>
      </c>
      <c r="C103" s="5" t="s">
        <v>95</v>
      </c>
      <c r="D103" s="5" t="s">
        <v>75</v>
      </c>
      <c r="E103" s="5" t="s">
        <v>118</v>
      </c>
      <c r="F103" s="5"/>
      <c r="G103" s="5"/>
      <c r="H103" s="5" t="s">
        <v>9</v>
      </c>
      <c r="I103" s="13" t="n">
        <v>271801.6</v>
      </c>
      <c r="J103" s="5" t="n">
        <v>100</v>
      </c>
      <c r="K103" s="5" t="n">
        <v>0</v>
      </c>
      <c r="L103" s="5" t="s">
        <v>112</v>
      </c>
      <c r="M103" s="14" t="n">
        <v>0.67</v>
      </c>
      <c r="N103" s="15" t="n">
        <v>182.1071</v>
      </c>
      <c r="O103" s="15"/>
      <c r="P103" s="15" t="n">
        <v>182.1071</v>
      </c>
      <c r="Q103" s="15" t="n">
        <f aca="false">IF(M103="","",I103*M103/1000)</f>
        <v>182.107072</v>
      </c>
      <c r="R103" s="15" t="n">
        <f aca="false">IF(Q103="","",Q103-N(P103))</f>
        <v>-2.80000000145719E-005</v>
      </c>
      <c r="S103" s="5" t="str">
        <f aca="false">IF(L103="","",IF(ISNUMBER(SEARCH("25-26",L103)),"25-26",IF(ISNUMBER(SEARCH("24-25",L103)),"24-25","other")))</f>
        <v>25-26</v>
      </c>
      <c r="T103" s="5"/>
      <c r="U103" s="13"/>
      <c r="V103" s="5"/>
      <c r="W103" s="5" t="str">
        <f aca="false">IF(AND(R103&lt;&gt;"",ABS(R103)&gt;0.05),"CO2e not kWh x factor",IF(V103="kWh differs from source","Virtual meter not mirroring",IF(AND(D103="Certificates - Location [kWh]",S103="24-25"),"Certificate on 24-25 factor","OK")))</f>
        <v>OK</v>
      </c>
    </row>
    <row r="104" customFormat="false" ht="15" hidden="false" customHeight="false" outlineLevel="0" collapsed="false">
      <c r="A104" s="5" t="s">
        <v>31</v>
      </c>
      <c r="B104" s="5" t="s">
        <v>119</v>
      </c>
      <c r="C104" s="5" t="s">
        <v>78</v>
      </c>
      <c r="D104" s="5" t="s">
        <v>79</v>
      </c>
      <c r="E104" s="5" t="s">
        <v>80</v>
      </c>
      <c r="F104" s="5" t="s">
        <v>81</v>
      </c>
      <c r="G104" s="5"/>
      <c r="H104" s="5" t="s">
        <v>8</v>
      </c>
      <c r="I104" s="13" t="n">
        <v>277212.1</v>
      </c>
      <c r="J104" s="5" t="n">
        <v>100</v>
      </c>
      <c r="K104" s="5" t="n">
        <v>0</v>
      </c>
      <c r="L104" s="5" t="s">
        <v>120</v>
      </c>
      <c r="M104" s="14" t="n">
        <v>-0.71</v>
      </c>
      <c r="N104" s="15"/>
      <c r="O104" s="15" t="n">
        <v>-196.8206</v>
      </c>
      <c r="P104" s="15" t="n">
        <v>-196.8206</v>
      </c>
      <c r="Q104" s="15" t="n">
        <f aca="false">IF(M104="","",I104*M104/1000)</f>
        <v>-196.820591</v>
      </c>
      <c r="R104" s="15" t="n">
        <f aca="false">IF(Q104="","",Q104-N(P104))</f>
        <v>9.0000000341206E-006</v>
      </c>
      <c r="S104" s="5" t="str">
        <f aca="false">IF(L104="","",IF(ISNUMBER(SEARCH("25-26",L104)),"25-26",IF(ISNUMBER(SEARCH("24-25",L104)),"24-25","other")))</f>
        <v>24-25</v>
      </c>
      <c r="T104" s="5" t="s">
        <v>117</v>
      </c>
      <c r="U104" s="13" t="n">
        <f aca="false">SUMIFS($I:$I,$B:$B,T104,$H:$H,H104,$D:$D,"Electricity [kWh]")</f>
        <v>277212.1</v>
      </c>
      <c r="V104" s="5" t="str">
        <f aca="false">IF(ABS(I104-U104)&lt;0.5,"Mirrors source","kWh differs from source")</f>
        <v>Mirrors source</v>
      </c>
      <c r="W104" s="5" t="str">
        <f aca="false">IF(AND(R104&lt;&gt;"",ABS(R104)&gt;0.05),"CO2e not kWh x factor",IF(V104="kWh differs from source","Virtual meter not mirroring",IF(AND(D104="Certificates - Location [kWh]",S104="24-25"),"Certificate on 24-25 factor","OK")))</f>
        <v>Certificate on 24-25 factor</v>
      </c>
    </row>
    <row r="105" customFormat="false" ht="15" hidden="false" customHeight="false" outlineLevel="0" collapsed="false">
      <c r="A105" s="5" t="s">
        <v>31</v>
      </c>
      <c r="B105" s="5" t="s">
        <v>119</v>
      </c>
      <c r="C105" s="5" t="s">
        <v>78</v>
      </c>
      <c r="D105" s="5" t="s">
        <v>79</v>
      </c>
      <c r="E105" s="5" t="s">
        <v>80</v>
      </c>
      <c r="F105" s="5" t="s">
        <v>81</v>
      </c>
      <c r="G105" s="5"/>
      <c r="H105" s="5" t="s">
        <v>9</v>
      </c>
      <c r="I105" s="13" t="n">
        <v>271801.6</v>
      </c>
      <c r="J105" s="5" t="n">
        <v>100</v>
      </c>
      <c r="K105" s="5" t="n">
        <v>0</v>
      </c>
      <c r="L105" s="5" t="s">
        <v>120</v>
      </c>
      <c r="M105" s="14" t="n">
        <v>-0.71</v>
      </c>
      <c r="N105" s="15"/>
      <c r="O105" s="15" t="n">
        <v>-192.9791</v>
      </c>
      <c r="P105" s="15" t="n">
        <v>-192.9791</v>
      </c>
      <c r="Q105" s="15" t="n">
        <f aca="false">IF(M105="","",I105*M105/1000)</f>
        <v>-192.979136</v>
      </c>
      <c r="R105" s="15" t="n">
        <f aca="false">IF(Q105="","",Q105-N(P105))</f>
        <v>-3.59999999943739E-005</v>
      </c>
      <c r="S105" s="5" t="str">
        <f aca="false">IF(L105="","",IF(ISNUMBER(SEARCH("25-26",L105)),"25-26",IF(ISNUMBER(SEARCH("24-25",L105)),"24-25","other")))</f>
        <v>24-25</v>
      </c>
      <c r="T105" s="5" t="s">
        <v>117</v>
      </c>
      <c r="U105" s="13" t="n">
        <f aca="false">SUMIFS($I:$I,$B:$B,T105,$H:$H,H105,$D:$D,"Electricity [kWh]")</f>
        <v>271801.6</v>
      </c>
      <c r="V105" s="5" t="str">
        <f aca="false">IF(ABS(I105-U105)&lt;0.5,"Mirrors source","kWh differs from source")</f>
        <v>Mirrors source</v>
      </c>
      <c r="W105" s="5" t="str">
        <f aca="false">IF(AND(R105&lt;&gt;"",ABS(R105)&gt;0.05),"CO2e not kWh x factor",IF(V105="kWh differs from source","Virtual meter not mirroring",IF(AND(D105="Certificates - Location [kWh]",S105="24-25"),"Certificate on 24-25 factor","OK")))</f>
        <v>Certificate on 24-25 factor</v>
      </c>
    </row>
    <row r="106" customFormat="false" ht="15" hidden="false" customHeight="false" outlineLevel="0" collapsed="false">
      <c r="A106" s="5" t="s">
        <v>31</v>
      </c>
      <c r="B106" s="5" t="s">
        <v>121</v>
      </c>
      <c r="C106" s="5" t="s">
        <v>95</v>
      </c>
      <c r="D106" s="5" t="s">
        <v>71</v>
      </c>
      <c r="E106" s="5" t="s">
        <v>122</v>
      </c>
      <c r="F106" s="5" t="s">
        <v>109</v>
      </c>
      <c r="G106" s="5"/>
      <c r="H106" s="5" t="s">
        <v>5</v>
      </c>
      <c r="I106" s="13" t="n">
        <v>0</v>
      </c>
      <c r="J106" s="5"/>
      <c r="K106" s="5"/>
      <c r="L106" s="5" t="s">
        <v>111</v>
      </c>
      <c r="M106" s="14" t="n">
        <v>-0.67</v>
      </c>
      <c r="N106" s="15"/>
      <c r="O106" s="15" t="n">
        <v>0</v>
      </c>
      <c r="P106" s="15"/>
      <c r="Q106" s="15" t="n">
        <f aca="false">IF(M106="","",I106*M106/1000)</f>
        <v>-0</v>
      </c>
      <c r="R106" s="15" t="n">
        <f aca="false">IF(Q106="","",Q106-N(P106))</f>
        <v>-0</v>
      </c>
      <c r="S106" s="5" t="str">
        <f aca="false">IF(L106="","",IF(ISNUMBER(SEARCH("25-26",L106)),"25-26",IF(ISNUMBER(SEARCH("24-25",L106)),"24-25","other")))</f>
        <v>25-26</v>
      </c>
      <c r="T106" s="5"/>
      <c r="U106" s="13"/>
      <c r="V106" s="5"/>
      <c r="W106" s="5" t="str">
        <f aca="false">IF(AND(R106&lt;&gt;"",ABS(R106)&gt;0.05),"CO2e not kWh x factor",IF(V106="kWh differs from source","Virtual meter not mirroring",IF(AND(D106="Certificates - Location [kWh]",S106="24-25"),"Certificate on 24-25 factor","OK")))</f>
        <v>OK</v>
      </c>
    </row>
    <row r="107" customFormat="false" ht="15" hidden="false" customHeight="false" outlineLevel="0" collapsed="false">
      <c r="A107" s="5" t="s">
        <v>31</v>
      </c>
      <c r="B107" s="5" t="s">
        <v>121</v>
      </c>
      <c r="C107" s="5" t="s">
        <v>95</v>
      </c>
      <c r="D107" s="5" t="s">
        <v>71</v>
      </c>
      <c r="E107" s="5" t="s">
        <v>122</v>
      </c>
      <c r="F107" s="5" t="s">
        <v>109</v>
      </c>
      <c r="G107" s="5"/>
      <c r="H107" s="5" t="s">
        <v>6</v>
      </c>
      <c r="I107" s="13" t="n">
        <v>0</v>
      </c>
      <c r="J107" s="5"/>
      <c r="K107" s="5"/>
      <c r="L107" s="5" t="s">
        <v>111</v>
      </c>
      <c r="M107" s="14" t="n">
        <v>-0.67</v>
      </c>
      <c r="N107" s="15"/>
      <c r="O107" s="15" t="n">
        <v>0</v>
      </c>
      <c r="P107" s="15"/>
      <c r="Q107" s="15" t="n">
        <f aca="false">IF(M107="","",I107*M107/1000)</f>
        <v>-0</v>
      </c>
      <c r="R107" s="15" t="n">
        <f aca="false">IF(Q107="","",Q107-N(P107))</f>
        <v>-0</v>
      </c>
      <c r="S107" s="5" t="str">
        <f aca="false">IF(L107="","",IF(ISNUMBER(SEARCH("25-26",L107)),"25-26",IF(ISNUMBER(SEARCH("24-25",L107)),"24-25","other")))</f>
        <v>25-26</v>
      </c>
      <c r="T107" s="5"/>
      <c r="U107" s="13"/>
      <c r="V107" s="5"/>
      <c r="W107" s="5" t="str">
        <f aca="false">IF(AND(R107&lt;&gt;"",ABS(R107)&gt;0.05),"CO2e not kWh x factor",IF(V107="kWh differs from source","Virtual meter not mirroring",IF(AND(D107="Certificates - Location [kWh]",S107="24-25"),"Certificate on 24-25 factor","OK")))</f>
        <v>OK</v>
      </c>
    </row>
    <row r="108" customFormat="false" ht="15" hidden="false" customHeight="false" outlineLevel="0" collapsed="false">
      <c r="A108" s="5" t="s">
        <v>31</v>
      </c>
      <c r="B108" s="5" t="s">
        <v>121</v>
      </c>
      <c r="C108" s="5" t="s">
        <v>95</v>
      </c>
      <c r="D108" s="5" t="s">
        <v>71</v>
      </c>
      <c r="E108" s="5" t="s">
        <v>122</v>
      </c>
      <c r="F108" s="5" t="s">
        <v>109</v>
      </c>
      <c r="G108" s="5"/>
      <c r="H108" s="5" t="s">
        <v>7</v>
      </c>
      <c r="I108" s="13" t="n">
        <v>0</v>
      </c>
      <c r="J108" s="5"/>
      <c r="K108" s="5"/>
      <c r="L108" s="5" t="s">
        <v>111</v>
      </c>
      <c r="M108" s="14" t="n">
        <v>-0.67</v>
      </c>
      <c r="N108" s="15"/>
      <c r="O108" s="15" t="n">
        <v>0</v>
      </c>
      <c r="P108" s="15"/>
      <c r="Q108" s="15" t="n">
        <f aca="false">IF(M108="","",I108*M108/1000)</f>
        <v>-0</v>
      </c>
      <c r="R108" s="15" t="n">
        <f aca="false">IF(Q108="","",Q108-N(P108))</f>
        <v>-0</v>
      </c>
      <c r="S108" s="5" t="str">
        <f aca="false">IF(L108="","",IF(ISNUMBER(SEARCH("25-26",L108)),"25-26",IF(ISNUMBER(SEARCH("24-25",L108)),"24-25","other")))</f>
        <v>25-26</v>
      </c>
      <c r="T108" s="5"/>
      <c r="U108" s="13"/>
      <c r="V108" s="5"/>
      <c r="W108" s="5" t="str">
        <f aca="false">IF(AND(R108&lt;&gt;"",ABS(R108)&gt;0.05),"CO2e not kWh x factor",IF(V108="kWh differs from source","Virtual meter not mirroring",IF(AND(D108="Certificates - Location [kWh]",S108="24-25"),"Certificate on 24-25 factor","OK")))</f>
        <v>OK</v>
      </c>
    </row>
    <row r="109" customFormat="false" ht="15" hidden="false" customHeight="false" outlineLevel="0" collapsed="false">
      <c r="A109" s="5" t="s">
        <v>31</v>
      </c>
      <c r="B109" s="5" t="s">
        <v>121</v>
      </c>
      <c r="C109" s="5" t="s">
        <v>95</v>
      </c>
      <c r="D109" s="5" t="s">
        <v>71</v>
      </c>
      <c r="E109" s="5" t="s">
        <v>122</v>
      </c>
      <c r="F109" s="5" t="s">
        <v>109</v>
      </c>
      <c r="G109" s="5"/>
      <c r="H109" s="5" t="s">
        <v>8</v>
      </c>
      <c r="I109" s="13" t="n">
        <v>0</v>
      </c>
      <c r="J109" s="5"/>
      <c r="K109" s="5"/>
      <c r="L109" s="5" t="s">
        <v>111</v>
      </c>
      <c r="M109" s="14" t="n">
        <v>-0.67</v>
      </c>
      <c r="N109" s="15"/>
      <c r="O109" s="15" t="n">
        <v>0</v>
      </c>
      <c r="P109" s="15"/>
      <c r="Q109" s="15" t="n">
        <f aca="false">IF(M109="","",I109*M109/1000)</f>
        <v>-0</v>
      </c>
      <c r="R109" s="15" t="n">
        <f aca="false">IF(Q109="","",Q109-N(P109))</f>
        <v>-0</v>
      </c>
      <c r="S109" s="5" t="str">
        <f aca="false">IF(L109="","",IF(ISNUMBER(SEARCH("25-26",L109)),"25-26",IF(ISNUMBER(SEARCH("24-25",L109)),"24-25","other")))</f>
        <v>25-26</v>
      </c>
      <c r="T109" s="5"/>
      <c r="U109" s="13"/>
      <c r="V109" s="5"/>
      <c r="W109" s="5" t="str">
        <f aca="false">IF(AND(R109&lt;&gt;"",ABS(R109)&gt;0.05),"CO2e not kWh x factor",IF(V109="kWh differs from source","Virtual meter not mirroring",IF(AND(D109="Certificates - Location [kWh]",S109="24-25"),"Certificate on 24-25 factor","OK")))</f>
        <v>OK</v>
      </c>
    </row>
    <row r="110" customFormat="false" ht="15" hidden="false" customHeight="false" outlineLevel="0" collapsed="false">
      <c r="A110" s="5" t="s">
        <v>31</v>
      </c>
      <c r="B110" s="5" t="s">
        <v>121</v>
      </c>
      <c r="C110" s="5" t="s">
        <v>95</v>
      </c>
      <c r="D110" s="5" t="s">
        <v>71</v>
      </c>
      <c r="E110" s="5" t="s">
        <v>122</v>
      </c>
      <c r="F110" s="5" t="s">
        <v>109</v>
      </c>
      <c r="G110" s="5"/>
      <c r="H110" s="5" t="s">
        <v>9</v>
      </c>
      <c r="I110" s="13" t="n">
        <v>0</v>
      </c>
      <c r="J110" s="5"/>
      <c r="K110" s="5"/>
      <c r="L110" s="5" t="s">
        <v>111</v>
      </c>
      <c r="M110" s="14" t="n">
        <v>-0.67</v>
      </c>
      <c r="N110" s="15"/>
      <c r="O110" s="15" t="n">
        <v>0</v>
      </c>
      <c r="P110" s="15"/>
      <c r="Q110" s="15" t="n">
        <f aca="false">IF(M110="","",I110*M110/1000)</f>
        <v>-0</v>
      </c>
      <c r="R110" s="15" t="n">
        <f aca="false">IF(Q110="","",Q110-N(P110))</f>
        <v>-0</v>
      </c>
      <c r="S110" s="5" t="str">
        <f aca="false">IF(L110="","",IF(ISNUMBER(SEARCH("25-26",L110)),"25-26",IF(ISNUMBER(SEARCH("24-25",L110)),"24-25","other")))</f>
        <v>25-26</v>
      </c>
      <c r="T110" s="5"/>
      <c r="U110" s="13"/>
      <c r="V110" s="5"/>
      <c r="W110" s="5" t="str">
        <f aca="false">IF(AND(R110&lt;&gt;"",ABS(R110)&gt;0.05),"CO2e not kWh x factor",IF(V110="kWh differs from source","Virtual meter not mirroring",IF(AND(D110="Certificates - Location [kWh]",S110="24-25"),"Certificate on 24-25 factor","OK")))</f>
        <v>OK</v>
      </c>
    </row>
    <row r="111" customFormat="false" ht="15" hidden="false" customHeight="false" outlineLevel="0" collapsed="false">
      <c r="A111" s="5" t="s">
        <v>31</v>
      </c>
      <c r="B111" s="5" t="s">
        <v>121</v>
      </c>
      <c r="C111" s="5" t="s">
        <v>95</v>
      </c>
      <c r="D111" s="5" t="s">
        <v>75</v>
      </c>
      <c r="E111" s="5" t="s">
        <v>122</v>
      </c>
      <c r="F111" s="5" t="s">
        <v>109</v>
      </c>
      <c r="G111" s="5"/>
      <c r="H111" s="5" t="s">
        <v>5</v>
      </c>
      <c r="I111" s="13" t="n">
        <v>2359.3113</v>
      </c>
      <c r="J111" s="5" t="n">
        <v>100</v>
      </c>
      <c r="K111" s="5" t="n">
        <v>0</v>
      </c>
      <c r="L111" s="5" t="s">
        <v>112</v>
      </c>
      <c r="M111" s="14" t="n">
        <v>0.67</v>
      </c>
      <c r="N111" s="15" t="n">
        <v>1.5807</v>
      </c>
      <c r="O111" s="15"/>
      <c r="P111" s="15" t="n">
        <v>1.5807</v>
      </c>
      <c r="Q111" s="15" t="n">
        <f aca="false">IF(M111="","",I111*M111/1000)</f>
        <v>1.580738571</v>
      </c>
      <c r="R111" s="15" t="n">
        <f aca="false">IF(Q111="","",Q111-N(P111))</f>
        <v>3.85710000001538E-005</v>
      </c>
      <c r="S111" s="5" t="str">
        <f aca="false">IF(L111="","",IF(ISNUMBER(SEARCH("25-26",L111)),"25-26",IF(ISNUMBER(SEARCH("24-25",L111)),"24-25","other")))</f>
        <v>25-26</v>
      </c>
      <c r="T111" s="5"/>
      <c r="U111" s="13"/>
      <c r="V111" s="5"/>
      <c r="W111" s="5" t="str">
        <f aca="false">IF(AND(R111&lt;&gt;"",ABS(R111)&gt;0.05),"CO2e not kWh x factor",IF(V111="kWh differs from source","Virtual meter not mirroring",IF(AND(D111="Certificates - Location [kWh]",S111="24-25"),"Certificate on 24-25 factor","OK")))</f>
        <v>OK</v>
      </c>
    </row>
    <row r="112" customFormat="false" ht="15" hidden="false" customHeight="false" outlineLevel="0" collapsed="false">
      <c r="A112" s="5" t="s">
        <v>31</v>
      </c>
      <c r="B112" s="5" t="s">
        <v>121</v>
      </c>
      <c r="C112" s="5" t="s">
        <v>95</v>
      </c>
      <c r="D112" s="5" t="s">
        <v>75</v>
      </c>
      <c r="E112" s="5" t="s">
        <v>122</v>
      </c>
      <c r="F112" s="5" t="s">
        <v>109</v>
      </c>
      <c r="G112" s="5"/>
      <c r="H112" s="5" t="s">
        <v>6</v>
      </c>
      <c r="I112" s="13" t="n">
        <v>4454.9713</v>
      </c>
      <c r="J112" s="5" t="n">
        <v>100</v>
      </c>
      <c r="K112" s="5" t="n">
        <v>0</v>
      </c>
      <c r="L112" s="5" t="s">
        <v>112</v>
      </c>
      <c r="M112" s="14" t="n">
        <v>0.67</v>
      </c>
      <c r="N112" s="15" t="n">
        <v>2.9848</v>
      </c>
      <c r="O112" s="15"/>
      <c r="P112" s="15" t="n">
        <v>2.9848</v>
      </c>
      <c r="Q112" s="15" t="n">
        <f aca="false">IF(M112="","",I112*M112/1000)</f>
        <v>2.984830771</v>
      </c>
      <c r="R112" s="15" t="n">
        <f aca="false">IF(Q112="","",Q112-N(P112))</f>
        <v>3.07710000004846E-005</v>
      </c>
      <c r="S112" s="5" t="str">
        <f aca="false">IF(L112="","",IF(ISNUMBER(SEARCH("25-26",L112)),"25-26",IF(ISNUMBER(SEARCH("24-25",L112)),"24-25","other")))</f>
        <v>25-26</v>
      </c>
      <c r="T112" s="5"/>
      <c r="U112" s="13"/>
      <c r="V112" s="5"/>
      <c r="W112" s="5" t="str">
        <f aca="false">IF(AND(R112&lt;&gt;"",ABS(R112)&gt;0.05),"CO2e not kWh x factor",IF(V112="kWh differs from source","Virtual meter not mirroring",IF(AND(D112="Certificates - Location [kWh]",S112="24-25"),"Certificate on 24-25 factor","OK")))</f>
        <v>OK</v>
      </c>
    </row>
    <row r="113" customFormat="false" ht="15" hidden="false" customHeight="false" outlineLevel="0" collapsed="false">
      <c r="A113" s="5" t="s">
        <v>31</v>
      </c>
      <c r="B113" s="5" t="s">
        <v>121</v>
      </c>
      <c r="C113" s="5" t="s">
        <v>95</v>
      </c>
      <c r="D113" s="5" t="s">
        <v>75</v>
      </c>
      <c r="E113" s="5" t="s">
        <v>122</v>
      </c>
      <c r="F113" s="5" t="s">
        <v>109</v>
      </c>
      <c r="G113" s="5"/>
      <c r="H113" s="5" t="s">
        <v>7</v>
      </c>
      <c r="I113" s="13" t="n">
        <v>3871.6234</v>
      </c>
      <c r="J113" s="5" t="n">
        <v>100</v>
      </c>
      <c r="K113" s="5" t="n">
        <v>0</v>
      </c>
      <c r="L113" s="5" t="s">
        <v>112</v>
      </c>
      <c r="M113" s="14" t="n">
        <v>0.67</v>
      </c>
      <c r="N113" s="15" t="n">
        <v>2.594</v>
      </c>
      <c r="O113" s="15"/>
      <c r="P113" s="15" t="n">
        <v>2.594</v>
      </c>
      <c r="Q113" s="15" t="n">
        <f aca="false">IF(M113="","",I113*M113/1000)</f>
        <v>2.593987678</v>
      </c>
      <c r="R113" s="15" t="n">
        <f aca="false">IF(Q113="","",Q113-N(P113))</f>
        <v>-1.2321999999898E-005</v>
      </c>
      <c r="S113" s="5" t="str">
        <f aca="false">IF(L113="","",IF(ISNUMBER(SEARCH("25-26",L113)),"25-26",IF(ISNUMBER(SEARCH("24-25",L113)),"24-25","other")))</f>
        <v>25-26</v>
      </c>
      <c r="T113" s="5"/>
      <c r="U113" s="13"/>
      <c r="V113" s="5"/>
      <c r="W113" s="5" t="str">
        <f aca="false">IF(AND(R113&lt;&gt;"",ABS(R113)&gt;0.05),"CO2e not kWh x factor",IF(V113="kWh differs from source","Virtual meter not mirroring",IF(AND(D113="Certificates - Location [kWh]",S113="24-25"),"Certificate on 24-25 factor","OK")))</f>
        <v>OK</v>
      </c>
    </row>
    <row r="114" customFormat="false" ht="15" hidden="false" customHeight="false" outlineLevel="0" collapsed="false">
      <c r="A114" s="5" t="s">
        <v>31</v>
      </c>
      <c r="B114" s="5" t="s">
        <v>121</v>
      </c>
      <c r="C114" s="5" t="s">
        <v>95</v>
      </c>
      <c r="D114" s="5" t="s">
        <v>75</v>
      </c>
      <c r="E114" s="5" t="s">
        <v>122</v>
      </c>
      <c r="F114" s="5" t="s">
        <v>109</v>
      </c>
      <c r="G114" s="5"/>
      <c r="H114" s="5" t="s">
        <v>8</v>
      </c>
      <c r="I114" s="13" t="n">
        <v>3999.4875</v>
      </c>
      <c r="J114" s="5" t="n">
        <v>100</v>
      </c>
      <c r="K114" s="5" t="n">
        <v>0</v>
      </c>
      <c r="L114" s="5" t="s">
        <v>112</v>
      </c>
      <c r="M114" s="14" t="n">
        <v>0.67</v>
      </c>
      <c r="N114" s="15" t="n">
        <v>2.6797</v>
      </c>
      <c r="O114" s="15"/>
      <c r="P114" s="15" t="n">
        <v>2.6797</v>
      </c>
      <c r="Q114" s="15" t="n">
        <f aca="false">IF(M114="","",I114*M114/1000)</f>
        <v>2.679656625</v>
      </c>
      <c r="R114" s="15" t="n">
        <f aca="false">IF(Q114="","",Q114-N(P114))</f>
        <v>-4.33749999997346E-005</v>
      </c>
      <c r="S114" s="5" t="str">
        <f aca="false">IF(L114="","",IF(ISNUMBER(SEARCH("25-26",L114)),"25-26",IF(ISNUMBER(SEARCH("24-25",L114)),"24-25","other")))</f>
        <v>25-26</v>
      </c>
      <c r="T114" s="5"/>
      <c r="U114" s="13"/>
      <c r="V114" s="5"/>
      <c r="W114" s="5" t="str">
        <f aca="false">IF(AND(R114&lt;&gt;"",ABS(R114)&gt;0.05),"CO2e not kWh x factor",IF(V114="kWh differs from source","Virtual meter not mirroring",IF(AND(D114="Certificates - Location [kWh]",S114="24-25"),"Certificate on 24-25 factor","OK")))</f>
        <v>OK</v>
      </c>
    </row>
    <row r="115" customFormat="false" ht="15" hidden="false" customHeight="false" outlineLevel="0" collapsed="false">
      <c r="A115" s="5" t="s">
        <v>31</v>
      </c>
      <c r="B115" s="5" t="s">
        <v>121</v>
      </c>
      <c r="C115" s="5" t="s">
        <v>95</v>
      </c>
      <c r="D115" s="5" t="s">
        <v>75</v>
      </c>
      <c r="E115" s="5" t="s">
        <v>122</v>
      </c>
      <c r="F115" s="5" t="s">
        <v>109</v>
      </c>
      <c r="G115" s="5"/>
      <c r="H115" s="5" t="s">
        <v>9</v>
      </c>
      <c r="I115" s="13" t="n">
        <v>4002.162</v>
      </c>
      <c r="J115" s="5" t="n">
        <v>51.64</v>
      </c>
      <c r="K115" s="5" t="n">
        <v>48.35</v>
      </c>
      <c r="L115" s="5" t="s">
        <v>112</v>
      </c>
      <c r="M115" s="14" t="n">
        <v>0.67</v>
      </c>
      <c r="N115" s="15" t="n">
        <v>2.6814</v>
      </c>
      <c r="O115" s="15"/>
      <c r="P115" s="15" t="n">
        <v>2.6814</v>
      </c>
      <c r="Q115" s="15" t="n">
        <f aca="false">IF(M115="","",I115*M115/1000)</f>
        <v>2.68144854</v>
      </c>
      <c r="R115" s="15" t="n">
        <f aca="false">IF(Q115="","",Q115-N(P115))</f>
        <v>4.85399999998748E-005</v>
      </c>
      <c r="S115" s="5" t="str">
        <f aca="false">IF(L115="","",IF(ISNUMBER(SEARCH("25-26",L115)),"25-26",IF(ISNUMBER(SEARCH("24-25",L115)),"24-25","other")))</f>
        <v>25-26</v>
      </c>
      <c r="T115" s="5"/>
      <c r="U115" s="13"/>
      <c r="V115" s="5"/>
      <c r="W115" s="5" t="str">
        <f aca="false">IF(AND(R115&lt;&gt;"",ABS(R115)&gt;0.05),"CO2e not kWh x factor",IF(V115="kWh differs from source","Virtual meter not mirroring",IF(AND(D115="Certificates - Location [kWh]",S115="24-25"),"Certificate on 24-25 factor","OK")))</f>
        <v>OK</v>
      </c>
    </row>
    <row r="116" customFormat="false" ht="15" hidden="false" customHeight="false" outlineLevel="0" collapsed="false">
      <c r="A116" s="5" t="s">
        <v>31</v>
      </c>
      <c r="B116" s="5" t="s">
        <v>123</v>
      </c>
      <c r="C116" s="5" t="s">
        <v>95</v>
      </c>
      <c r="D116" s="5" t="s">
        <v>71</v>
      </c>
      <c r="E116" s="5" t="s">
        <v>122</v>
      </c>
      <c r="F116" s="5"/>
      <c r="G116" s="5" t="s">
        <v>124</v>
      </c>
      <c r="H116" s="5" t="s">
        <v>4</v>
      </c>
      <c r="I116" s="13" t="n">
        <v>0</v>
      </c>
      <c r="J116" s="5"/>
      <c r="K116" s="5"/>
      <c r="L116" s="5" t="s">
        <v>111</v>
      </c>
      <c r="M116" s="14" t="n">
        <v>-0.67</v>
      </c>
      <c r="N116" s="15"/>
      <c r="O116" s="15" t="n">
        <v>0</v>
      </c>
      <c r="P116" s="15"/>
      <c r="Q116" s="15" t="n">
        <f aca="false">IF(M116="","",I116*M116/1000)</f>
        <v>-0</v>
      </c>
      <c r="R116" s="15" t="n">
        <f aca="false">IF(Q116="","",Q116-N(P116))</f>
        <v>-0</v>
      </c>
      <c r="S116" s="5" t="str">
        <f aca="false">IF(L116="","",IF(ISNUMBER(SEARCH("25-26",L116)),"25-26",IF(ISNUMBER(SEARCH("24-25",L116)),"24-25","other")))</f>
        <v>25-26</v>
      </c>
      <c r="T116" s="5"/>
      <c r="U116" s="13"/>
      <c r="V116" s="5"/>
      <c r="W116" s="5" t="str">
        <f aca="false">IF(AND(R116&lt;&gt;"",ABS(R116)&gt;0.05),"CO2e not kWh x factor",IF(V116="kWh differs from source","Virtual meter not mirroring",IF(AND(D116="Certificates - Location [kWh]",S116="24-25"),"Certificate on 24-25 factor","OK")))</f>
        <v>OK</v>
      </c>
    </row>
    <row r="117" customFormat="false" ht="15" hidden="false" customHeight="false" outlineLevel="0" collapsed="false">
      <c r="A117" s="5" t="s">
        <v>31</v>
      </c>
      <c r="B117" s="5" t="s">
        <v>123</v>
      </c>
      <c r="C117" s="5" t="s">
        <v>95</v>
      </c>
      <c r="D117" s="5" t="s">
        <v>75</v>
      </c>
      <c r="E117" s="5" t="s">
        <v>122</v>
      </c>
      <c r="F117" s="5"/>
      <c r="G117" s="5" t="s">
        <v>124</v>
      </c>
      <c r="H117" s="5" t="s">
        <v>4</v>
      </c>
      <c r="I117" s="13" t="n">
        <v>350.6804</v>
      </c>
      <c r="J117" s="5" t="n">
        <v>100</v>
      </c>
      <c r="K117" s="5" t="n">
        <v>0</v>
      </c>
      <c r="L117" s="5" t="s">
        <v>112</v>
      </c>
      <c r="M117" s="14" t="n">
        <v>0.67</v>
      </c>
      <c r="N117" s="15" t="n">
        <v>0.235</v>
      </c>
      <c r="O117" s="15"/>
      <c r="P117" s="15" t="n">
        <v>0.235</v>
      </c>
      <c r="Q117" s="15" t="n">
        <f aca="false">IF(M117="","",I117*M117/1000)</f>
        <v>0.234955868</v>
      </c>
      <c r="R117" s="15" t="n">
        <f aca="false">IF(Q117="","",Q117-N(P117))</f>
        <v>-4.41319999999468E-005</v>
      </c>
      <c r="S117" s="5" t="str">
        <f aca="false">IF(L117="","",IF(ISNUMBER(SEARCH("25-26",L117)),"25-26",IF(ISNUMBER(SEARCH("24-25",L117)),"24-25","other")))</f>
        <v>25-26</v>
      </c>
      <c r="T117" s="5"/>
      <c r="U117" s="13"/>
      <c r="V117" s="5"/>
      <c r="W117" s="5" t="str">
        <f aca="false">IF(AND(R117&lt;&gt;"",ABS(R117)&gt;0.05),"CO2e not kWh x factor",IF(V117="kWh differs from source","Virtual meter not mirroring",IF(AND(D117="Certificates - Location [kWh]",S117="24-25"),"Certificate on 24-25 factor","OK")))</f>
        <v>OK</v>
      </c>
    </row>
    <row r="118" customFormat="false" ht="15" hidden="false" customHeight="false" outlineLevel="0" collapsed="false">
      <c r="A118" s="5" t="s">
        <v>31</v>
      </c>
      <c r="B118" s="5" t="s">
        <v>125</v>
      </c>
      <c r="C118" s="5" t="s">
        <v>90</v>
      </c>
      <c r="D118" s="5" t="s">
        <v>75</v>
      </c>
      <c r="E118" s="5" t="s">
        <v>91</v>
      </c>
      <c r="F118" s="5"/>
      <c r="G118" s="5"/>
      <c r="H118" s="5" t="s">
        <v>4</v>
      </c>
      <c r="I118" s="13" t="n">
        <v>-201520</v>
      </c>
      <c r="J118" s="5" t="n">
        <v>100</v>
      </c>
      <c r="K118" s="5" t="n">
        <v>0</v>
      </c>
      <c r="L118" s="5" t="s">
        <v>112</v>
      </c>
      <c r="M118" s="14" t="n">
        <v>0.67</v>
      </c>
      <c r="N118" s="15" t="n">
        <v>-135.0184</v>
      </c>
      <c r="O118" s="15"/>
      <c r="P118" s="15" t="n">
        <v>-135.0184</v>
      </c>
      <c r="Q118" s="15" t="n">
        <f aca="false">IF(M118="","",I118*M118/1000)</f>
        <v>-135.0184</v>
      </c>
      <c r="R118" s="15" t="n">
        <f aca="false">IF(Q118="","",Q118-N(P118))</f>
        <v>0</v>
      </c>
      <c r="S118" s="5" t="str">
        <f aca="false">IF(L118="","",IF(ISNUMBER(SEARCH("25-26",L118)),"25-26",IF(ISNUMBER(SEARCH("24-25",L118)),"24-25","other")))</f>
        <v>25-26</v>
      </c>
      <c r="T118" s="5"/>
      <c r="U118" s="13"/>
      <c r="V118" s="5"/>
      <c r="W118" s="5" t="str">
        <f aca="false">IF(AND(R118&lt;&gt;"",ABS(R118)&gt;0.05),"CO2e not kWh x factor",IF(V118="kWh differs from source","Virtual meter not mirroring",IF(AND(D118="Certificates - Location [kWh]",S118="24-25"),"Certificate on 24-25 factor","OK")))</f>
        <v>OK</v>
      </c>
    </row>
    <row r="119" customFormat="false" ht="15" hidden="false" customHeight="false" outlineLevel="0" collapsed="false">
      <c r="A119" s="5" t="s">
        <v>31</v>
      </c>
      <c r="B119" s="5" t="s">
        <v>125</v>
      </c>
      <c r="C119" s="5" t="s">
        <v>90</v>
      </c>
      <c r="D119" s="5" t="s">
        <v>75</v>
      </c>
      <c r="E119" s="5" t="s">
        <v>91</v>
      </c>
      <c r="F119" s="5"/>
      <c r="G119" s="5"/>
      <c r="H119" s="5" t="s">
        <v>5</v>
      </c>
      <c r="I119" s="13" t="n">
        <v>-118110</v>
      </c>
      <c r="J119" s="5" t="n">
        <v>100</v>
      </c>
      <c r="K119" s="5" t="n">
        <v>0</v>
      </c>
      <c r="L119" s="5" t="s">
        <v>112</v>
      </c>
      <c r="M119" s="14" t="n">
        <v>0.67</v>
      </c>
      <c r="N119" s="15" t="n">
        <v>-79.1337</v>
      </c>
      <c r="O119" s="15"/>
      <c r="P119" s="15" t="n">
        <v>-79.1337</v>
      </c>
      <c r="Q119" s="15" t="n">
        <f aca="false">IF(M119="","",I119*M119/1000)</f>
        <v>-79.1337</v>
      </c>
      <c r="R119" s="15" t="n">
        <f aca="false">IF(Q119="","",Q119-N(P119))</f>
        <v>0</v>
      </c>
      <c r="S119" s="5" t="str">
        <f aca="false">IF(L119="","",IF(ISNUMBER(SEARCH("25-26",L119)),"25-26",IF(ISNUMBER(SEARCH("24-25",L119)),"24-25","other")))</f>
        <v>25-26</v>
      </c>
      <c r="T119" s="5"/>
      <c r="U119" s="13"/>
      <c r="V119" s="5"/>
      <c r="W119" s="5" t="str">
        <f aca="false">IF(AND(R119&lt;&gt;"",ABS(R119)&gt;0.05),"CO2e not kWh x factor",IF(V119="kWh differs from source","Virtual meter not mirroring",IF(AND(D119="Certificates - Location [kWh]",S119="24-25"),"Certificate on 24-25 factor","OK")))</f>
        <v>OK</v>
      </c>
    </row>
    <row r="120" customFormat="false" ht="15" hidden="false" customHeight="false" outlineLevel="0" collapsed="false">
      <c r="A120" s="5" t="s">
        <v>31</v>
      </c>
      <c r="B120" s="5" t="s">
        <v>125</v>
      </c>
      <c r="C120" s="5" t="s">
        <v>90</v>
      </c>
      <c r="D120" s="5" t="s">
        <v>75</v>
      </c>
      <c r="E120" s="5" t="s">
        <v>91</v>
      </c>
      <c r="F120" s="5"/>
      <c r="G120" s="5"/>
      <c r="H120" s="5" t="s">
        <v>6</v>
      </c>
      <c r="I120" s="13" t="n">
        <v>-124420</v>
      </c>
      <c r="J120" s="5" t="n">
        <v>100</v>
      </c>
      <c r="K120" s="5" t="n">
        <v>0</v>
      </c>
      <c r="L120" s="5" t="s">
        <v>112</v>
      </c>
      <c r="M120" s="14" t="n">
        <v>0.67</v>
      </c>
      <c r="N120" s="15" t="n">
        <v>-83.3614</v>
      </c>
      <c r="O120" s="15"/>
      <c r="P120" s="15" t="n">
        <v>-83.3614</v>
      </c>
      <c r="Q120" s="15" t="n">
        <f aca="false">IF(M120="","",I120*M120/1000)</f>
        <v>-83.3614</v>
      </c>
      <c r="R120" s="15" t="n">
        <f aca="false">IF(Q120="","",Q120-N(P120))</f>
        <v>0</v>
      </c>
      <c r="S120" s="5" t="str">
        <f aca="false">IF(L120="","",IF(ISNUMBER(SEARCH("25-26",L120)),"25-26",IF(ISNUMBER(SEARCH("24-25",L120)),"24-25","other")))</f>
        <v>25-26</v>
      </c>
      <c r="T120" s="5"/>
      <c r="U120" s="13"/>
      <c r="V120" s="5"/>
      <c r="W120" s="5" t="str">
        <f aca="false">IF(AND(R120&lt;&gt;"",ABS(R120)&gt;0.05),"CO2e not kWh x factor",IF(V120="kWh differs from source","Virtual meter not mirroring",IF(AND(D120="Certificates - Location [kWh]",S120="24-25"),"Certificate on 24-25 factor","OK")))</f>
        <v>OK</v>
      </c>
    </row>
    <row r="121" customFormat="false" ht="15" hidden="false" customHeight="false" outlineLevel="0" collapsed="false">
      <c r="A121" s="5" t="s">
        <v>31</v>
      </c>
      <c r="B121" s="5" t="s">
        <v>125</v>
      </c>
      <c r="C121" s="5" t="s">
        <v>90</v>
      </c>
      <c r="D121" s="5" t="s">
        <v>75</v>
      </c>
      <c r="E121" s="5" t="s">
        <v>91</v>
      </c>
      <c r="F121" s="5"/>
      <c r="G121" s="5"/>
      <c r="H121" s="5" t="s">
        <v>7</v>
      </c>
      <c r="I121" s="13" t="n">
        <v>-133390</v>
      </c>
      <c r="J121" s="5" t="n">
        <v>100</v>
      </c>
      <c r="K121" s="5" t="n">
        <v>0</v>
      </c>
      <c r="L121" s="5" t="s">
        <v>112</v>
      </c>
      <c r="M121" s="14" t="n">
        <v>0.67</v>
      </c>
      <c r="N121" s="15" t="n">
        <v>-89.3713</v>
      </c>
      <c r="O121" s="15"/>
      <c r="P121" s="15" t="n">
        <v>-89.3713</v>
      </c>
      <c r="Q121" s="15" t="n">
        <f aca="false">IF(M121="","",I121*M121/1000)</f>
        <v>-89.3713</v>
      </c>
      <c r="R121" s="15" t="n">
        <f aca="false">IF(Q121="","",Q121-N(P121))</f>
        <v>0</v>
      </c>
      <c r="S121" s="5" t="str">
        <f aca="false">IF(L121="","",IF(ISNUMBER(SEARCH("25-26",L121)),"25-26",IF(ISNUMBER(SEARCH("24-25",L121)),"24-25","other")))</f>
        <v>25-26</v>
      </c>
      <c r="T121" s="5"/>
      <c r="U121" s="13"/>
      <c r="V121" s="5"/>
      <c r="W121" s="5" t="str">
        <f aca="false">IF(AND(R121&lt;&gt;"",ABS(R121)&gt;0.05),"CO2e not kWh x factor",IF(V121="kWh differs from source","Virtual meter not mirroring",IF(AND(D121="Certificates - Location [kWh]",S121="24-25"),"Certificate on 24-25 factor","OK")))</f>
        <v>OK</v>
      </c>
    </row>
    <row r="122" customFormat="false" ht="15" hidden="false" customHeight="false" outlineLevel="0" collapsed="false">
      <c r="A122" s="5" t="s">
        <v>31</v>
      </c>
      <c r="B122" s="5" t="s">
        <v>125</v>
      </c>
      <c r="C122" s="5" t="s">
        <v>90</v>
      </c>
      <c r="D122" s="5" t="s">
        <v>75</v>
      </c>
      <c r="E122" s="5" t="s">
        <v>91</v>
      </c>
      <c r="F122" s="5"/>
      <c r="G122" s="5"/>
      <c r="H122" s="5" t="s">
        <v>8</v>
      </c>
      <c r="I122" s="13" t="n">
        <v>-141380</v>
      </c>
      <c r="J122" s="5" t="n">
        <v>100</v>
      </c>
      <c r="K122" s="5" t="n">
        <v>0</v>
      </c>
      <c r="L122" s="5" t="s">
        <v>112</v>
      </c>
      <c r="M122" s="14" t="n">
        <v>0.67</v>
      </c>
      <c r="N122" s="15" t="n">
        <v>-94.7246</v>
      </c>
      <c r="O122" s="15"/>
      <c r="P122" s="15" t="n">
        <v>-94.7246</v>
      </c>
      <c r="Q122" s="15" t="n">
        <f aca="false">IF(M122="","",I122*M122/1000)</f>
        <v>-94.7246</v>
      </c>
      <c r="R122" s="15" t="n">
        <f aca="false">IF(Q122="","",Q122-N(P122))</f>
        <v>0</v>
      </c>
      <c r="S122" s="5" t="str">
        <f aca="false">IF(L122="","",IF(ISNUMBER(SEARCH("25-26",L122)),"25-26",IF(ISNUMBER(SEARCH("24-25",L122)),"24-25","other")))</f>
        <v>25-26</v>
      </c>
      <c r="T122" s="5"/>
      <c r="U122" s="13"/>
      <c r="V122" s="5"/>
      <c r="W122" s="5" t="str">
        <f aca="false">IF(AND(R122&lt;&gt;"",ABS(R122)&gt;0.05),"CO2e not kWh x factor",IF(V122="kWh differs from source","Virtual meter not mirroring",IF(AND(D122="Certificates - Location [kWh]",S122="24-25"),"Certificate on 24-25 factor","OK")))</f>
        <v>OK</v>
      </c>
    </row>
    <row r="123" customFormat="false" ht="15" hidden="false" customHeight="false" outlineLevel="0" collapsed="false">
      <c r="A123" s="5" t="s">
        <v>31</v>
      </c>
      <c r="B123" s="5" t="s">
        <v>125</v>
      </c>
      <c r="C123" s="5" t="s">
        <v>90</v>
      </c>
      <c r="D123" s="5" t="s">
        <v>75</v>
      </c>
      <c r="E123" s="5" t="s">
        <v>91</v>
      </c>
      <c r="F123" s="5"/>
      <c r="G123" s="5"/>
      <c r="H123" s="5" t="s">
        <v>9</v>
      </c>
      <c r="I123" s="13" t="n">
        <v>-146260</v>
      </c>
      <c r="J123" s="5" t="n">
        <v>100</v>
      </c>
      <c r="K123" s="5" t="n">
        <v>0</v>
      </c>
      <c r="L123" s="5" t="s">
        <v>112</v>
      </c>
      <c r="M123" s="14" t="n">
        <v>0.67</v>
      </c>
      <c r="N123" s="15" t="n">
        <v>-97.9942</v>
      </c>
      <c r="O123" s="15"/>
      <c r="P123" s="15" t="n">
        <v>-97.9942</v>
      </c>
      <c r="Q123" s="15" t="n">
        <f aca="false">IF(M123="","",I123*M123/1000)</f>
        <v>-97.9942</v>
      </c>
      <c r="R123" s="15" t="n">
        <f aca="false">IF(Q123="","",Q123-N(P123))</f>
        <v>0</v>
      </c>
      <c r="S123" s="5" t="str">
        <f aca="false">IF(L123="","",IF(ISNUMBER(SEARCH("25-26",L123)),"25-26",IF(ISNUMBER(SEARCH("24-25",L123)),"24-25","other")))</f>
        <v>25-26</v>
      </c>
      <c r="T123" s="5"/>
      <c r="U123" s="13"/>
      <c r="V123" s="5"/>
      <c r="W123" s="5" t="str">
        <f aca="false">IF(AND(R123&lt;&gt;"",ABS(R123)&gt;0.05),"CO2e not kWh x factor",IF(V123="kWh differs from source","Virtual meter not mirroring",IF(AND(D123="Certificates - Location [kWh]",S123="24-25"),"Certificate on 24-25 factor","OK")))</f>
        <v>OK</v>
      </c>
    </row>
    <row r="124" customFormat="false" ht="15" hidden="false" customHeight="false" outlineLevel="0" collapsed="false">
      <c r="A124" s="5" t="s">
        <v>32</v>
      </c>
      <c r="B124" s="5" t="s">
        <v>126</v>
      </c>
      <c r="C124" s="5" t="s">
        <v>90</v>
      </c>
      <c r="D124" s="5" t="s">
        <v>75</v>
      </c>
      <c r="E124" s="5"/>
      <c r="F124" s="5"/>
      <c r="G124" s="5"/>
      <c r="H124" s="5" t="s">
        <v>4</v>
      </c>
      <c r="I124" s="13" t="n">
        <v>14075.1843</v>
      </c>
      <c r="J124" s="5" t="n">
        <v>100</v>
      </c>
      <c r="K124" s="5" t="n">
        <v>0</v>
      </c>
      <c r="L124" s="5" t="s">
        <v>112</v>
      </c>
      <c r="M124" s="14" t="n">
        <v>0.67</v>
      </c>
      <c r="N124" s="15" t="n">
        <v>9.4304</v>
      </c>
      <c r="O124" s="15"/>
      <c r="P124" s="15" t="n">
        <v>9.4304</v>
      </c>
      <c r="Q124" s="15" t="n">
        <f aca="false">IF(M124="","",I124*M124/1000)</f>
        <v>9.430373481</v>
      </c>
      <c r="R124" s="15" t="n">
        <f aca="false">IF(Q124="","",Q124-N(P124))</f>
        <v>-2.65190000003912E-005</v>
      </c>
      <c r="S124" s="5" t="str">
        <f aca="false">IF(L124="","",IF(ISNUMBER(SEARCH("25-26",L124)),"25-26",IF(ISNUMBER(SEARCH("24-25",L124)),"24-25","other")))</f>
        <v>25-26</v>
      </c>
      <c r="T124" s="5"/>
      <c r="U124" s="13"/>
      <c r="V124" s="5"/>
      <c r="W124" s="5" t="str">
        <f aca="false">IF(AND(R124&lt;&gt;"",ABS(R124)&gt;0.05),"CO2e not kWh x factor",IF(V124="kWh differs from source","Virtual meter not mirroring",IF(AND(D124="Certificates - Location [kWh]",S124="24-25"),"Certificate on 24-25 factor","OK")))</f>
        <v>OK</v>
      </c>
    </row>
    <row r="125" customFormat="false" ht="15" hidden="false" customHeight="false" outlineLevel="0" collapsed="false">
      <c r="A125" s="5" t="s">
        <v>32</v>
      </c>
      <c r="B125" s="5" t="s">
        <v>126</v>
      </c>
      <c r="C125" s="5" t="s">
        <v>90</v>
      </c>
      <c r="D125" s="5" t="s">
        <v>75</v>
      </c>
      <c r="E125" s="5"/>
      <c r="F125" s="5"/>
      <c r="G125" s="5"/>
      <c r="H125" s="5" t="s">
        <v>5</v>
      </c>
      <c r="I125" s="13" t="n">
        <v>13627.7419</v>
      </c>
      <c r="J125" s="5" t="n">
        <v>100</v>
      </c>
      <c r="K125" s="5" t="n">
        <v>0</v>
      </c>
      <c r="L125" s="5" t="s">
        <v>112</v>
      </c>
      <c r="M125" s="14" t="n">
        <v>0.67</v>
      </c>
      <c r="N125" s="15" t="n">
        <v>9.1306</v>
      </c>
      <c r="O125" s="15"/>
      <c r="P125" s="15" t="n">
        <v>9.1306</v>
      </c>
      <c r="Q125" s="15" t="n">
        <f aca="false">IF(M125="","",I125*M125/1000)</f>
        <v>9.130587073</v>
      </c>
      <c r="R125" s="15" t="n">
        <f aca="false">IF(Q125="","",Q125-N(P125))</f>
        <v>-1.29269999984416E-005</v>
      </c>
      <c r="S125" s="5" t="str">
        <f aca="false">IF(L125="","",IF(ISNUMBER(SEARCH("25-26",L125)),"25-26",IF(ISNUMBER(SEARCH("24-25",L125)),"24-25","other")))</f>
        <v>25-26</v>
      </c>
      <c r="T125" s="5"/>
      <c r="U125" s="13"/>
      <c r="V125" s="5"/>
      <c r="W125" s="5" t="str">
        <f aca="false">IF(AND(R125&lt;&gt;"",ABS(R125)&gt;0.05),"CO2e not kWh x factor",IF(V125="kWh differs from source","Virtual meter not mirroring",IF(AND(D125="Certificates - Location [kWh]",S125="24-25"),"Certificate on 24-25 factor","OK")))</f>
        <v>OK</v>
      </c>
    </row>
    <row r="126" customFormat="false" ht="15" hidden="false" customHeight="false" outlineLevel="0" collapsed="false">
      <c r="A126" s="5" t="s">
        <v>32</v>
      </c>
      <c r="B126" s="5" t="s">
        <v>126</v>
      </c>
      <c r="C126" s="5" t="s">
        <v>90</v>
      </c>
      <c r="D126" s="5" t="s">
        <v>75</v>
      </c>
      <c r="E126" s="5"/>
      <c r="F126" s="5"/>
      <c r="G126" s="5"/>
      <c r="H126" s="5" t="s">
        <v>6</v>
      </c>
      <c r="I126" s="13" t="n">
        <v>13700.3226</v>
      </c>
      <c r="J126" s="5" t="n">
        <v>100</v>
      </c>
      <c r="K126" s="5" t="n">
        <v>0</v>
      </c>
      <c r="L126" s="5" t="s">
        <v>112</v>
      </c>
      <c r="M126" s="14" t="n">
        <v>0.67</v>
      </c>
      <c r="N126" s="15" t="n">
        <v>9.1792</v>
      </c>
      <c r="O126" s="15"/>
      <c r="P126" s="15" t="n">
        <v>9.1792</v>
      </c>
      <c r="Q126" s="15" t="n">
        <f aca="false">IF(M126="","",I126*M126/1000)</f>
        <v>9.179216142</v>
      </c>
      <c r="R126" s="15" t="n">
        <f aca="false">IF(Q126="","",Q126-N(P126))</f>
        <v>1.61420000015511E-005</v>
      </c>
      <c r="S126" s="5" t="str">
        <f aca="false">IF(L126="","",IF(ISNUMBER(SEARCH("25-26",L126)),"25-26",IF(ISNUMBER(SEARCH("24-25",L126)),"24-25","other")))</f>
        <v>25-26</v>
      </c>
      <c r="T126" s="5"/>
      <c r="U126" s="13"/>
      <c r="V126" s="5"/>
      <c r="W126" s="5" t="str">
        <f aca="false">IF(AND(R126&lt;&gt;"",ABS(R126)&gt;0.05),"CO2e not kWh x factor",IF(V126="kWh differs from source","Virtual meter not mirroring",IF(AND(D126="Certificates - Location [kWh]",S126="24-25"),"Certificate on 24-25 factor","OK")))</f>
        <v>OK</v>
      </c>
    </row>
    <row r="127" customFormat="false" ht="15" hidden="false" customHeight="false" outlineLevel="0" collapsed="false">
      <c r="A127" s="5" t="s">
        <v>32</v>
      </c>
      <c r="B127" s="5" t="s">
        <v>126</v>
      </c>
      <c r="C127" s="5" t="s">
        <v>90</v>
      </c>
      <c r="D127" s="5" t="s">
        <v>75</v>
      </c>
      <c r="E127" s="5"/>
      <c r="F127" s="5"/>
      <c r="G127" s="5"/>
      <c r="H127" s="5" t="s">
        <v>7</v>
      </c>
      <c r="I127" s="13" t="n">
        <v>13766.3226</v>
      </c>
      <c r="J127" s="5" t="n">
        <v>100</v>
      </c>
      <c r="K127" s="5" t="n">
        <v>0</v>
      </c>
      <c r="L127" s="5" t="s">
        <v>112</v>
      </c>
      <c r="M127" s="14" t="n">
        <v>0.67</v>
      </c>
      <c r="N127" s="15" t="n">
        <v>9.2234</v>
      </c>
      <c r="O127" s="15"/>
      <c r="P127" s="15" t="n">
        <v>9.2234</v>
      </c>
      <c r="Q127" s="15" t="n">
        <f aca="false">IF(M127="","",I127*M127/1000)</f>
        <v>9.223436142</v>
      </c>
      <c r="R127" s="15" t="n">
        <f aca="false">IF(Q127="","",Q127-N(P127))</f>
        <v>3.61420000007939E-005</v>
      </c>
      <c r="S127" s="5" t="str">
        <f aca="false">IF(L127="","",IF(ISNUMBER(SEARCH("25-26",L127)),"25-26",IF(ISNUMBER(SEARCH("24-25",L127)),"24-25","other")))</f>
        <v>25-26</v>
      </c>
      <c r="T127" s="5"/>
      <c r="U127" s="13"/>
      <c r="V127" s="5"/>
      <c r="W127" s="5" t="str">
        <f aca="false">IF(AND(R127&lt;&gt;"",ABS(R127)&gt;0.05),"CO2e not kWh x factor",IF(V127="kWh differs from source","Virtual meter not mirroring",IF(AND(D127="Certificates - Location [kWh]",S127="24-25"),"Certificate on 24-25 factor","OK")))</f>
        <v>OK</v>
      </c>
    </row>
    <row r="128" customFormat="false" ht="15" hidden="false" customHeight="false" outlineLevel="0" collapsed="false">
      <c r="A128" s="5" t="s">
        <v>32</v>
      </c>
      <c r="B128" s="5" t="s">
        <v>126</v>
      </c>
      <c r="C128" s="5" t="s">
        <v>90</v>
      </c>
      <c r="D128" s="5" t="s">
        <v>75</v>
      </c>
      <c r="E128" s="5"/>
      <c r="F128" s="5"/>
      <c r="G128" s="5"/>
      <c r="H128" s="5" t="s">
        <v>8</v>
      </c>
      <c r="I128" s="13" t="n">
        <v>14182.6881</v>
      </c>
      <c r="J128" s="5" t="n">
        <v>71.66</v>
      </c>
      <c r="K128" s="5" t="n">
        <v>28.33</v>
      </c>
      <c r="L128" s="5" t="s">
        <v>112</v>
      </c>
      <c r="M128" s="14" t="n">
        <v>0.67</v>
      </c>
      <c r="N128" s="15" t="n">
        <v>9.5024</v>
      </c>
      <c r="O128" s="15"/>
      <c r="P128" s="15" t="n">
        <v>9.5024</v>
      </c>
      <c r="Q128" s="15" t="n">
        <f aca="false">IF(M128="","",I128*M128/1000)</f>
        <v>9.502401027</v>
      </c>
      <c r="R128" s="15" t="n">
        <f aca="false">IF(Q128="","",Q128-N(P128))</f>
        <v>1.02699999970923E-006</v>
      </c>
      <c r="S128" s="5" t="str">
        <f aca="false">IF(L128="","",IF(ISNUMBER(SEARCH("25-26",L128)),"25-26",IF(ISNUMBER(SEARCH("24-25",L128)),"24-25","other")))</f>
        <v>25-26</v>
      </c>
      <c r="T128" s="5"/>
      <c r="U128" s="13"/>
      <c r="V128" s="5"/>
      <c r="W128" s="5" t="str">
        <f aca="false">IF(AND(R128&lt;&gt;"",ABS(R128)&gt;0.05),"CO2e not kWh x factor",IF(V128="kWh differs from source","Virtual meter not mirroring",IF(AND(D128="Certificates - Location [kWh]",S128="24-25"),"Certificate on 24-25 factor","OK")))</f>
        <v>OK</v>
      </c>
    </row>
    <row r="129" customFormat="false" ht="15" hidden="false" customHeight="false" outlineLevel="0" collapsed="false">
      <c r="A129" s="5" t="s">
        <v>32</v>
      </c>
      <c r="B129" s="5" t="s">
        <v>126</v>
      </c>
      <c r="C129" s="5" t="s">
        <v>90</v>
      </c>
      <c r="D129" s="5" t="s">
        <v>75</v>
      </c>
      <c r="E129" s="5"/>
      <c r="F129" s="5"/>
      <c r="G129" s="5"/>
      <c r="H129" s="5" t="s">
        <v>9</v>
      </c>
      <c r="I129" s="13" t="n">
        <v>14108.999</v>
      </c>
      <c r="J129" s="5" t="n">
        <v>0</v>
      </c>
      <c r="K129" s="5" t="n">
        <v>100</v>
      </c>
      <c r="L129" s="5" t="s">
        <v>112</v>
      </c>
      <c r="M129" s="14" t="n">
        <v>0.67</v>
      </c>
      <c r="N129" s="15" t="n">
        <v>9.453</v>
      </c>
      <c r="O129" s="15"/>
      <c r="P129" s="15" t="n">
        <v>9.453</v>
      </c>
      <c r="Q129" s="15" t="n">
        <f aca="false">IF(M129="","",I129*M129/1000)</f>
        <v>9.45302933</v>
      </c>
      <c r="R129" s="15" t="n">
        <f aca="false">IF(Q129="","",Q129-N(P129))</f>
        <v>2.9330000002048E-005</v>
      </c>
      <c r="S129" s="5" t="str">
        <f aca="false">IF(L129="","",IF(ISNUMBER(SEARCH("25-26",L129)),"25-26",IF(ISNUMBER(SEARCH("24-25",L129)),"24-25","other")))</f>
        <v>25-26</v>
      </c>
      <c r="T129" s="5"/>
      <c r="U129" s="13"/>
      <c r="V129" s="5"/>
      <c r="W129" s="5" t="str">
        <f aca="false">IF(AND(R129&lt;&gt;"",ABS(R129)&gt;0.05),"CO2e not kWh x factor",IF(V129="kWh differs from source","Virtual meter not mirroring",IF(AND(D129="Certificates - Location [kWh]",S129="24-25"),"Certificate on 24-25 factor","OK")))</f>
        <v>OK</v>
      </c>
    </row>
    <row r="130" customFormat="false" ht="15" hidden="false" customHeight="false" outlineLevel="0" collapsed="false">
      <c r="A130" s="5" t="s">
        <v>33</v>
      </c>
      <c r="B130" s="5" t="s">
        <v>127</v>
      </c>
      <c r="C130" s="5" t="s">
        <v>95</v>
      </c>
      <c r="D130" s="5" t="s">
        <v>71</v>
      </c>
      <c r="E130" s="5" t="s">
        <v>108</v>
      </c>
      <c r="F130" s="5" t="s">
        <v>109</v>
      </c>
      <c r="G130" s="5" t="s">
        <v>110</v>
      </c>
      <c r="H130" s="5" t="s">
        <v>5</v>
      </c>
      <c r="I130" s="13" t="n">
        <v>0</v>
      </c>
      <c r="J130" s="5"/>
      <c r="K130" s="5"/>
      <c r="L130" s="5" t="s">
        <v>111</v>
      </c>
      <c r="M130" s="14" t="n">
        <v>-0.67</v>
      </c>
      <c r="N130" s="15"/>
      <c r="O130" s="15" t="n">
        <v>0</v>
      </c>
      <c r="P130" s="15"/>
      <c r="Q130" s="15" t="n">
        <f aca="false">IF(M130="","",I130*M130/1000)</f>
        <v>-0</v>
      </c>
      <c r="R130" s="15" t="n">
        <f aca="false">IF(Q130="","",Q130-N(P130))</f>
        <v>-0</v>
      </c>
      <c r="S130" s="5" t="str">
        <f aca="false">IF(L130="","",IF(ISNUMBER(SEARCH("25-26",L130)),"25-26",IF(ISNUMBER(SEARCH("24-25",L130)),"24-25","other")))</f>
        <v>25-26</v>
      </c>
      <c r="T130" s="5"/>
      <c r="U130" s="13"/>
      <c r="V130" s="5"/>
      <c r="W130" s="5" t="str">
        <f aca="false">IF(AND(R130&lt;&gt;"",ABS(R130)&gt;0.05),"CO2e not kWh x factor",IF(V130="kWh differs from source","Virtual meter not mirroring",IF(AND(D130="Certificates - Location [kWh]",S130="24-25"),"Certificate on 24-25 factor","OK")))</f>
        <v>OK</v>
      </c>
    </row>
    <row r="131" customFormat="false" ht="15" hidden="false" customHeight="false" outlineLevel="0" collapsed="false">
      <c r="A131" s="5" t="s">
        <v>33</v>
      </c>
      <c r="B131" s="5" t="s">
        <v>127</v>
      </c>
      <c r="C131" s="5" t="s">
        <v>95</v>
      </c>
      <c r="D131" s="5" t="s">
        <v>71</v>
      </c>
      <c r="E131" s="5" t="s">
        <v>108</v>
      </c>
      <c r="F131" s="5" t="s">
        <v>109</v>
      </c>
      <c r="G131" s="5" t="s">
        <v>110</v>
      </c>
      <c r="H131" s="5" t="s">
        <v>6</v>
      </c>
      <c r="I131" s="13" t="n">
        <v>0</v>
      </c>
      <c r="J131" s="5"/>
      <c r="K131" s="5"/>
      <c r="L131" s="5" t="s">
        <v>111</v>
      </c>
      <c r="M131" s="14" t="n">
        <v>-0.67</v>
      </c>
      <c r="N131" s="15"/>
      <c r="O131" s="15" t="n">
        <v>0</v>
      </c>
      <c r="P131" s="15"/>
      <c r="Q131" s="15" t="n">
        <f aca="false">IF(M131="","",I131*M131/1000)</f>
        <v>-0</v>
      </c>
      <c r="R131" s="15" t="n">
        <f aca="false">IF(Q131="","",Q131-N(P131))</f>
        <v>-0</v>
      </c>
      <c r="S131" s="5" t="str">
        <f aca="false">IF(L131="","",IF(ISNUMBER(SEARCH("25-26",L131)),"25-26",IF(ISNUMBER(SEARCH("24-25",L131)),"24-25","other")))</f>
        <v>25-26</v>
      </c>
      <c r="T131" s="5"/>
      <c r="U131" s="13"/>
      <c r="V131" s="5"/>
      <c r="W131" s="5" t="str">
        <f aca="false">IF(AND(R131&lt;&gt;"",ABS(R131)&gt;0.05),"CO2e not kWh x factor",IF(V131="kWh differs from source","Virtual meter not mirroring",IF(AND(D131="Certificates - Location [kWh]",S131="24-25"),"Certificate on 24-25 factor","OK")))</f>
        <v>OK</v>
      </c>
    </row>
    <row r="132" customFormat="false" ht="15" hidden="false" customHeight="false" outlineLevel="0" collapsed="false">
      <c r="A132" s="5" t="s">
        <v>33</v>
      </c>
      <c r="B132" s="5" t="s">
        <v>127</v>
      </c>
      <c r="C132" s="5" t="s">
        <v>95</v>
      </c>
      <c r="D132" s="5" t="s">
        <v>71</v>
      </c>
      <c r="E132" s="5" t="s">
        <v>108</v>
      </c>
      <c r="F132" s="5" t="s">
        <v>109</v>
      </c>
      <c r="G132" s="5" t="s">
        <v>110</v>
      </c>
      <c r="H132" s="5" t="s">
        <v>7</v>
      </c>
      <c r="I132" s="13" t="n">
        <v>0</v>
      </c>
      <c r="J132" s="5"/>
      <c r="K132" s="5"/>
      <c r="L132" s="5" t="s">
        <v>111</v>
      </c>
      <c r="M132" s="14" t="n">
        <v>-0.67</v>
      </c>
      <c r="N132" s="15"/>
      <c r="O132" s="15" t="n">
        <v>0</v>
      </c>
      <c r="P132" s="15"/>
      <c r="Q132" s="15" t="n">
        <f aca="false">IF(M132="","",I132*M132/1000)</f>
        <v>-0</v>
      </c>
      <c r="R132" s="15" t="n">
        <f aca="false">IF(Q132="","",Q132-N(P132))</f>
        <v>-0</v>
      </c>
      <c r="S132" s="5" t="str">
        <f aca="false">IF(L132="","",IF(ISNUMBER(SEARCH("25-26",L132)),"25-26",IF(ISNUMBER(SEARCH("24-25",L132)),"24-25","other")))</f>
        <v>25-26</v>
      </c>
      <c r="T132" s="5"/>
      <c r="U132" s="13"/>
      <c r="V132" s="5"/>
      <c r="W132" s="5" t="str">
        <f aca="false">IF(AND(R132&lt;&gt;"",ABS(R132)&gt;0.05),"CO2e not kWh x factor",IF(V132="kWh differs from source","Virtual meter not mirroring",IF(AND(D132="Certificates - Location [kWh]",S132="24-25"),"Certificate on 24-25 factor","OK")))</f>
        <v>OK</v>
      </c>
    </row>
    <row r="133" customFormat="false" ht="15" hidden="false" customHeight="false" outlineLevel="0" collapsed="false">
      <c r="A133" s="5" t="s">
        <v>33</v>
      </c>
      <c r="B133" s="5" t="s">
        <v>127</v>
      </c>
      <c r="C133" s="5" t="s">
        <v>95</v>
      </c>
      <c r="D133" s="5" t="s">
        <v>75</v>
      </c>
      <c r="E133" s="5" t="s">
        <v>108</v>
      </c>
      <c r="F133" s="5" t="s">
        <v>109</v>
      </c>
      <c r="G133" s="5" t="s">
        <v>110</v>
      </c>
      <c r="H133" s="5" t="s">
        <v>5</v>
      </c>
      <c r="I133" s="13" t="n">
        <v>118258.8</v>
      </c>
      <c r="J133" s="5" t="n">
        <v>100</v>
      </c>
      <c r="K133" s="5" t="n">
        <v>0</v>
      </c>
      <c r="L133" s="5" t="s">
        <v>112</v>
      </c>
      <c r="M133" s="14" t="n">
        <v>0.67</v>
      </c>
      <c r="N133" s="15" t="n">
        <v>79.2334</v>
      </c>
      <c r="O133" s="15"/>
      <c r="P133" s="15" t="n">
        <v>79.2334</v>
      </c>
      <c r="Q133" s="15" t="n">
        <f aca="false">IF(M133="","",I133*M133/1000)</f>
        <v>79.233396</v>
      </c>
      <c r="R133" s="15" t="n">
        <f aca="false">IF(Q133="","",Q133-N(P133))</f>
        <v>-3.99999998990097E-006</v>
      </c>
      <c r="S133" s="5" t="str">
        <f aca="false">IF(L133="","",IF(ISNUMBER(SEARCH("25-26",L133)),"25-26",IF(ISNUMBER(SEARCH("24-25",L133)),"24-25","other")))</f>
        <v>25-26</v>
      </c>
      <c r="T133" s="5"/>
      <c r="U133" s="13"/>
      <c r="V133" s="5"/>
      <c r="W133" s="5" t="str">
        <f aca="false">IF(AND(R133&lt;&gt;"",ABS(R133)&gt;0.05),"CO2e not kWh x factor",IF(V133="kWh differs from source","Virtual meter not mirroring",IF(AND(D133="Certificates - Location [kWh]",S133="24-25"),"Certificate on 24-25 factor","OK")))</f>
        <v>OK</v>
      </c>
    </row>
    <row r="134" customFormat="false" ht="15" hidden="false" customHeight="false" outlineLevel="0" collapsed="false">
      <c r="A134" s="5" t="s">
        <v>33</v>
      </c>
      <c r="B134" s="5" t="s">
        <v>127</v>
      </c>
      <c r="C134" s="5" t="s">
        <v>95</v>
      </c>
      <c r="D134" s="5" t="s">
        <v>75</v>
      </c>
      <c r="E134" s="5" t="s">
        <v>108</v>
      </c>
      <c r="F134" s="5" t="s">
        <v>109</v>
      </c>
      <c r="G134" s="5" t="s">
        <v>110</v>
      </c>
      <c r="H134" s="5" t="s">
        <v>6</v>
      </c>
      <c r="I134" s="13" t="n">
        <v>139668.7</v>
      </c>
      <c r="J134" s="5" t="n">
        <v>100</v>
      </c>
      <c r="K134" s="5" t="n">
        <v>0</v>
      </c>
      <c r="L134" s="5" t="s">
        <v>112</v>
      </c>
      <c r="M134" s="14" t="n">
        <v>0.67</v>
      </c>
      <c r="N134" s="15" t="n">
        <v>93.578</v>
      </c>
      <c r="O134" s="15"/>
      <c r="P134" s="15" t="n">
        <v>93.578</v>
      </c>
      <c r="Q134" s="15" t="n">
        <f aca="false">IF(M134="","",I134*M134/1000)</f>
        <v>93.578029</v>
      </c>
      <c r="R134" s="15" t="n">
        <f aca="false">IF(Q134="","",Q134-N(P134))</f>
        <v>2.90000000120472E-005</v>
      </c>
      <c r="S134" s="5" t="str">
        <f aca="false">IF(L134="","",IF(ISNUMBER(SEARCH("25-26",L134)),"25-26",IF(ISNUMBER(SEARCH("24-25",L134)),"24-25","other")))</f>
        <v>25-26</v>
      </c>
      <c r="T134" s="5"/>
      <c r="U134" s="13"/>
      <c r="V134" s="5"/>
      <c r="W134" s="5" t="str">
        <f aca="false">IF(AND(R134&lt;&gt;"",ABS(R134)&gt;0.05),"CO2e not kWh x factor",IF(V134="kWh differs from source","Virtual meter not mirroring",IF(AND(D134="Certificates - Location [kWh]",S134="24-25"),"Certificate on 24-25 factor","OK")))</f>
        <v>OK</v>
      </c>
    </row>
    <row r="135" customFormat="false" ht="15" hidden="false" customHeight="false" outlineLevel="0" collapsed="false">
      <c r="A135" s="5" t="s">
        <v>33</v>
      </c>
      <c r="B135" s="5" t="s">
        <v>127</v>
      </c>
      <c r="C135" s="5" t="s">
        <v>95</v>
      </c>
      <c r="D135" s="5" t="s">
        <v>75</v>
      </c>
      <c r="E135" s="5" t="s">
        <v>108</v>
      </c>
      <c r="F135" s="5" t="s">
        <v>109</v>
      </c>
      <c r="G135" s="5" t="s">
        <v>110</v>
      </c>
      <c r="H135" s="5" t="s">
        <v>7</v>
      </c>
      <c r="I135" s="13" t="n">
        <v>164454.1</v>
      </c>
      <c r="J135" s="5" t="n">
        <v>100</v>
      </c>
      <c r="K135" s="5" t="n">
        <v>0</v>
      </c>
      <c r="L135" s="5" t="s">
        <v>112</v>
      </c>
      <c r="M135" s="14" t="n">
        <v>0.67</v>
      </c>
      <c r="N135" s="15" t="n">
        <v>110.1842</v>
      </c>
      <c r="O135" s="15"/>
      <c r="P135" s="15" t="n">
        <v>110.1842</v>
      </c>
      <c r="Q135" s="15" t="n">
        <f aca="false">IF(M135="","",I135*M135/1000)</f>
        <v>110.184247</v>
      </c>
      <c r="R135" s="15" t="n">
        <f aca="false">IF(Q135="","",Q135-N(P135))</f>
        <v>4.70000000092341E-005</v>
      </c>
      <c r="S135" s="5" t="str">
        <f aca="false">IF(L135="","",IF(ISNUMBER(SEARCH("25-26",L135)),"25-26",IF(ISNUMBER(SEARCH("24-25",L135)),"24-25","other")))</f>
        <v>25-26</v>
      </c>
      <c r="T135" s="5"/>
      <c r="U135" s="13"/>
      <c r="V135" s="5"/>
      <c r="W135" s="5" t="str">
        <f aca="false">IF(AND(R135&lt;&gt;"",ABS(R135)&gt;0.05),"CO2e not kWh x factor",IF(V135="kWh differs from source","Virtual meter not mirroring",IF(AND(D135="Certificates - Location [kWh]",S135="24-25"),"Certificate on 24-25 factor","OK")))</f>
        <v>OK</v>
      </c>
    </row>
    <row r="136" customFormat="false" ht="15" hidden="false" customHeight="false" outlineLevel="0" collapsed="false">
      <c r="A136" s="5" t="s">
        <v>33</v>
      </c>
      <c r="B136" s="5" t="s">
        <v>128</v>
      </c>
      <c r="C136" s="5" t="s">
        <v>95</v>
      </c>
      <c r="D136" s="5" t="s">
        <v>71</v>
      </c>
      <c r="E136" s="5" t="s">
        <v>108</v>
      </c>
      <c r="F136" s="5"/>
      <c r="G136" s="5" t="s">
        <v>115</v>
      </c>
      <c r="H136" s="5" t="s">
        <v>4</v>
      </c>
      <c r="I136" s="13" t="n">
        <v>0</v>
      </c>
      <c r="J136" s="5"/>
      <c r="K136" s="5"/>
      <c r="L136" s="5" t="s">
        <v>111</v>
      </c>
      <c r="M136" s="14" t="n">
        <v>-0.67</v>
      </c>
      <c r="N136" s="15"/>
      <c r="O136" s="15" t="n">
        <v>0</v>
      </c>
      <c r="P136" s="15"/>
      <c r="Q136" s="15" t="n">
        <f aca="false">IF(M136="","",I136*M136/1000)</f>
        <v>-0</v>
      </c>
      <c r="R136" s="15" t="n">
        <f aca="false">IF(Q136="","",Q136-N(P136))</f>
        <v>-0</v>
      </c>
      <c r="S136" s="5" t="str">
        <f aca="false">IF(L136="","",IF(ISNUMBER(SEARCH("25-26",L136)),"25-26",IF(ISNUMBER(SEARCH("24-25",L136)),"24-25","other")))</f>
        <v>25-26</v>
      </c>
      <c r="T136" s="5"/>
      <c r="U136" s="13"/>
      <c r="V136" s="5"/>
      <c r="W136" s="5" t="str">
        <f aca="false">IF(AND(R136&lt;&gt;"",ABS(R136)&gt;0.05),"CO2e not kWh x factor",IF(V136="kWh differs from source","Virtual meter not mirroring",IF(AND(D136="Certificates - Location [kWh]",S136="24-25"),"Certificate on 24-25 factor","OK")))</f>
        <v>OK</v>
      </c>
    </row>
    <row r="137" customFormat="false" ht="15" hidden="false" customHeight="false" outlineLevel="0" collapsed="false">
      <c r="A137" s="5" t="s">
        <v>33</v>
      </c>
      <c r="B137" s="5" t="s">
        <v>128</v>
      </c>
      <c r="C137" s="5" t="s">
        <v>95</v>
      </c>
      <c r="D137" s="5" t="s">
        <v>75</v>
      </c>
      <c r="E137" s="5" t="s">
        <v>108</v>
      </c>
      <c r="F137" s="5"/>
      <c r="G137" s="5" t="s">
        <v>115</v>
      </c>
      <c r="H137" s="5" t="s">
        <v>4</v>
      </c>
      <c r="I137" s="13" t="n">
        <v>104210.8</v>
      </c>
      <c r="J137" s="5" t="n">
        <v>100</v>
      </c>
      <c r="K137" s="5" t="n">
        <v>0</v>
      </c>
      <c r="L137" s="5" t="s">
        <v>112</v>
      </c>
      <c r="M137" s="14" t="n">
        <v>0.67</v>
      </c>
      <c r="N137" s="15" t="n">
        <v>69.8212</v>
      </c>
      <c r="O137" s="15"/>
      <c r="P137" s="15" t="n">
        <v>69.8212</v>
      </c>
      <c r="Q137" s="15" t="n">
        <f aca="false">IF(M137="","",I137*M137/1000)</f>
        <v>69.821236</v>
      </c>
      <c r="R137" s="15" t="n">
        <f aca="false">IF(Q137="","",Q137-N(P137))</f>
        <v>3.59999999943739E-005</v>
      </c>
      <c r="S137" s="5" t="str">
        <f aca="false">IF(L137="","",IF(ISNUMBER(SEARCH("25-26",L137)),"25-26",IF(ISNUMBER(SEARCH("24-25",L137)),"24-25","other")))</f>
        <v>25-26</v>
      </c>
      <c r="T137" s="5"/>
      <c r="U137" s="13"/>
      <c r="V137" s="5"/>
      <c r="W137" s="5" t="str">
        <f aca="false">IF(AND(R137&lt;&gt;"",ABS(R137)&gt;0.05),"CO2e not kWh x factor",IF(V137="kWh differs from source","Virtual meter not mirroring",IF(AND(D137="Certificates - Location [kWh]",S137="24-25"),"Certificate on 24-25 factor","OK")))</f>
        <v>OK</v>
      </c>
    </row>
    <row r="138" customFormat="false" ht="15" hidden="false" customHeight="false" outlineLevel="0" collapsed="false">
      <c r="A138" s="5" t="s">
        <v>33</v>
      </c>
      <c r="B138" s="5" t="s">
        <v>129</v>
      </c>
      <c r="C138" s="5" t="s">
        <v>95</v>
      </c>
      <c r="D138" s="5" t="s">
        <v>71</v>
      </c>
      <c r="E138" s="5" t="s">
        <v>118</v>
      </c>
      <c r="F138" s="5"/>
      <c r="G138" s="5"/>
      <c r="H138" s="5" t="s">
        <v>8</v>
      </c>
      <c r="I138" s="13" t="n">
        <v>0</v>
      </c>
      <c r="J138" s="5"/>
      <c r="K138" s="5"/>
      <c r="L138" s="5" t="s">
        <v>111</v>
      </c>
      <c r="M138" s="14" t="n">
        <v>-0.67</v>
      </c>
      <c r="N138" s="15"/>
      <c r="O138" s="15" t="n">
        <v>0</v>
      </c>
      <c r="P138" s="15"/>
      <c r="Q138" s="15" t="n">
        <f aca="false">IF(M138="","",I138*M138/1000)</f>
        <v>-0</v>
      </c>
      <c r="R138" s="15" t="n">
        <f aca="false">IF(Q138="","",Q138-N(P138))</f>
        <v>-0</v>
      </c>
      <c r="S138" s="5" t="str">
        <f aca="false">IF(L138="","",IF(ISNUMBER(SEARCH("25-26",L138)),"25-26",IF(ISNUMBER(SEARCH("24-25",L138)),"24-25","other")))</f>
        <v>25-26</v>
      </c>
      <c r="T138" s="5"/>
      <c r="U138" s="13"/>
      <c r="V138" s="5"/>
      <c r="W138" s="5" t="str">
        <f aca="false">IF(AND(R138&lt;&gt;"",ABS(R138)&gt;0.05),"CO2e not kWh x factor",IF(V138="kWh differs from source","Virtual meter not mirroring",IF(AND(D138="Certificates - Location [kWh]",S138="24-25"),"Certificate on 24-25 factor","OK")))</f>
        <v>OK</v>
      </c>
    </row>
    <row r="139" customFormat="false" ht="15" hidden="false" customHeight="false" outlineLevel="0" collapsed="false">
      <c r="A139" s="5" t="s">
        <v>33</v>
      </c>
      <c r="B139" s="5" t="s">
        <v>129</v>
      </c>
      <c r="C139" s="5" t="s">
        <v>95</v>
      </c>
      <c r="D139" s="5" t="s">
        <v>71</v>
      </c>
      <c r="E139" s="5" t="s">
        <v>118</v>
      </c>
      <c r="F139" s="5"/>
      <c r="G139" s="5"/>
      <c r="H139" s="5" t="s">
        <v>9</v>
      </c>
      <c r="I139" s="13" t="n">
        <v>0</v>
      </c>
      <c r="J139" s="5"/>
      <c r="K139" s="5"/>
      <c r="L139" s="5" t="s">
        <v>111</v>
      </c>
      <c r="M139" s="14" t="n">
        <v>-0.67</v>
      </c>
      <c r="N139" s="15"/>
      <c r="O139" s="15" t="n">
        <v>0</v>
      </c>
      <c r="P139" s="15"/>
      <c r="Q139" s="15" t="n">
        <f aca="false">IF(M139="","",I139*M139/1000)</f>
        <v>-0</v>
      </c>
      <c r="R139" s="15" t="n">
        <f aca="false">IF(Q139="","",Q139-N(P139))</f>
        <v>-0</v>
      </c>
      <c r="S139" s="5" t="str">
        <f aca="false">IF(L139="","",IF(ISNUMBER(SEARCH("25-26",L139)),"25-26",IF(ISNUMBER(SEARCH("24-25",L139)),"24-25","other")))</f>
        <v>25-26</v>
      </c>
      <c r="T139" s="5"/>
      <c r="U139" s="13"/>
      <c r="V139" s="5"/>
      <c r="W139" s="5" t="str">
        <f aca="false">IF(AND(R139&lt;&gt;"",ABS(R139)&gt;0.05),"CO2e not kWh x factor",IF(V139="kWh differs from source","Virtual meter not mirroring",IF(AND(D139="Certificates - Location [kWh]",S139="24-25"),"Certificate on 24-25 factor","OK")))</f>
        <v>OK</v>
      </c>
    </row>
    <row r="140" customFormat="false" ht="15" hidden="false" customHeight="false" outlineLevel="0" collapsed="false">
      <c r="A140" s="5" t="s">
        <v>33</v>
      </c>
      <c r="B140" s="5" t="s">
        <v>129</v>
      </c>
      <c r="C140" s="5" t="s">
        <v>95</v>
      </c>
      <c r="D140" s="5" t="s">
        <v>75</v>
      </c>
      <c r="E140" s="5" t="s">
        <v>118</v>
      </c>
      <c r="F140" s="5"/>
      <c r="G140" s="5"/>
      <c r="H140" s="5" t="s">
        <v>8</v>
      </c>
      <c r="I140" s="13" t="n">
        <v>248501.6</v>
      </c>
      <c r="J140" s="5" t="n">
        <v>100</v>
      </c>
      <c r="K140" s="5" t="n">
        <v>0</v>
      </c>
      <c r="L140" s="5" t="s">
        <v>112</v>
      </c>
      <c r="M140" s="14" t="n">
        <v>0.67</v>
      </c>
      <c r="N140" s="15" t="n">
        <v>166.4961</v>
      </c>
      <c r="O140" s="15"/>
      <c r="P140" s="15" t="n">
        <v>166.4961</v>
      </c>
      <c r="Q140" s="15" t="n">
        <f aca="false">IF(M140="","",I140*M140/1000)</f>
        <v>166.496072</v>
      </c>
      <c r="R140" s="15" t="n">
        <f aca="false">IF(Q140="","",Q140-N(P140))</f>
        <v>-2.79999999861502E-005</v>
      </c>
      <c r="S140" s="5" t="str">
        <f aca="false">IF(L140="","",IF(ISNUMBER(SEARCH("25-26",L140)),"25-26",IF(ISNUMBER(SEARCH("24-25",L140)),"24-25","other")))</f>
        <v>25-26</v>
      </c>
      <c r="T140" s="5"/>
      <c r="U140" s="13"/>
      <c r="V140" s="5"/>
      <c r="W140" s="5" t="str">
        <f aca="false">IF(AND(R140&lt;&gt;"",ABS(R140)&gt;0.05),"CO2e not kWh x factor",IF(V140="kWh differs from source","Virtual meter not mirroring",IF(AND(D140="Certificates - Location [kWh]",S140="24-25"),"Certificate on 24-25 factor","OK")))</f>
        <v>OK</v>
      </c>
    </row>
    <row r="141" customFormat="false" ht="15" hidden="false" customHeight="false" outlineLevel="0" collapsed="false">
      <c r="A141" s="5" t="s">
        <v>33</v>
      </c>
      <c r="B141" s="5" t="s">
        <v>129</v>
      </c>
      <c r="C141" s="5" t="s">
        <v>95</v>
      </c>
      <c r="D141" s="5" t="s">
        <v>75</v>
      </c>
      <c r="E141" s="5" t="s">
        <v>118</v>
      </c>
      <c r="F141" s="5"/>
      <c r="G141" s="5"/>
      <c r="H141" s="5" t="s">
        <v>9</v>
      </c>
      <c r="I141" s="13" t="n">
        <v>170055.25</v>
      </c>
      <c r="J141" s="5" t="n">
        <v>100</v>
      </c>
      <c r="K141" s="5" t="n">
        <v>0</v>
      </c>
      <c r="L141" s="5" t="s">
        <v>112</v>
      </c>
      <c r="M141" s="14" t="n">
        <v>0.67</v>
      </c>
      <c r="N141" s="15" t="n">
        <v>113.937</v>
      </c>
      <c r="O141" s="15"/>
      <c r="P141" s="15" t="n">
        <v>113.937</v>
      </c>
      <c r="Q141" s="15" t="n">
        <f aca="false">IF(M141="","",I141*M141/1000)</f>
        <v>113.9370175</v>
      </c>
      <c r="R141" s="15" t="n">
        <f aca="false">IF(Q141="","",Q141-N(P141))</f>
        <v>1.74999999984493E-005</v>
      </c>
      <c r="S141" s="5" t="str">
        <f aca="false">IF(L141="","",IF(ISNUMBER(SEARCH("25-26",L141)),"25-26",IF(ISNUMBER(SEARCH("24-25",L141)),"24-25","other")))</f>
        <v>25-26</v>
      </c>
      <c r="T141" s="5"/>
      <c r="U141" s="13"/>
      <c r="V141" s="5"/>
      <c r="W141" s="5" t="str">
        <f aca="false">IF(AND(R141&lt;&gt;"",ABS(R141)&gt;0.05),"CO2e not kWh x factor",IF(V141="kWh differs from source","Virtual meter not mirroring",IF(AND(D141="Certificates - Location [kWh]",S141="24-25"),"Certificate on 24-25 factor","OK")))</f>
        <v>OK</v>
      </c>
    </row>
    <row r="142" customFormat="false" ht="15" hidden="false" customHeight="false" outlineLevel="0" collapsed="false">
      <c r="A142" s="5" t="s">
        <v>34</v>
      </c>
      <c r="B142" s="5" t="s">
        <v>130</v>
      </c>
      <c r="C142" s="5" t="s">
        <v>95</v>
      </c>
      <c r="D142" s="5" t="s">
        <v>71</v>
      </c>
      <c r="E142" s="5" t="s">
        <v>131</v>
      </c>
      <c r="F142" s="5"/>
      <c r="G142" s="5"/>
      <c r="H142" s="5" t="s">
        <v>4</v>
      </c>
      <c r="I142" s="13" t="n">
        <v>0</v>
      </c>
      <c r="J142" s="5"/>
      <c r="K142" s="5"/>
      <c r="L142" s="5" t="s">
        <v>74</v>
      </c>
      <c r="M142" s="14" t="n">
        <v>-0.64</v>
      </c>
      <c r="N142" s="15"/>
      <c r="O142" s="15" t="n">
        <v>0</v>
      </c>
      <c r="P142" s="15"/>
      <c r="Q142" s="15" t="n">
        <f aca="false">IF(M142="","",I142*M142/1000)</f>
        <v>-0</v>
      </c>
      <c r="R142" s="15" t="n">
        <f aca="false">IF(Q142="","",Q142-N(P142))</f>
        <v>-0</v>
      </c>
      <c r="S142" s="5" t="str">
        <f aca="false">IF(L142="","",IF(ISNUMBER(SEARCH("25-26",L142)),"25-26",IF(ISNUMBER(SEARCH("24-25",L142)),"24-25","other")))</f>
        <v>25-26</v>
      </c>
      <c r="T142" s="5"/>
      <c r="U142" s="13"/>
      <c r="V142" s="5"/>
      <c r="W142" s="5" t="str">
        <f aca="false">IF(AND(R142&lt;&gt;"",ABS(R142)&gt;0.05),"CO2e not kWh x factor",IF(V142="kWh differs from source","Virtual meter not mirroring",IF(AND(D142="Certificates - Location [kWh]",S142="24-25"),"Certificate on 24-25 factor","OK")))</f>
        <v>OK</v>
      </c>
    </row>
    <row r="143" customFormat="false" ht="15" hidden="false" customHeight="false" outlineLevel="0" collapsed="false">
      <c r="A143" s="5" t="s">
        <v>34</v>
      </c>
      <c r="B143" s="5" t="s">
        <v>130</v>
      </c>
      <c r="C143" s="5" t="s">
        <v>95</v>
      </c>
      <c r="D143" s="5" t="s">
        <v>71</v>
      </c>
      <c r="E143" s="5" t="s">
        <v>131</v>
      </c>
      <c r="F143" s="5"/>
      <c r="G143" s="5"/>
      <c r="H143" s="5" t="s">
        <v>5</v>
      </c>
      <c r="I143" s="13" t="n">
        <v>0</v>
      </c>
      <c r="J143" s="5"/>
      <c r="K143" s="5"/>
      <c r="L143" s="5" t="s">
        <v>74</v>
      </c>
      <c r="M143" s="14" t="n">
        <v>-0.64</v>
      </c>
      <c r="N143" s="15"/>
      <c r="O143" s="15" t="n">
        <v>0</v>
      </c>
      <c r="P143" s="15"/>
      <c r="Q143" s="15" t="n">
        <f aca="false">IF(M143="","",I143*M143/1000)</f>
        <v>-0</v>
      </c>
      <c r="R143" s="15" t="n">
        <f aca="false">IF(Q143="","",Q143-N(P143))</f>
        <v>-0</v>
      </c>
      <c r="S143" s="5" t="str">
        <f aca="false">IF(L143="","",IF(ISNUMBER(SEARCH("25-26",L143)),"25-26",IF(ISNUMBER(SEARCH("24-25",L143)),"24-25","other")))</f>
        <v>25-26</v>
      </c>
      <c r="T143" s="5"/>
      <c r="U143" s="13"/>
      <c r="V143" s="5"/>
      <c r="W143" s="5" t="str">
        <f aca="false">IF(AND(R143&lt;&gt;"",ABS(R143)&gt;0.05),"CO2e not kWh x factor",IF(V143="kWh differs from source","Virtual meter not mirroring",IF(AND(D143="Certificates - Location [kWh]",S143="24-25"),"Certificate on 24-25 factor","OK")))</f>
        <v>OK</v>
      </c>
    </row>
    <row r="144" customFormat="false" ht="15" hidden="false" customHeight="false" outlineLevel="0" collapsed="false">
      <c r="A144" s="5" t="s">
        <v>34</v>
      </c>
      <c r="B144" s="5" t="s">
        <v>130</v>
      </c>
      <c r="C144" s="5" t="s">
        <v>95</v>
      </c>
      <c r="D144" s="5" t="s">
        <v>71</v>
      </c>
      <c r="E144" s="5" t="s">
        <v>131</v>
      </c>
      <c r="F144" s="5"/>
      <c r="G144" s="5"/>
      <c r="H144" s="5" t="s">
        <v>6</v>
      </c>
      <c r="I144" s="13" t="n">
        <v>0</v>
      </c>
      <c r="J144" s="5"/>
      <c r="K144" s="5"/>
      <c r="L144" s="5" t="s">
        <v>74</v>
      </c>
      <c r="M144" s="14" t="n">
        <v>-0.64</v>
      </c>
      <c r="N144" s="15"/>
      <c r="O144" s="15" t="n">
        <v>0</v>
      </c>
      <c r="P144" s="15"/>
      <c r="Q144" s="15" t="n">
        <f aca="false">IF(M144="","",I144*M144/1000)</f>
        <v>-0</v>
      </c>
      <c r="R144" s="15" t="n">
        <f aca="false">IF(Q144="","",Q144-N(P144))</f>
        <v>-0</v>
      </c>
      <c r="S144" s="5" t="str">
        <f aca="false">IF(L144="","",IF(ISNUMBER(SEARCH("25-26",L144)),"25-26",IF(ISNUMBER(SEARCH("24-25",L144)),"24-25","other")))</f>
        <v>25-26</v>
      </c>
      <c r="T144" s="5"/>
      <c r="U144" s="13"/>
      <c r="V144" s="5"/>
      <c r="W144" s="5" t="str">
        <f aca="false">IF(AND(R144&lt;&gt;"",ABS(R144)&gt;0.05),"CO2e not kWh x factor",IF(V144="kWh differs from source","Virtual meter not mirroring",IF(AND(D144="Certificates - Location [kWh]",S144="24-25"),"Certificate on 24-25 factor","OK")))</f>
        <v>OK</v>
      </c>
    </row>
    <row r="145" customFormat="false" ht="15" hidden="false" customHeight="false" outlineLevel="0" collapsed="false">
      <c r="A145" s="5" t="s">
        <v>34</v>
      </c>
      <c r="B145" s="5" t="s">
        <v>130</v>
      </c>
      <c r="C145" s="5" t="s">
        <v>95</v>
      </c>
      <c r="D145" s="5" t="s">
        <v>71</v>
      </c>
      <c r="E145" s="5" t="s">
        <v>131</v>
      </c>
      <c r="F145" s="5"/>
      <c r="G145" s="5"/>
      <c r="H145" s="5" t="s">
        <v>7</v>
      </c>
      <c r="I145" s="13" t="n">
        <v>0</v>
      </c>
      <c r="J145" s="5"/>
      <c r="K145" s="5"/>
      <c r="L145" s="5" t="s">
        <v>74</v>
      </c>
      <c r="M145" s="14" t="n">
        <v>-0.64</v>
      </c>
      <c r="N145" s="15"/>
      <c r="O145" s="15" t="n">
        <v>0</v>
      </c>
      <c r="P145" s="15"/>
      <c r="Q145" s="15" t="n">
        <f aca="false">IF(M145="","",I145*M145/1000)</f>
        <v>-0</v>
      </c>
      <c r="R145" s="15" t="n">
        <f aca="false">IF(Q145="","",Q145-N(P145))</f>
        <v>-0</v>
      </c>
      <c r="S145" s="5" t="str">
        <f aca="false">IF(L145="","",IF(ISNUMBER(SEARCH("25-26",L145)),"25-26",IF(ISNUMBER(SEARCH("24-25",L145)),"24-25","other")))</f>
        <v>25-26</v>
      </c>
      <c r="T145" s="5"/>
      <c r="U145" s="13"/>
      <c r="V145" s="5"/>
      <c r="W145" s="5" t="str">
        <f aca="false">IF(AND(R145&lt;&gt;"",ABS(R145)&gt;0.05),"CO2e not kWh x factor",IF(V145="kWh differs from source","Virtual meter not mirroring",IF(AND(D145="Certificates - Location [kWh]",S145="24-25"),"Certificate on 24-25 factor","OK")))</f>
        <v>OK</v>
      </c>
    </row>
    <row r="146" customFormat="false" ht="15" hidden="false" customHeight="false" outlineLevel="0" collapsed="false">
      <c r="A146" s="5" t="s">
        <v>34</v>
      </c>
      <c r="B146" s="5" t="s">
        <v>130</v>
      </c>
      <c r="C146" s="5" t="s">
        <v>95</v>
      </c>
      <c r="D146" s="5" t="s">
        <v>71</v>
      </c>
      <c r="E146" s="5" t="s">
        <v>131</v>
      </c>
      <c r="F146" s="5"/>
      <c r="G146" s="5"/>
      <c r="H146" s="5" t="s">
        <v>8</v>
      </c>
      <c r="I146" s="13" t="n">
        <v>0</v>
      </c>
      <c r="J146" s="5"/>
      <c r="K146" s="5"/>
      <c r="L146" s="5" t="s">
        <v>74</v>
      </c>
      <c r="M146" s="14" t="n">
        <v>-0.64</v>
      </c>
      <c r="N146" s="15"/>
      <c r="O146" s="15" t="n">
        <v>0</v>
      </c>
      <c r="P146" s="15"/>
      <c r="Q146" s="15" t="n">
        <f aca="false">IF(M146="","",I146*M146/1000)</f>
        <v>-0</v>
      </c>
      <c r="R146" s="15" t="n">
        <f aca="false">IF(Q146="","",Q146-N(P146))</f>
        <v>-0</v>
      </c>
      <c r="S146" s="5" t="str">
        <f aca="false">IF(L146="","",IF(ISNUMBER(SEARCH("25-26",L146)),"25-26",IF(ISNUMBER(SEARCH("24-25",L146)),"24-25","other")))</f>
        <v>25-26</v>
      </c>
      <c r="T146" s="5"/>
      <c r="U146" s="13"/>
      <c r="V146" s="5"/>
      <c r="W146" s="5" t="str">
        <f aca="false">IF(AND(R146&lt;&gt;"",ABS(R146)&gt;0.05),"CO2e not kWh x factor",IF(V146="kWh differs from source","Virtual meter not mirroring",IF(AND(D146="Certificates - Location [kWh]",S146="24-25"),"Certificate on 24-25 factor","OK")))</f>
        <v>OK</v>
      </c>
    </row>
    <row r="147" customFormat="false" ht="15" hidden="false" customHeight="false" outlineLevel="0" collapsed="false">
      <c r="A147" s="5" t="s">
        <v>34</v>
      </c>
      <c r="B147" s="5" t="s">
        <v>130</v>
      </c>
      <c r="C147" s="5" t="s">
        <v>95</v>
      </c>
      <c r="D147" s="5" t="s">
        <v>71</v>
      </c>
      <c r="E147" s="5" t="s">
        <v>131</v>
      </c>
      <c r="F147" s="5"/>
      <c r="G147" s="5"/>
      <c r="H147" s="5" t="s">
        <v>9</v>
      </c>
      <c r="I147" s="13" t="n">
        <v>0</v>
      </c>
      <c r="J147" s="5"/>
      <c r="K147" s="5"/>
      <c r="L147" s="5" t="s">
        <v>74</v>
      </c>
      <c r="M147" s="14" t="n">
        <v>-0.64</v>
      </c>
      <c r="N147" s="15"/>
      <c r="O147" s="15" t="n">
        <v>0</v>
      </c>
      <c r="P147" s="15"/>
      <c r="Q147" s="15" t="n">
        <f aca="false">IF(M147="","",I147*M147/1000)</f>
        <v>-0</v>
      </c>
      <c r="R147" s="15" t="n">
        <f aca="false">IF(Q147="","",Q147-N(P147))</f>
        <v>-0</v>
      </c>
      <c r="S147" s="5" t="str">
        <f aca="false">IF(L147="","",IF(ISNUMBER(SEARCH("25-26",L147)),"25-26",IF(ISNUMBER(SEARCH("24-25",L147)),"24-25","other")))</f>
        <v>25-26</v>
      </c>
      <c r="T147" s="5"/>
      <c r="U147" s="13"/>
      <c r="V147" s="5"/>
      <c r="W147" s="5" t="str">
        <f aca="false">IF(AND(R147&lt;&gt;"",ABS(R147)&gt;0.05),"CO2e not kWh x factor",IF(V147="kWh differs from source","Virtual meter not mirroring",IF(AND(D147="Certificates - Location [kWh]",S147="24-25"),"Certificate on 24-25 factor","OK")))</f>
        <v>OK</v>
      </c>
    </row>
    <row r="148" customFormat="false" ht="15" hidden="false" customHeight="false" outlineLevel="0" collapsed="false">
      <c r="A148" s="5" t="s">
        <v>34</v>
      </c>
      <c r="B148" s="5" t="s">
        <v>130</v>
      </c>
      <c r="C148" s="5" t="s">
        <v>95</v>
      </c>
      <c r="D148" s="5" t="s">
        <v>75</v>
      </c>
      <c r="E148" s="5" t="s">
        <v>131</v>
      </c>
      <c r="F148" s="5"/>
      <c r="G148" s="5"/>
      <c r="H148" s="5" t="s">
        <v>4</v>
      </c>
      <c r="I148" s="13" t="n">
        <v>651.3563</v>
      </c>
      <c r="J148" s="5" t="n">
        <v>100</v>
      </c>
      <c r="K148" s="5" t="n">
        <v>0</v>
      </c>
      <c r="L148" s="5" t="s">
        <v>76</v>
      </c>
      <c r="M148" s="14" t="n">
        <v>0.64</v>
      </c>
      <c r="N148" s="15" t="n">
        <v>0.4169</v>
      </c>
      <c r="O148" s="15"/>
      <c r="P148" s="15" t="n">
        <v>0.4169</v>
      </c>
      <c r="Q148" s="15" t="n">
        <f aca="false">IF(M148="","",I148*M148/1000)</f>
        <v>0.416868032</v>
      </c>
      <c r="R148" s="15" t="n">
        <f aca="false">IF(Q148="","",Q148-N(P148))</f>
        <v>-3.19679999999378E-005</v>
      </c>
      <c r="S148" s="5" t="str">
        <f aca="false">IF(L148="","",IF(ISNUMBER(SEARCH("25-26",L148)),"25-26",IF(ISNUMBER(SEARCH("24-25",L148)),"24-25","other")))</f>
        <v>25-26</v>
      </c>
      <c r="T148" s="5"/>
      <c r="U148" s="13"/>
      <c r="V148" s="5"/>
      <c r="W148" s="5" t="str">
        <f aca="false">IF(AND(R148&lt;&gt;"",ABS(R148)&gt;0.05),"CO2e not kWh x factor",IF(V148="kWh differs from source","Virtual meter not mirroring",IF(AND(D148="Certificates - Location [kWh]",S148="24-25"),"Certificate on 24-25 factor","OK")))</f>
        <v>OK</v>
      </c>
    </row>
    <row r="149" customFormat="false" ht="15" hidden="false" customHeight="false" outlineLevel="0" collapsed="false">
      <c r="A149" s="5" t="s">
        <v>34</v>
      </c>
      <c r="B149" s="5" t="s">
        <v>130</v>
      </c>
      <c r="C149" s="5" t="s">
        <v>95</v>
      </c>
      <c r="D149" s="5" t="s">
        <v>75</v>
      </c>
      <c r="E149" s="5" t="s">
        <v>131</v>
      </c>
      <c r="F149" s="5"/>
      <c r="G149" s="5"/>
      <c r="H149" s="5" t="s">
        <v>5</v>
      </c>
      <c r="I149" s="13" t="n">
        <v>1122.5581</v>
      </c>
      <c r="J149" s="5" t="n">
        <v>100</v>
      </c>
      <c r="K149" s="5" t="n">
        <v>0</v>
      </c>
      <c r="L149" s="5" t="s">
        <v>76</v>
      </c>
      <c r="M149" s="14" t="n">
        <v>0.64</v>
      </c>
      <c r="N149" s="15" t="n">
        <v>0.7184</v>
      </c>
      <c r="O149" s="15"/>
      <c r="P149" s="15" t="n">
        <v>0.7184</v>
      </c>
      <c r="Q149" s="15" t="n">
        <f aca="false">IF(M149="","",I149*M149/1000)</f>
        <v>0.718437184</v>
      </c>
      <c r="R149" s="15" t="n">
        <f aca="false">IF(Q149="","",Q149-N(P149))</f>
        <v>3.71839999999679E-005</v>
      </c>
      <c r="S149" s="5" t="str">
        <f aca="false">IF(L149="","",IF(ISNUMBER(SEARCH("25-26",L149)),"25-26",IF(ISNUMBER(SEARCH("24-25",L149)),"24-25","other")))</f>
        <v>25-26</v>
      </c>
      <c r="T149" s="5"/>
      <c r="U149" s="13"/>
      <c r="V149" s="5"/>
      <c r="W149" s="5" t="str">
        <f aca="false">IF(AND(R149&lt;&gt;"",ABS(R149)&gt;0.05),"CO2e not kWh x factor",IF(V149="kWh differs from source","Virtual meter not mirroring",IF(AND(D149="Certificates - Location [kWh]",S149="24-25"),"Certificate on 24-25 factor","OK")))</f>
        <v>OK</v>
      </c>
    </row>
    <row r="150" customFormat="false" ht="15" hidden="false" customHeight="false" outlineLevel="0" collapsed="false">
      <c r="A150" s="5" t="s">
        <v>34</v>
      </c>
      <c r="B150" s="5" t="s">
        <v>130</v>
      </c>
      <c r="C150" s="5" t="s">
        <v>95</v>
      </c>
      <c r="D150" s="5" t="s">
        <v>75</v>
      </c>
      <c r="E150" s="5" t="s">
        <v>131</v>
      </c>
      <c r="F150" s="5"/>
      <c r="G150" s="5"/>
      <c r="H150" s="5" t="s">
        <v>6</v>
      </c>
      <c r="I150" s="13" t="n">
        <v>1414.2869</v>
      </c>
      <c r="J150" s="5" t="n">
        <v>100</v>
      </c>
      <c r="K150" s="5" t="n">
        <v>0</v>
      </c>
      <c r="L150" s="5" t="s">
        <v>76</v>
      </c>
      <c r="M150" s="14" t="n">
        <v>0.64</v>
      </c>
      <c r="N150" s="15" t="n">
        <v>0.9051</v>
      </c>
      <c r="O150" s="15"/>
      <c r="P150" s="15" t="n">
        <v>0.9051</v>
      </c>
      <c r="Q150" s="15" t="n">
        <f aca="false">IF(M150="","",I150*M150/1000)</f>
        <v>0.905143616</v>
      </c>
      <c r="R150" s="15" t="n">
        <f aca="false">IF(Q150="","",Q150-N(P150))</f>
        <v>4.36160000000241E-005</v>
      </c>
      <c r="S150" s="5" t="str">
        <f aca="false">IF(L150="","",IF(ISNUMBER(SEARCH("25-26",L150)),"25-26",IF(ISNUMBER(SEARCH("24-25",L150)),"24-25","other")))</f>
        <v>25-26</v>
      </c>
      <c r="T150" s="5"/>
      <c r="U150" s="13"/>
      <c r="V150" s="5"/>
      <c r="W150" s="5" t="str">
        <f aca="false">IF(AND(R150&lt;&gt;"",ABS(R150)&gt;0.05),"CO2e not kWh x factor",IF(V150="kWh differs from source","Virtual meter not mirroring",IF(AND(D150="Certificates - Location [kWh]",S150="24-25"),"Certificate on 24-25 factor","OK")))</f>
        <v>OK</v>
      </c>
    </row>
    <row r="151" customFormat="false" ht="15" hidden="false" customHeight="false" outlineLevel="0" collapsed="false">
      <c r="A151" s="5" t="s">
        <v>34</v>
      </c>
      <c r="B151" s="5" t="s">
        <v>130</v>
      </c>
      <c r="C151" s="5" t="s">
        <v>95</v>
      </c>
      <c r="D151" s="5" t="s">
        <v>75</v>
      </c>
      <c r="E151" s="5" t="s">
        <v>131</v>
      </c>
      <c r="F151" s="5"/>
      <c r="G151" s="5"/>
      <c r="H151" s="5" t="s">
        <v>7</v>
      </c>
      <c r="I151" s="13" t="n">
        <v>1368.6647</v>
      </c>
      <c r="J151" s="5" t="n">
        <v>100</v>
      </c>
      <c r="K151" s="5" t="n">
        <v>0</v>
      </c>
      <c r="L151" s="5" t="s">
        <v>76</v>
      </c>
      <c r="M151" s="14" t="n">
        <v>0.64</v>
      </c>
      <c r="N151" s="15" t="n">
        <v>0.8759</v>
      </c>
      <c r="O151" s="15"/>
      <c r="P151" s="15" t="n">
        <v>0.8759</v>
      </c>
      <c r="Q151" s="15" t="n">
        <f aca="false">IF(M151="","",I151*M151/1000)</f>
        <v>0.875945408</v>
      </c>
      <c r="R151" s="15" t="n">
        <f aca="false">IF(Q151="","",Q151-N(P151))</f>
        <v>4.54080000000801E-005</v>
      </c>
      <c r="S151" s="5" t="str">
        <f aca="false">IF(L151="","",IF(ISNUMBER(SEARCH("25-26",L151)),"25-26",IF(ISNUMBER(SEARCH("24-25",L151)),"24-25","other")))</f>
        <v>25-26</v>
      </c>
      <c r="T151" s="5"/>
      <c r="U151" s="13"/>
      <c r="V151" s="5"/>
      <c r="W151" s="5" t="str">
        <f aca="false">IF(AND(R151&lt;&gt;"",ABS(R151)&gt;0.05),"CO2e not kWh x factor",IF(V151="kWh differs from source","Virtual meter not mirroring",IF(AND(D151="Certificates - Location [kWh]",S151="24-25"),"Certificate on 24-25 factor","OK")))</f>
        <v>OK</v>
      </c>
    </row>
    <row r="152" customFormat="false" ht="15" hidden="false" customHeight="false" outlineLevel="0" collapsed="false">
      <c r="A152" s="5" t="s">
        <v>34</v>
      </c>
      <c r="B152" s="5" t="s">
        <v>130</v>
      </c>
      <c r="C152" s="5" t="s">
        <v>95</v>
      </c>
      <c r="D152" s="5" t="s">
        <v>75</v>
      </c>
      <c r="E152" s="5" t="s">
        <v>131</v>
      </c>
      <c r="F152" s="5"/>
      <c r="G152" s="5"/>
      <c r="H152" s="5" t="s">
        <v>8</v>
      </c>
      <c r="I152" s="13" t="n">
        <v>1414.2878</v>
      </c>
      <c r="J152" s="5" t="n">
        <v>29.03</v>
      </c>
      <c r="K152" s="5" t="n">
        <v>70.96</v>
      </c>
      <c r="L152" s="5" t="s">
        <v>76</v>
      </c>
      <c r="M152" s="14" t="n">
        <v>0.64</v>
      </c>
      <c r="N152" s="15" t="n">
        <v>0.9051</v>
      </c>
      <c r="O152" s="15"/>
      <c r="P152" s="15" t="n">
        <v>0.9051</v>
      </c>
      <c r="Q152" s="15" t="n">
        <f aca="false">IF(M152="","",I152*M152/1000)</f>
        <v>0.905144192</v>
      </c>
      <c r="R152" s="15" t="n">
        <f aca="false">IF(Q152="","",Q152-N(P152))</f>
        <v>4.4192000000054E-005</v>
      </c>
      <c r="S152" s="5" t="str">
        <f aca="false">IF(L152="","",IF(ISNUMBER(SEARCH("25-26",L152)),"25-26",IF(ISNUMBER(SEARCH("24-25",L152)),"24-25","other")))</f>
        <v>25-26</v>
      </c>
      <c r="T152" s="5"/>
      <c r="U152" s="13"/>
      <c r="V152" s="5"/>
      <c r="W152" s="5" t="str">
        <f aca="false">IF(AND(R152&lt;&gt;"",ABS(R152)&gt;0.05),"CO2e not kWh x factor",IF(V152="kWh differs from source","Virtual meter not mirroring",IF(AND(D152="Certificates - Location [kWh]",S152="24-25"),"Certificate on 24-25 factor","OK")))</f>
        <v>OK</v>
      </c>
    </row>
    <row r="153" customFormat="false" ht="15" hidden="false" customHeight="false" outlineLevel="0" collapsed="false">
      <c r="A153" s="5" t="s">
        <v>34</v>
      </c>
      <c r="B153" s="5" t="s">
        <v>130</v>
      </c>
      <c r="C153" s="5" t="s">
        <v>95</v>
      </c>
      <c r="D153" s="5" t="s">
        <v>75</v>
      </c>
      <c r="E153" s="5" t="s">
        <v>131</v>
      </c>
      <c r="F153" s="5"/>
      <c r="G153" s="5"/>
      <c r="H153" s="5" t="s">
        <v>9</v>
      </c>
      <c r="I153" s="13" t="n">
        <v>1362.2795</v>
      </c>
      <c r="J153" s="5" t="n">
        <v>0</v>
      </c>
      <c r="K153" s="5" t="n">
        <v>100</v>
      </c>
      <c r="L153" s="5" t="s">
        <v>76</v>
      </c>
      <c r="M153" s="14" t="n">
        <v>0.64</v>
      </c>
      <c r="N153" s="15" t="n">
        <v>0.8719</v>
      </c>
      <c r="O153" s="15"/>
      <c r="P153" s="15" t="n">
        <v>0.8719</v>
      </c>
      <c r="Q153" s="15" t="n">
        <f aca="false">IF(M153="","",I153*M153/1000)</f>
        <v>0.87185888</v>
      </c>
      <c r="R153" s="15" t="n">
        <f aca="false">IF(Q153="","",Q153-N(P153))</f>
        <v>-4.11199999998946E-005</v>
      </c>
      <c r="S153" s="5" t="str">
        <f aca="false">IF(L153="","",IF(ISNUMBER(SEARCH("25-26",L153)),"25-26",IF(ISNUMBER(SEARCH("24-25",L153)),"24-25","other")))</f>
        <v>25-26</v>
      </c>
      <c r="T153" s="5"/>
      <c r="U153" s="13"/>
      <c r="V153" s="5"/>
      <c r="W153" s="5" t="str">
        <f aca="false">IF(AND(R153&lt;&gt;"",ABS(R153)&gt;0.05),"CO2e not kWh x factor",IF(V153="kWh differs from source","Virtual meter not mirroring",IF(AND(D153="Certificates - Location [kWh]",S153="24-25"),"Certificate on 24-25 factor","OK")))</f>
        <v>OK</v>
      </c>
    </row>
  </sheetData>
  <autoFilter ref="A1:W153"/>
  <conditionalFormatting sqref="W2:W153">
    <cfRule type="cellIs" priority="2" operator="equal" aboveAverage="0" equalAverage="0" bottom="0" percent="0" rank="0" text="" dxfId="7">
      <formula>"OK"</formula>
    </cfRule>
    <cfRule type="cellIs" priority="3" operator="equal" aboveAverage="0" equalAverage="0" bottom="0" percent="0" rank="0" text="" dxfId="1">
      <formula>"Certificate on 24-25 factor"</formula>
    </cfRule>
    <cfRule type="expression" priority="4" aboveAverage="0" equalAverage="0" bottom="0" percent="0" rank="0" text="" dxfId="0">
      <formula>AND(W2&lt;&gt;"OK",W2&lt;&gt;"Certificate on 24-25 factor")</formula>
    </cfRule>
  </conditionalFormatting>
  <conditionalFormatting sqref="V2:V153">
    <cfRule type="cellIs" priority="5" operator="equal" aboveAverage="0" equalAverage="0" bottom="0" percent="0" rank="0" text="" dxfId="7">
      <formula>"Mirrors source"</formula>
    </cfRule>
    <cfRule type="cellIs" priority="6" operator="equal" aboveAverage="0" equalAverage="0" bottom="0" percent="0" rank="0" text="" dxfId="0">
      <formula>"kWh differs from source"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7" min="7" style="0" width="30"/>
    <col collapsed="false" customWidth="true" hidden="false" outlineLevel="0" max="8" min="8" style="0" width="8"/>
    <col collapsed="false" customWidth="true" hidden="false" outlineLevel="0" max="10" min="9" style="0" width="16"/>
    <col collapsed="false" customWidth="true" hidden="false" outlineLevel="0" max="13" min="11" style="0" width="13"/>
    <col collapsed="false" customWidth="true" hidden="false" outlineLevel="0" max="15" min="14" style="0" width="14"/>
    <col collapsed="false" customWidth="true" hidden="false" outlineLevel="0" max="16" min="16" style="0" width="70"/>
  </cols>
  <sheetData>
    <row r="1" customFormat="false" ht="31.5" hidden="false" customHeight="true" outlineLevel="0" collapsed="false">
      <c r="A1" s="4" t="s">
        <v>25</v>
      </c>
      <c r="B1" s="4" t="s">
        <v>132</v>
      </c>
      <c r="C1" s="4" t="s">
        <v>133</v>
      </c>
      <c r="D1" s="4" t="s">
        <v>134</v>
      </c>
      <c r="E1" s="4" t="s">
        <v>135</v>
      </c>
      <c r="F1" s="4" t="s">
        <v>136</v>
      </c>
      <c r="G1" s="4" t="s">
        <v>137</v>
      </c>
      <c r="H1" s="4" t="s">
        <v>138</v>
      </c>
      <c r="I1" s="4" t="s">
        <v>139</v>
      </c>
      <c r="J1" s="4" t="s">
        <v>140</v>
      </c>
      <c r="K1" s="4" t="s">
        <v>141</v>
      </c>
      <c r="L1" s="4" t="s">
        <v>142</v>
      </c>
      <c r="M1" s="4" t="s">
        <v>143</v>
      </c>
      <c r="N1" s="4" t="s">
        <v>144</v>
      </c>
      <c r="O1" s="4" t="s">
        <v>145</v>
      </c>
      <c r="P1" s="4" t="s">
        <v>146</v>
      </c>
    </row>
    <row r="2" customFormat="false" ht="43.5" hidden="false" customHeight="true" outlineLevel="0" collapsed="false">
      <c r="A2" s="5" t="s">
        <v>27</v>
      </c>
      <c r="B2" s="5" t="s">
        <v>147</v>
      </c>
      <c r="C2" s="5" t="s">
        <v>148</v>
      </c>
      <c r="D2" s="5" t="s">
        <v>72</v>
      </c>
      <c r="E2" s="5" t="s">
        <v>69</v>
      </c>
      <c r="F2" s="5" t="s">
        <v>70</v>
      </c>
      <c r="G2" s="5" t="s">
        <v>77</v>
      </c>
      <c r="H2" s="5" t="str">
        <f aca="false">IF(G2="","n/a",IF(COUNTIFS(Accounts!$B:$B,G2)&gt;0,"Yes","No"))</f>
        <v>Yes</v>
      </c>
      <c r="I2" s="5" t="s">
        <v>82</v>
      </c>
      <c r="J2" s="5" t="s">
        <v>76</v>
      </c>
      <c r="K2" s="13" t="n">
        <f aca="false">IF(E2="","",SUMIFS(Accounts!$I:$I,Accounts!$B:$B,E2,Accounts!$H:$H,"Jul 26",Accounts!$D:$D,"Electricity [kWh]"))</f>
        <v>283780.3</v>
      </c>
      <c r="L2" s="6" t="n">
        <f aca="false">SUMIFS(Accounts!$N:$N,Accounts!$A:$A,A2,Accounts!$H:$H,"Jul 26")</f>
        <v>198.5798</v>
      </c>
      <c r="M2" s="6" t="n">
        <f aca="false">SUMIFS(Accounts!$O:$O,Accounts!$A:$A,A2,Accounts!$H:$H,"Jul 26")</f>
        <v>-204.7855</v>
      </c>
      <c r="N2" s="6" t="n">
        <f aca="false">L2+M2</f>
        <v>-6.20569999999998</v>
      </c>
      <c r="O2" s="16" t="s">
        <v>64</v>
      </c>
      <c r="P2" s="17" t="s">
        <v>149</v>
      </c>
    </row>
    <row r="3" customFormat="false" ht="43.5" hidden="false" customHeight="true" outlineLevel="0" collapsed="false">
      <c r="A3" s="5" t="s">
        <v>27</v>
      </c>
      <c r="B3" s="5" t="s">
        <v>150</v>
      </c>
      <c r="C3" s="5" t="s">
        <v>148</v>
      </c>
      <c r="D3" s="5" t="s">
        <v>72</v>
      </c>
      <c r="E3" s="5" t="s">
        <v>83</v>
      </c>
      <c r="F3" s="5" t="s">
        <v>70</v>
      </c>
      <c r="G3" s="5" t="s">
        <v>84</v>
      </c>
      <c r="H3" s="5" t="str">
        <f aca="false">IF(G3="","n/a",IF(COUNTIFS(Accounts!$B:$B,G3)&gt;0,"Yes","No"))</f>
        <v>Yes</v>
      </c>
      <c r="I3" s="5" t="s">
        <v>82</v>
      </c>
      <c r="J3" s="5" t="s">
        <v>76</v>
      </c>
      <c r="K3" s="13" t="n">
        <f aca="false">IF(E3="","",SUMIFS(Accounts!$I:$I,Accounts!$B:$B,E3,Accounts!$H:$H,"Jul 26",Accounts!$D:$D,"Electricity [kWh]"))</f>
        <v>26500.7</v>
      </c>
      <c r="L3" s="6" t="n">
        <f aca="false">SUMIFS(Accounts!$N:$N,Accounts!$A:$A,A3,Accounts!$H:$H,"Jul 26")</f>
        <v>198.5798</v>
      </c>
      <c r="M3" s="6" t="n">
        <f aca="false">SUMIFS(Accounts!$O:$O,Accounts!$A:$A,A3,Accounts!$H:$H,"Jul 26")</f>
        <v>-204.7855</v>
      </c>
      <c r="N3" s="6" t="n">
        <f aca="false">L3+M3</f>
        <v>-6.20569999999998</v>
      </c>
      <c r="O3" s="16" t="s">
        <v>64</v>
      </c>
      <c r="P3" s="17" t="s">
        <v>151</v>
      </c>
    </row>
    <row r="4" customFormat="false" ht="43.5" hidden="false" customHeight="true" outlineLevel="0" collapsed="false">
      <c r="A4" s="5" t="s">
        <v>31</v>
      </c>
      <c r="B4" s="5" t="s">
        <v>152</v>
      </c>
      <c r="C4" s="5" t="s">
        <v>148</v>
      </c>
      <c r="D4" s="5" t="s">
        <v>153</v>
      </c>
      <c r="E4" s="5" t="s">
        <v>117</v>
      </c>
      <c r="F4" s="5" t="s">
        <v>95</v>
      </c>
      <c r="G4" s="5" t="s">
        <v>119</v>
      </c>
      <c r="H4" s="5" t="str">
        <f aca="false">IF(G4="","n/a",IF(COUNTIFS(Accounts!$B:$B,G4)&gt;0,"Yes","No"))</f>
        <v>Yes</v>
      </c>
      <c r="I4" s="5" t="s">
        <v>120</v>
      </c>
      <c r="J4" s="5" t="s">
        <v>112</v>
      </c>
      <c r="K4" s="13" t="n">
        <f aca="false">IF(E4="","",SUMIFS(Accounts!$I:$I,Accounts!$B:$B,E4,Accounts!$H:$H,"Jul 26",Accounts!$D:$D,"Electricity [kWh]"))</f>
        <v>277212.1</v>
      </c>
      <c r="L4" s="6" t="n">
        <f aca="false">SUMIFS(Accounts!$N:$N,Accounts!$A:$A,A4,Accounts!$H:$H,"Jul 26")</f>
        <v>93.6872</v>
      </c>
      <c r="M4" s="6" t="n">
        <f aca="false">SUMIFS(Accounts!$O:$O,Accounts!$A:$A,A4,Accounts!$H:$H,"Jul 26")</f>
        <v>-196.8206</v>
      </c>
      <c r="N4" s="6" t="n">
        <f aca="false">L4+M4</f>
        <v>-103.1334</v>
      </c>
      <c r="O4" s="16" t="s">
        <v>154</v>
      </c>
      <c r="P4" s="17" t="s">
        <v>155</v>
      </c>
    </row>
    <row r="5" customFormat="false" ht="43.5" hidden="false" customHeight="true" outlineLevel="0" collapsed="false">
      <c r="A5" s="5" t="s">
        <v>31</v>
      </c>
      <c r="B5" s="5" t="s">
        <v>156</v>
      </c>
      <c r="C5" s="5" t="s">
        <v>157</v>
      </c>
      <c r="D5" s="5" t="s">
        <v>153</v>
      </c>
      <c r="E5" s="5"/>
      <c r="F5" s="5"/>
      <c r="G5" s="5"/>
      <c r="H5" s="5" t="str">
        <f aca="false">IF(G5="","n/a",IF(COUNTIFS(Accounts!$B:$B,G5)&gt;0,"Yes","No"))</f>
        <v>n/a</v>
      </c>
      <c r="I5" s="5"/>
      <c r="J5" s="5" t="s">
        <v>112</v>
      </c>
      <c r="K5" s="13" t="str">
        <f aca="false">IF(E5="","",SUMIFS(Accounts!$I:$I,Accounts!$B:$B,E5,Accounts!$H:$H,"Jul 26",Accounts!$D:$D,"Electricity [kWh]"))</f>
        <v/>
      </c>
      <c r="L5" s="6" t="n">
        <f aca="false">SUMIFS(Accounts!$N:$N,Accounts!$A:$A,A5,Accounts!$H:$H,"Jul 26")</f>
        <v>93.6872</v>
      </c>
      <c r="M5" s="6" t="n">
        <f aca="false">SUMIFS(Accounts!$O:$O,Accounts!$A:$A,A5,Accounts!$H:$H,"Jul 26")</f>
        <v>-196.8206</v>
      </c>
      <c r="N5" s="6" t="n">
        <f aca="false">L5+M5</f>
        <v>-103.1334</v>
      </c>
      <c r="O5" s="16" t="s">
        <v>158</v>
      </c>
      <c r="P5" s="17" t="s">
        <v>159</v>
      </c>
    </row>
    <row r="6" customFormat="false" ht="43.5" hidden="false" customHeight="true" outlineLevel="0" collapsed="false">
      <c r="A6" s="5" t="s">
        <v>33</v>
      </c>
      <c r="B6" s="5" t="s">
        <v>160</v>
      </c>
      <c r="C6" s="5" t="s">
        <v>161</v>
      </c>
      <c r="D6" s="5" t="s">
        <v>153</v>
      </c>
      <c r="E6" s="5" t="s">
        <v>129</v>
      </c>
      <c r="F6" s="5" t="s">
        <v>95</v>
      </c>
      <c r="G6" s="5"/>
      <c r="H6" s="5" t="str">
        <f aca="false">IF(G6="","n/a",IF(COUNTIFS(Accounts!$B:$B,G6)&gt;0,"Yes","No"))</f>
        <v>n/a</v>
      </c>
      <c r="I6" s="5"/>
      <c r="J6" s="5" t="s">
        <v>112</v>
      </c>
      <c r="K6" s="13" t="n">
        <f aca="false">IF(E6="","",SUMIFS(Accounts!$I:$I,Accounts!$B:$B,E6,Accounts!$H:$H,"Jul 26",Accounts!$D:$D,"Electricity [kWh]"))</f>
        <v>248501.6</v>
      </c>
      <c r="L6" s="6" t="n">
        <f aca="false">SUMIFS(Accounts!$N:$N,Accounts!$A:$A,A6,Accounts!$H:$H,"Jul 26")</f>
        <v>166.4961</v>
      </c>
      <c r="M6" s="6" t="n">
        <f aca="false">SUMIFS(Accounts!$O:$O,Accounts!$A:$A,A6,Accounts!$H:$H,"Jul 26")</f>
        <v>0</v>
      </c>
      <c r="N6" s="6" t="n">
        <f aca="false">L6+M6</f>
        <v>166.4961</v>
      </c>
      <c r="O6" s="16" t="s">
        <v>162</v>
      </c>
      <c r="P6" s="17" t="s">
        <v>163</v>
      </c>
    </row>
    <row r="7" customFormat="false" ht="43.5" hidden="false" customHeight="true" outlineLevel="0" collapsed="false">
      <c r="A7" s="5" t="s">
        <v>29</v>
      </c>
      <c r="B7" s="5" t="s">
        <v>164</v>
      </c>
      <c r="C7" s="5" t="s">
        <v>165</v>
      </c>
      <c r="D7" s="5" t="s">
        <v>166</v>
      </c>
      <c r="E7" s="5" t="s">
        <v>94</v>
      </c>
      <c r="F7" s="5" t="s">
        <v>95</v>
      </c>
      <c r="G7" s="5"/>
      <c r="H7" s="5" t="str">
        <f aca="false">IF(G7="","n/a",IF(COUNTIFS(Accounts!$B:$B,G7)&gt;0,"Yes","No"))</f>
        <v>n/a</v>
      </c>
      <c r="I7" s="5"/>
      <c r="J7" s="5" t="s">
        <v>76</v>
      </c>
      <c r="K7" s="13" t="n">
        <f aca="false">IF(E7="","",SUMIFS(Accounts!$I:$I,Accounts!$B:$B,E7,Accounts!$H:$H,"Jul 26",Accounts!$D:$D,"Electricity [kWh]"))</f>
        <v>258866.97</v>
      </c>
      <c r="L7" s="6" t="n">
        <f aca="false">SUMIFS(Accounts!$N:$N,Accounts!$A:$A,A7,Accounts!$H:$H,"Jul 26")</f>
        <v>98.7423</v>
      </c>
      <c r="M7" s="6" t="n">
        <f aca="false">SUMIFS(Accounts!$O:$O,Accounts!$A:$A,A7,Accounts!$H:$H,"Jul 26")</f>
        <v>0</v>
      </c>
      <c r="N7" s="6" t="n">
        <f aca="false">L7+M7</f>
        <v>98.7423</v>
      </c>
      <c r="O7" s="16" t="s">
        <v>167</v>
      </c>
      <c r="P7" s="17" t="s">
        <v>168</v>
      </c>
    </row>
    <row r="8" customFormat="false" ht="43.5" hidden="false" customHeight="true" outlineLevel="0" collapsed="false">
      <c r="A8" s="5" t="s">
        <v>30</v>
      </c>
      <c r="B8" s="5"/>
      <c r="C8" s="5" t="s">
        <v>165</v>
      </c>
      <c r="D8" s="5"/>
      <c r="E8" s="5" t="s">
        <v>105</v>
      </c>
      <c r="F8" s="5" t="s">
        <v>169</v>
      </c>
      <c r="G8" s="5" t="s">
        <v>106</v>
      </c>
      <c r="H8" s="5" t="str">
        <f aca="false">IF(G8="","n/a",IF(COUNTIFS(Accounts!$B:$B,G8)&gt;0,"Yes","No"))</f>
        <v>Yes</v>
      </c>
      <c r="I8" s="5" t="s">
        <v>88</v>
      </c>
      <c r="J8" s="5" t="s">
        <v>93</v>
      </c>
      <c r="K8" s="13" t="n">
        <f aca="false">IF(E8="","",SUMIFS(Accounts!$I:$I,Accounts!$B:$B,E8,Accounts!$H:$H,"Jul 26",Accounts!$D:$D,"Electricity [kWh]"))</f>
        <v>219172</v>
      </c>
      <c r="L8" s="6" t="n">
        <f aca="false">SUMIFS(Accounts!$N:$N,Accounts!$A:$A,A8,Accounts!$H:$H,"Jul 26")</f>
        <v>170.9542</v>
      </c>
      <c r="M8" s="6" t="n">
        <f aca="false">SUMIFS(Accounts!$O:$O,Accounts!$A:$A,A8,Accounts!$H:$H,"Jul 26")</f>
        <v>-170.9542</v>
      </c>
      <c r="N8" s="6" t="n">
        <f aca="false">L8+M8</f>
        <v>0</v>
      </c>
      <c r="O8" s="16" t="s">
        <v>167</v>
      </c>
      <c r="P8" s="17" t="s">
        <v>170</v>
      </c>
    </row>
    <row r="9" customFormat="false" ht="43.5" hidden="false" customHeight="true" outlineLevel="0" collapsed="false">
      <c r="A9" s="5" t="s">
        <v>28</v>
      </c>
      <c r="B9" s="5"/>
      <c r="C9" s="5" t="s">
        <v>165</v>
      </c>
      <c r="D9" s="5"/>
      <c r="E9" s="5" t="s">
        <v>89</v>
      </c>
      <c r="F9" s="5" t="s">
        <v>169</v>
      </c>
      <c r="G9" s="5" t="s">
        <v>85</v>
      </c>
      <c r="H9" s="5" t="str">
        <f aca="false">IF(G9="","n/a",IF(COUNTIFS(Accounts!$B:$B,G9)&gt;0,"Yes","No"))</f>
        <v>Yes</v>
      </c>
      <c r="I9" s="5" t="s">
        <v>88</v>
      </c>
      <c r="J9" s="5" t="s">
        <v>93</v>
      </c>
      <c r="K9" s="13" t="n">
        <f aca="false">IF(E9="","",SUMIFS(Accounts!$I:$I,Accounts!$B:$B,E9,Accounts!$H:$H,"Jul 26",Accounts!$D:$D,"Electricity [kWh]"))</f>
        <v>206.5623</v>
      </c>
      <c r="L9" s="6" t="n">
        <f aca="false">SUMIFS(Accounts!$N:$N,Accounts!$A:$A,A9,Accounts!$H:$H,"Jul 26")</f>
        <v>0.1611</v>
      </c>
      <c r="M9" s="6" t="n">
        <f aca="false">SUMIFS(Accounts!$O:$O,Accounts!$A:$A,A9,Accounts!$H:$H,"Jul 26")</f>
        <v>-0.1611</v>
      </c>
      <c r="N9" s="6" t="n">
        <f aca="false">L9+M9</f>
        <v>0</v>
      </c>
      <c r="O9" s="16" t="s">
        <v>167</v>
      </c>
      <c r="P9" s="17" t="s">
        <v>171</v>
      </c>
    </row>
    <row r="11" customFormat="false" ht="15" hidden="false" customHeight="false" outlineLevel="0" collapsed="false">
      <c r="A11" s="9" t="s">
        <v>172</v>
      </c>
    </row>
  </sheetData>
  <conditionalFormatting sqref="O2:O9">
    <cfRule type="cellIs" priority="2" operator="equal" aboveAverage="0" equalAverage="0" bottom="0" percent="0" rank="0" text="" dxfId="7">
      <formula>"OK"</formula>
    </cfRule>
    <cfRule type="cellIs" priority="3" operator="equal" aboveAverage="0" equalAverage="0" bottom="0" percent="0" rank="0" text="" dxfId="1">
      <formula>"Factor vintage"</formula>
    </cfRule>
    <cfRule type="cellIs" priority="4" operator="equal" aboveAverage="0" equalAverage="0" bottom="0" percent="0" rank="0" text="" dxfId="1">
      <formula>"Confirm bill"</formula>
    </cfRule>
    <cfRule type="expression" priority="5" aboveAverage="0" equalAverage="0" bottom="0" percent="0" rank="0" text="" dxfId="0">
      <formula>OR(O2="Over-credited",O2="Nothing recording")</formula>
    </cfRule>
  </conditionalFormatting>
  <conditionalFormatting sqref="N2:N9">
    <cfRule type="cellIs" priority="6" operator="lessThan" aboveAverage="0" equalAverage="0" bottom="0" percent="0" rank="0" text="" dxfId="0">
      <formula>-1</formula>
    </cfRule>
  </conditionalFormatting>
  <conditionalFormatting sqref="H2:H9">
    <cfRule type="cellIs" priority="7" operator="equal" aboveAverage="0" equalAverage="0" bottom="0" percent="0" rank="0" text="" dxfId="0">
      <formula>"No"</formula>
    </cfRule>
  </conditionalFormatting>
  <dataValidations count="1">
    <dataValidation allowBlank="true" errorStyle="stop" operator="between" showDropDown="false" showErrorMessage="false" showInputMessage="false" sqref="O2:O9" type="list">
      <formula1>"OK,Factor vintage,Over-credited,Nothing recording,Confirm bill,Open"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50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31.5" hidden="false" customHeight="true" outlineLevel="0" collapsed="false">
      <c r="A1" s="4" t="s">
        <v>173</v>
      </c>
      <c r="B1" s="4" t="s">
        <v>25</v>
      </c>
      <c r="C1" s="4" t="s">
        <v>174</v>
      </c>
      <c r="D1" s="4" t="s">
        <v>175</v>
      </c>
      <c r="E1" s="4" t="s">
        <v>176</v>
      </c>
      <c r="F1" s="4" t="s">
        <v>177</v>
      </c>
      <c r="G1" s="4" t="s">
        <v>145</v>
      </c>
      <c r="H1" s="4" t="s">
        <v>178</v>
      </c>
    </row>
    <row r="2" customFormat="false" ht="69.75" hidden="false" customHeight="true" outlineLevel="0" collapsed="false">
      <c r="A2" s="5" t="n">
        <v>1</v>
      </c>
      <c r="B2" s="5" t="s">
        <v>179</v>
      </c>
      <c r="C2" s="17" t="s">
        <v>180</v>
      </c>
      <c r="D2" s="18" t="n">
        <v>282</v>
      </c>
      <c r="E2" s="17" t="s">
        <v>181</v>
      </c>
      <c r="F2" s="16"/>
      <c r="G2" s="16" t="s">
        <v>182</v>
      </c>
      <c r="H2" s="19"/>
    </row>
    <row r="3" customFormat="false" ht="69.75" hidden="false" customHeight="true" outlineLevel="0" collapsed="false">
      <c r="A3" s="5" t="n">
        <v>2</v>
      </c>
      <c r="B3" s="5" t="s">
        <v>31</v>
      </c>
      <c r="C3" s="17" t="s">
        <v>183</v>
      </c>
      <c r="D3" s="18" t="n">
        <v>-95</v>
      </c>
      <c r="E3" s="17" t="s">
        <v>184</v>
      </c>
      <c r="F3" s="16"/>
      <c r="G3" s="16" t="s">
        <v>182</v>
      </c>
      <c r="H3" s="19"/>
    </row>
    <row r="4" customFormat="false" ht="69.75" hidden="false" customHeight="true" outlineLevel="0" collapsed="false">
      <c r="A4" s="5" t="n">
        <v>3</v>
      </c>
      <c r="B4" s="5" t="s">
        <v>185</v>
      </c>
      <c r="C4" s="17" t="s">
        <v>186</v>
      </c>
      <c r="D4" s="18" t="n">
        <v>-17</v>
      </c>
      <c r="E4" s="17" t="s">
        <v>187</v>
      </c>
      <c r="F4" s="16"/>
      <c r="G4" s="16" t="s">
        <v>182</v>
      </c>
      <c r="H4" s="19"/>
    </row>
    <row r="5" customFormat="false" ht="69.75" hidden="false" customHeight="true" outlineLevel="0" collapsed="false">
      <c r="A5" s="5" t="n">
        <v>4</v>
      </c>
      <c r="B5" s="5" t="s">
        <v>31</v>
      </c>
      <c r="C5" s="17" t="s">
        <v>188</v>
      </c>
      <c r="D5" s="18" t="n">
        <v>-8</v>
      </c>
      <c r="E5" s="17" t="s">
        <v>189</v>
      </c>
      <c r="F5" s="16"/>
      <c r="G5" s="16" t="s">
        <v>182</v>
      </c>
      <c r="H5" s="19"/>
    </row>
    <row r="6" customFormat="false" ht="69.75" hidden="false" customHeight="true" outlineLevel="0" collapsed="false">
      <c r="A6" s="5" t="n">
        <v>5</v>
      </c>
      <c r="B6" s="5" t="s">
        <v>33</v>
      </c>
      <c r="C6" s="17" t="s">
        <v>190</v>
      </c>
      <c r="D6" s="18" t="n">
        <v>56</v>
      </c>
      <c r="E6" s="17" t="s">
        <v>191</v>
      </c>
      <c r="F6" s="16"/>
      <c r="G6" s="16" t="s">
        <v>182</v>
      </c>
      <c r="H6" s="19"/>
    </row>
    <row r="7" customFormat="false" ht="69.75" hidden="false" customHeight="true" outlineLevel="0" collapsed="false">
      <c r="A7" s="5" t="n">
        <v>6</v>
      </c>
      <c r="B7" s="5" t="s">
        <v>27</v>
      </c>
      <c r="C7" s="17" t="s">
        <v>192</v>
      </c>
      <c r="D7" s="18" t="n">
        <v>0</v>
      </c>
      <c r="E7" s="17" t="s">
        <v>193</v>
      </c>
      <c r="F7" s="16"/>
      <c r="G7" s="16" t="s">
        <v>182</v>
      </c>
      <c r="H7" s="19"/>
    </row>
    <row r="8" customFormat="false" ht="69.75" hidden="false" customHeight="true" outlineLevel="0" collapsed="false">
      <c r="A8" s="5" t="n">
        <v>7</v>
      </c>
      <c r="B8" s="5" t="s">
        <v>27</v>
      </c>
      <c r="C8" s="17" t="s">
        <v>194</v>
      </c>
      <c r="D8" s="18" t="n">
        <v>0</v>
      </c>
      <c r="E8" s="17" t="s">
        <v>195</v>
      </c>
      <c r="F8" s="16"/>
      <c r="G8" s="16" t="s">
        <v>182</v>
      </c>
      <c r="H8" s="19"/>
    </row>
    <row r="10" customFormat="false" ht="15" hidden="false" customHeight="false" outlineLevel="0" collapsed="false">
      <c r="A10" s="9" t="s">
        <v>196</v>
      </c>
    </row>
  </sheetData>
  <conditionalFormatting sqref="G2:G8">
    <cfRule type="cellIs" priority="2" operator="equal" aboveAverage="0" equalAverage="0" bottom="0" percent="0" rank="0" text="" dxfId="0">
      <formula>"Open"</formula>
    </cfRule>
    <cfRule type="cellIs" priority="3" operator="equal" aboveAverage="0" equalAverage="0" bottom="0" percent="0" rank="0" text="" dxfId="1">
      <formula>"In progress"</formula>
    </cfRule>
    <cfRule type="expression" priority="4" aboveAverage="0" equalAverage="0" bottom="0" percent="0" rank="0" text="" dxfId="7">
      <formula>OR(G2="Closed",G2="Not an issue")</formula>
    </cfRule>
  </conditionalFormatting>
  <dataValidations count="1">
    <dataValidation allowBlank="true" errorStyle="stop" operator="between" showDropDown="false" showErrorMessage="false" showInputMessage="false" sqref="G2:G8" type="list">
      <formula1>"Open,In progress,Closed,Not an issue"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2026-09-08T00:36:46Z</dcterms:created>
  <dc:creator/>
  <dc:description/>
  <dc:language>en-US</dc:language>
  <cp:lastModifiedBy/>
  <dcterms:modified xsi:type="dcterms:W3CDTF">2026-09-08T00:36:46Z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