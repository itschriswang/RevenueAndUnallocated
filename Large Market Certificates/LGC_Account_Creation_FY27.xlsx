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reate accounts" sheetId="2" state="visible" r:id="rId2"/>
    <sheet name="Close off" sheetId="3" state="visible" r:id="rId3"/>
    <sheet name="No action" sheetId="4" state="visible" r:id="rId4"/>
  </sheets>
  <definedNames>
    <definedName name="_xlnm._FilterDatabase" localSheetId="1" hidden="1">'Create accounts'!$A$4:$S$73</definedName>
    <definedName name="_xlnm.Print_Titles" localSheetId="1">'Create accounts'!$4:$4</definedName>
    <definedName name="_xlnm._FilterDatabase" localSheetId="2" hidden="1">'Close off'!$A$4:$O$18</definedName>
    <definedName name="_xlnm.Print_Titles" localSheetId="2">'Close off'!$4:$4</definedName>
    <definedName name="_xlnm._FilterDatabase" localSheetId="3" hidden="1">'No action'!$A$4:$G$16</definedName>
    <definedName name="_xlnm.Print_Titles" localSheetId="3">'No action'!$4:$4</definedName>
  </definedNames>
  <calcPr calcId="124519" fullCalcOnLoad="1"/>
</workbook>
</file>

<file path=xl/styles.xml><?xml version="1.0" encoding="utf-8"?>
<styleSheet xmlns="http://schemas.openxmlformats.org/spreadsheetml/2006/main">
  <numFmts count="3">
    <numFmt numFmtId="164" formatCode="yyyy-mm-dd"/>
    <numFmt numFmtId="165" formatCode="dd mmm yyyy"/>
    <numFmt numFmtId="166" formatCode="#,##0.0"/>
  </numFmts>
  <fonts count="9">
    <font>
      <name val="Calibri"/>
      <family val="2"/>
      <color theme="1"/>
      <sz val="11"/>
      <scheme val="minor"/>
    </font>
    <font>
      <b val="1"/>
      <color rgb="001F3864"/>
      <sz val="14"/>
    </font>
    <font>
      <i val="1"/>
      <color rgb="00595959"/>
      <sz val="9"/>
    </font>
    <font>
      <b val="1"/>
      <color rgb="00FFFFFF"/>
      <sz val="10"/>
    </font>
    <font>
      <sz val="10"/>
    </font>
    <font>
      <name val="Consolas"/>
      <sz val="10"/>
    </font>
    <font>
      <b val="1"/>
      <sz val="10"/>
    </font>
    <font>
      <b val="1"/>
      <color rgb="001F3864"/>
      <sz val="10"/>
    </font>
    <font>
      <b val="1"/>
      <color rgb="001F3864"/>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7" fillId="0" borderId="0" applyAlignment="1" pivotButton="0" quotePrefix="0" xfId="0">
      <alignment vertical="top"/>
    </xf>
    <xf numFmtId="0" fontId="4" fillId="0" borderId="0" applyAlignment="1" pivotButton="0" quotePrefix="0" xfId="0">
      <alignment vertical="top" wrapText="1"/>
    </xf>
    <xf numFmtId="0" fontId="8" fillId="0" borderId="0" pivotButton="0" quotePrefix="0" xfId="0"/>
    <xf numFmtId="0" fontId="4" fillId="0" borderId="0" pivotButton="0" quotePrefix="0" xfId="0"/>
    <xf numFmtId="0" fontId="6"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xf>
    <xf numFmtId="0" fontId="4" fillId="0" borderId="1" applyAlignment="1" pivotButton="0" quotePrefix="0" xfId="0">
      <alignment vertical="center"/>
    </xf>
    <xf numFmtId="0" fontId="5" fillId="0" borderId="1" applyAlignment="1" pivotButton="0" quotePrefix="0" xfId="0">
      <alignment vertical="center"/>
    </xf>
    <xf numFmtId="165" fontId="4" fillId="0" borderId="1" applyAlignment="1" pivotButton="0" quotePrefix="0" xfId="0">
      <alignment horizontal="center"/>
    </xf>
    <xf numFmtId="0" fontId="4" fillId="3" borderId="1" applyAlignment="1" pivotButton="0" quotePrefix="0" xfId="0">
      <alignment vertical="center"/>
    </xf>
    <xf numFmtId="165" fontId="4" fillId="3" borderId="1" applyAlignment="1" pivotButton="0" quotePrefix="0" xfId="0">
      <alignment horizontal="center"/>
    </xf>
    <xf numFmtId="0" fontId="4" fillId="3" borderId="1" applyAlignment="1" pivotButton="0" quotePrefix="0" xfId="0">
      <alignment vertical="center" wrapText="1"/>
    </xf>
    <xf numFmtId="3" fontId="4" fillId="0" borderId="1" applyAlignment="1" pivotButton="0" quotePrefix="0" xfId="0">
      <alignment vertical="center"/>
    </xf>
    <xf numFmtId="166" fontId="4" fillId="0" borderId="1" applyAlignment="1" pivotButton="0" quotePrefix="0" xfId="0">
      <alignment vertical="center"/>
    </xf>
    <xf numFmtId="3" fontId="6" fillId="0" borderId="0" pivotButton="0" quotePrefix="0" xfId="0"/>
    <xf numFmtId="166" fontId="6" fillId="0" borderId="0" pivotButton="0" quotePrefix="0" xfId="0"/>
    <xf numFmtId="0" fontId="4" fillId="0" borderId="1" applyAlignment="1" pivotButton="0" quotePrefix="0" xfId="0">
      <alignment horizontal="center" vertical="top"/>
    </xf>
    <xf numFmtId="0" fontId="4" fillId="0" borderId="1" applyAlignment="1" pivotButton="0" quotePrefix="0" xfId="0">
      <alignment vertical="top"/>
    </xf>
    <xf numFmtId="0" fontId="5"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dxfs count="12">
    <dxf>
      <font>
        <b val="1"/>
        <color rgb="00595959"/>
        <sz val="10"/>
      </font>
    </dxf>
    <dxf>
      <font>
        <b val="1"/>
        <color rgb="009C5700"/>
        <sz val="10"/>
      </font>
      <fill>
        <patternFill patternType="solid">
          <fgColor rgb="00FFEB9C"/>
        </patternFill>
      </fill>
    </dxf>
    <dxf>
      <font>
        <b val="1"/>
        <color rgb="001F3864"/>
        <sz val="10"/>
      </font>
      <fill>
        <patternFill patternType="solid">
          <fgColor rgb="00DDEBF7"/>
        </patternFill>
      </fill>
    </dxf>
    <dxf>
      <font>
        <b val="1"/>
        <color rgb="00006100"/>
        <sz val="10"/>
      </font>
      <fill>
        <patternFill patternType="solid">
          <fgColor rgb="00C6EFCE"/>
        </patternFill>
      </fill>
    </dxf>
    <dxf>
      <font>
        <b val="1"/>
        <color rgb="00595959"/>
        <sz val="10"/>
      </font>
      <fill>
        <patternFill patternType="solid">
          <fgColor rgb="00E7E6E6"/>
        </patternFill>
      </fill>
    </dxf>
    <dxf>
      <font>
        <color rgb="00006100"/>
        <sz val="10"/>
      </font>
      <fill>
        <patternFill patternType="solid">
          <fgColor rgb="00C6EFCE"/>
        </patternFill>
      </fill>
    </dxf>
    <dxf>
      <font>
        <color rgb="009C5700"/>
        <sz val="10"/>
      </font>
      <fill>
        <patternFill patternType="solid">
          <fgColor rgb="00FFEB9C"/>
        </patternFill>
      </fill>
    </dxf>
    <dxf>
      <font>
        <b val="1"/>
        <color rgb="009C5700"/>
        <sz val="10"/>
      </font>
    </dxf>
    <dxf>
      <font>
        <color rgb="00595959"/>
        <sz val="10"/>
      </font>
    </dxf>
    <dxf>
      <fill>
        <patternFill patternType="solid">
          <fgColor rgb="00DDEBF7"/>
        </patternFill>
      </fill>
    </dxf>
    <dxf>
      <font>
        <b val="1"/>
        <color rgb="009C0006"/>
        <sz val="10"/>
      </font>
      <fill>
        <patternFill patternType="solid">
          <fgColor rgb="00FFC7CE"/>
        </patternFill>
      </fill>
    </dxf>
    <dxf>
      <font>
        <color rgb="009C5700"/>
        <sz val="10"/>
      </font>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23"/>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2">
      <c r="B2" s="1" t="inlineStr">
        <is>
          <t>LGC account creation - FY26-28 renewal</t>
        </is>
      </c>
    </row>
    <row r="3">
      <c r="B3" s="2" t="inlineStr">
        <is>
          <t>Cut down from the contract spreadsheet and the review workbook. Account position as at the 05 Sep 26 accounts extract.</t>
        </is>
      </c>
    </row>
    <row r="5" ht="60" customHeight="1">
      <c r="B5" s="3" t="inlineStr">
        <is>
          <t>What this file is</t>
        </is>
      </c>
      <c r="C5" s="4" t="inlineStr">
        <is>
          <t>The working list for setting up the renewable certificate accounts in Envizi. One row per account, carrying only what I have to key in and the columns I tick off as I go. The full review - all 81 register rows, the formulas and the extracts behind them - stays in Account_Setup_and_Data_Load_-_PM&amp;C_LMCERTSJUL26_Setup.xlsx; I do not need it open to work through the list.</t>
        </is>
      </c>
    </row>
    <row r="6" ht="45" customHeight="1">
      <c r="B6" s="3" t="inlineStr">
        <is>
          <t>Where it comes from</t>
        </is>
      </c>
      <c r="C6" s="4" t="inlineStr">
        <is>
          <t>Downer_Energy_Contracting_and_Budget_Summary_FY26-28.xlsx - the Site Register rows for the AU large market sites Downer contracted under the FY26-28 renewal agreements, matched to their Envizi accounts on the connection ID (the NMI is the text after the last underscore in an Envizi account number).</t>
        </is>
      </c>
    </row>
    <row r="7" ht="45" customHeight="1">
      <c r="B7" s="3" t="inlineStr">
        <is>
          <t>Scope follows the supply agreement</t>
        </is>
      </c>
      <c r="C7" s="4" t="inlineStr">
        <is>
          <t>Not the meter class. Category Management, 4 Sep 26: a site can be metered small market and still be supplied as a large market site under the agreement. So 'Electricity Small Market' in Envizi does not take a site out of the renewal - the register's green rows decide.</t>
        </is>
      </c>
    </row>
    <row r="8" ht="45" customHeight="1">
      <c r="B8" s="3" t="inlineStr">
        <is>
          <t>Why it is keyed by hand</t>
        </is>
      </c>
      <c r="C8" s="4" t="inlineStr">
        <is>
          <t>Envizi only lets an account become a virtual meter while it holds no records, and the PM&amp;C upload template cannot create an account without one. So there is no bulk load for this - each account is created empty, then linked.</t>
        </is>
      </c>
    </row>
    <row r="9" ht="45" customHeight="1">
      <c r="B9" s="3" t="inlineStr">
        <is>
          <t>The three steps per account</t>
        </is>
      </c>
      <c r="C9" s="4" t="inlineStr">
        <is>
          <t>1. Create the account at the location with the field values on the row, including Opened On. 2. Open it and set it up as a virtual meter, source = the account in column G, 100%, that one only. 3. Check the new account reads the same kWh as the source and the location's market-based CO2e drops to match.</t>
        </is>
      </c>
    </row>
    <row r="10" ht="60" customHeight="1">
      <c r="B10" s="3" t="inlineStr">
        <is>
          <t>Opened On matters</t>
        </is>
      </c>
      <c r="C10" s="4" t="inlineStr">
        <is>
          <t>A virtual meter mirrors every period its source holds data for. Most of these sources have years of history, so without Opened On = 1 Jul 2026 the meter generates certificates for periods that were not renewable and doubles what the old LGCS_ accounts already record for 2025. Column N flags the sources with pre-July history.</t>
        </is>
      </c>
    </row>
    <row r="11" ht="15" customHeight="1">
      <c r="B11" s="3" t="inlineStr">
        <is>
          <t>Reader</t>
        </is>
      </c>
      <c r="C11" s="4" t="inlineStr">
        <is>
          <t>Left blank on every account. It is not a column here for that reason.</t>
        </is>
      </c>
    </row>
    <row r="12" ht="60" customHeight="1">
      <c r="B12" s="3" t="inlineStr">
        <is>
          <t>Temporary accounts</t>
        </is>
      </c>
      <c r="C12" s="4" t="inlineStr">
        <is>
          <t>The rows marked Temporary in column F are sites contracted to a retailer that has no account on the NMI yet, so the certificate account follows the old supply for now. The account name keys off its source, so when the contracted retailer's account appears these get deleted and remade against it - they are not repointed.</t>
        </is>
      </c>
    </row>
    <row r="13" ht="45" customHeight="1">
      <c r="B13" s="3" t="inlineStr">
        <is>
          <t>The existing LGCS_ accounts</t>
        </is>
      </c>
      <c r="C13" s="4" t="inlineStr">
        <is>
          <t>Column O names the historical certificate accounts at the location. They hold 2025-and-earlier data, so none is empty and none can be converted. They stay as the historical record and the new account sits beside them.</t>
        </is>
      </c>
    </row>
    <row r="14" ht="45" customHeight="1">
      <c r="B14" s="3" t="inlineStr">
        <is>
          <t>How I work it</t>
        </is>
      </c>
      <c r="C14" s="4" t="inlineStr">
        <is>
          <t>Filter Create accounts on Status = Not started, work a state at a time, and set the status as each account goes in. Columns Q to S are mine to fill; everything left of them is reference. Column P is what the extract showed on the day - it does not update itself.</t>
        </is>
      </c>
    </row>
    <row r="16">
      <c r="B16" s="5" t="inlineStr">
        <is>
          <t>Where it stands</t>
        </is>
      </c>
    </row>
    <row r="17">
      <c r="B17" s="6" t="inlineStr">
        <is>
          <t>Accounts to create</t>
        </is>
      </c>
      <c r="C17" s="7" t="inlineStr">
        <is>
          <t>69   (60 permanent, 9 temporary)</t>
        </is>
      </c>
    </row>
    <row r="18">
      <c r="B18" s="6" t="inlineStr">
        <is>
          <t>In the latest extract</t>
        </is>
      </c>
      <c r="C18" s="7">
        <f>COUNTIF('Create accounts'!P:P,"Yes") &amp; " of 69"</f>
        <v/>
      </c>
    </row>
    <row r="19">
      <c r="B19" s="6" t="inlineStr">
        <is>
          <t>Verified by me</t>
        </is>
      </c>
      <c r="C19" s="7">
        <f>COUNTIF('Create accounts'!Q:Q,"Verified in Envizi") &amp; " of 69"</f>
        <v/>
      </c>
    </row>
    <row r="20">
      <c r="B20" s="6" t="inlineStr">
        <is>
          <t>Still not started</t>
        </is>
      </c>
      <c r="C20" s="7">
        <f>COUNTIF('Create accounts'!Q:Q,"Not started")</f>
        <v/>
      </c>
    </row>
    <row r="21">
      <c r="B21" s="6" t="inlineStr">
        <is>
          <t>Accounts to close off</t>
        </is>
      </c>
      <c r="C21" s="7" t="n">
        <v>14</v>
      </c>
    </row>
    <row r="22">
      <c r="B22" s="6" t="inlineStr">
        <is>
          <t>Closed off so far</t>
        </is>
      </c>
      <c r="C22" s="7">
        <f>COUNTIF('Close off'!M:M,"Verified in Envizi") &amp; " of 14"</f>
        <v/>
      </c>
    </row>
    <row r="23">
      <c r="B23" s="6" t="inlineStr">
        <is>
          <t>Register rows with no action</t>
        </is>
      </c>
      <c r="C23" s="7" t="n">
        <v>12</v>
      </c>
    </row>
  </sheetData>
  <mergeCells count="2">
    <mergeCell ref="B3:C3"/>
    <mergeCell ref="B2:C2"/>
  </mergeCell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73"/>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30" customWidth="1" min="3" max="3"/>
    <col width="11" customWidth="1" min="4" max="4"/>
    <col width="13" customWidth="1" min="5" max="5"/>
    <col width="11" customWidth="1" min="6" max="6"/>
    <col width="27" customWidth="1" min="7" max="7"/>
    <col width="25" customWidth="1" min="8" max="8"/>
    <col width="29" customWidth="1" min="9" max="9"/>
    <col width="25" customWidth="1" min="10" max="10"/>
    <col width="13" customWidth="1" min="11" max="11"/>
    <col width="17" customWidth="1" min="12" max="12"/>
    <col width="11" customWidth="1" min="13" max="13"/>
    <col width="12" customWidth="1" min="14" max="14"/>
    <col width="27" customWidth="1" min="15" max="15"/>
    <col width="10" customWidth="1" min="16" max="16"/>
    <col width="17" customWidth="1" min="17" max="17"/>
    <col width="12" customWidth="1" min="18" max="18"/>
    <col width="40" customWidth="1" min="19" max="19"/>
  </cols>
  <sheetData>
    <row r="1">
      <c r="A1" s="1" t="inlineStr">
        <is>
          <t>Certificate accounts to create</t>
        </is>
      </c>
    </row>
    <row r="2">
      <c r="A2" s="2" t="inlineStr">
        <is>
          <t>Create the account empty with these values, then set it up as a virtual meter of the account in column G at 100%. Columns Q to S are for filling in.</t>
        </is>
      </c>
    </row>
    <row r="4" ht="44" customHeight="1">
      <c r="A4" s="8" t="inlineStr">
        <is>
          <t>#</t>
        </is>
      </c>
      <c r="B4" s="8" t="inlineStr">
        <is>
          <t>State</t>
        </is>
      </c>
      <c r="C4" s="8" t="inlineStr">
        <is>
          <t>Location</t>
        </is>
      </c>
      <c r="D4" s="8" t="inlineStr">
        <is>
          <t>Location ref</t>
        </is>
      </c>
      <c r="E4" s="8" t="inlineStr">
        <is>
          <t>NMI</t>
        </is>
      </c>
      <c r="F4" s="8" t="inlineStr">
        <is>
          <t>Type</t>
        </is>
      </c>
      <c r="G4" s="8" t="inlineStr">
        <is>
          <t>Source account
(link this as the virtual meter source)</t>
        </is>
      </c>
      <c r="H4" s="8" t="inlineStr">
        <is>
          <t>Source account
supplier / style</t>
        </is>
      </c>
      <c r="I4" s="8" t="inlineStr">
        <is>
          <t>New account number</t>
        </is>
      </c>
      <c r="J4" s="8" t="inlineStr">
        <is>
          <t>Account style</t>
        </is>
      </c>
      <c r="K4" s="8" t="inlineStr">
        <is>
          <t>Account reference</t>
        </is>
      </c>
      <c r="L4" s="8" t="inlineStr">
        <is>
          <t>Supplier</t>
        </is>
      </c>
      <c r="M4" s="8" t="inlineStr">
        <is>
          <t>Opened On</t>
        </is>
      </c>
      <c r="N4" s="8" t="inlineStr">
        <is>
          <t>Source has data
before 1 Jul 26?</t>
        </is>
      </c>
      <c r="O4" s="8" t="inlineStr">
        <is>
          <t>Historical LGCS_ account(s)
at this location (keep)</t>
        </is>
      </c>
      <c r="P4" s="8" t="inlineStr">
        <is>
          <t>In the 05 Sep 26
extract?</t>
        </is>
      </c>
      <c r="Q4" s="8" t="inlineStr">
        <is>
          <t>Status</t>
        </is>
      </c>
      <c r="R4" s="8" t="inlineStr">
        <is>
          <t>Date actioned</t>
        </is>
      </c>
      <c r="S4" s="8" t="inlineStr">
        <is>
          <t>Notes</t>
        </is>
      </c>
    </row>
    <row r="5">
      <c r="A5" s="9" t="n">
        <v>1</v>
      </c>
      <c r="B5" s="9" t="inlineStr">
        <is>
          <t>ACT</t>
        </is>
      </c>
      <c r="C5" s="10" t="inlineStr">
        <is>
          <t>Asphalt Prod - Hume (101)</t>
        </is>
      </c>
      <c r="D5" s="10" t="inlineStr">
        <is>
          <t>101</t>
        </is>
      </c>
      <c r="E5" s="11" t="inlineStr">
        <is>
          <t>7001184714</t>
        </is>
      </c>
      <c r="F5" s="10" t="inlineStr">
        <is>
          <t>Permanent</t>
        </is>
      </c>
      <c r="G5" s="11" t="inlineStr">
        <is>
          <t>50002618040_7001184714</t>
        </is>
      </c>
      <c r="H5" s="10" t="inlineStr">
        <is>
          <t>Origin · Electricity Large Market</t>
        </is>
      </c>
      <c r="I5" s="11" t="inlineStr">
        <is>
          <t>50002618040_7001184714_CERTS</t>
        </is>
      </c>
      <c r="J5" s="10" t="inlineStr">
        <is>
          <t>Certificates - Location - kWh</t>
        </is>
      </c>
      <c r="K5" s="11" t="inlineStr">
        <is>
          <t>7001184714</t>
        </is>
      </c>
      <c r="L5" s="10" t="inlineStr">
        <is>
          <t>LGC Virtual Account</t>
        </is>
      </c>
      <c r="M5" s="12" t="n">
        <v>46204</v>
      </c>
      <c r="N5" s="9" t="inlineStr">
        <is>
          <t>Yes</t>
        </is>
      </c>
      <c r="O5" s="10" t="inlineStr">
        <is>
          <t>LGCS_7001184714</t>
        </is>
      </c>
      <c r="P5" s="9" t="inlineStr">
        <is>
          <t>Yes</t>
        </is>
      </c>
      <c r="Q5" s="13" t="inlineStr">
        <is>
          <t>Not started</t>
        </is>
      </c>
      <c r="R5" s="14" t="n"/>
      <c r="S5" s="15" t="inlineStr"/>
    </row>
    <row r="6">
      <c r="A6" s="9" t="n">
        <v>2</v>
      </c>
      <c r="B6" s="9" t="inlineStr">
        <is>
          <t>NSW</t>
        </is>
      </c>
      <c r="C6" s="10" t="inlineStr">
        <is>
          <t>Asphalt Prod - Bathurst (156)</t>
        </is>
      </c>
      <c r="D6" s="10" t="inlineStr">
        <is>
          <t>170156</t>
        </is>
      </c>
      <c r="E6" s="11" t="inlineStr">
        <is>
          <t>NAAA00AC25</t>
        </is>
      </c>
      <c r="F6" s="10" t="inlineStr">
        <is>
          <t>Permanent</t>
        </is>
      </c>
      <c r="G6" s="11" t="inlineStr">
        <is>
          <t>50002617964_NAAA00AC25</t>
        </is>
      </c>
      <c r="H6" s="10" t="inlineStr">
        <is>
          <t>Origin · Electricity Large Market</t>
        </is>
      </c>
      <c r="I6" s="11" t="inlineStr">
        <is>
          <t>50002617964_NAAA00AC25_CERTS</t>
        </is>
      </c>
      <c r="J6" s="10" t="inlineStr">
        <is>
          <t>Certificates - Location - kWh</t>
        </is>
      </c>
      <c r="K6" s="11" t="inlineStr">
        <is>
          <t>NAAA00AC25</t>
        </is>
      </c>
      <c r="L6" s="10" t="inlineStr">
        <is>
          <t>LGC Virtual Account</t>
        </is>
      </c>
      <c r="M6" s="12" t="n">
        <v>46204</v>
      </c>
      <c r="N6" s="9" t="inlineStr">
        <is>
          <t>Yes</t>
        </is>
      </c>
      <c r="O6" s="10" t="inlineStr">
        <is>
          <t>LGCS_NAAA00AC25</t>
        </is>
      </c>
      <c r="P6" s="9" t="inlineStr">
        <is>
          <t>Yes</t>
        </is>
      </c>
      <c r="Q6" s="13" t="inlineStr">
        <is>
          <t>Not started</t>
        </is>
      </c>
      <c r="R6" s="14" t="n"/>
      <c r="S6" s="15" t="inlineStr"/>
    </row>
    <row r="7">
      <c r="A7" s="9" t="n">
        <v>3</v>
      </c>
      <c r="B7" s="9" t="inlineStr">
        <is>
          <t>NSW</t>
        </is>
      </c>
      <c r="C7" s="10" t="inlineStr">
        <is>
          <t>Asphalt Prod - Mogo (154)</t>
        </is>
      </c>
      <c r="D7" s="10" t="inlineStr">
        <is>
          <t>154</t>
        </is>
      </c>
      <c r="E7" s="11" t="inlineStr">
        <is>
          <t>4001127731</t>
        </is>
      </c>
      <c r="F7" s="10" t="inlineStr">
        <is>
          <t>Permanent</t>
        </is>
      </c>
      <c r="G7" s="11" t="inlineStr">
        <is>
          <t>50002769514_4001127731</t>
        </is>
      </c>
      <c r="H7" s="10" t="inlineStr">
        <is>
          <t>Origin · Electricity Small Market</t>
        </is>
      </c>
      <c r="I7" s="11" t="inlineStr">
        <is>
          <t>50002769514_4001127731_CERTS</t>
        </is>
      </c>
      <c r="J7" s="10" t="inlineStr">
        <is>
          <t>Certificates - Location - kWh</t>
        </is>
      </c>
      <c r="K7" s="11" t="inlineStr">
        <is>
          <t>4001127731</t>
        </is>
      </c>
      <c r="L7" s="10" t="inlineStr">
        <is>
          <t>LGC Virtual Account</t>
        </is>
      </c>
      <c r="M7" s="12" t="n">
        <v>46204</v>
      </c>
      <c r="N7" s="9" t="inlineStr">
        <is>
          <t>Yes</t>
        </is>
      </c>
      <c r="O7" s="10" t="inlineStr">
        <is>
          <t>LGCS_4001127731, LGCS_4204072845</t>
        </is>
      </c>
      <c r="P7" s="9" t="inlineStr">
        <is>
          <t>No</t>
        </is>
      </c>
      <c r="Q7" s="13" t="inlineStr">
        <is>
          <t>Not started</t>
        </is>
      </c>
      <c r="R7" s="14" t="n"/>
      <c r="S7" s="15" t="inlineStr">
        <is>
          <t>Was created 4 Sep and held Jul/Aug data, then dropped out of the extract. Read the two Mogo accounts before rebuilding this one.</t>
        </is>
      </c>
    </row>
    <row r="8">
      <c r="A8" s="9" t="n">
        <v>4</v>
      </c>
      <c r="B8" s="9" t="inlineStr">
        <is>
          <t>NSW</t>
        </is>
      </c>
      <c r="C8" s="10" t="inlineStr">
        <is>
          <t>Asphalt Prod - Mogo (154)</t>
        </is>
      </c>
      <c r="D8" s="10" t="inlineStr">
        <is>
          <t>154</t>
        </is>
      </c>
      <c r="E8" s="11" t="inlineStr">
        <is>
          <t>4204072845</t>
        </is>
      </c>
      <c r="F8" s="10" t="inlineStr">
        <is>
          <t>Permanent</t>
        </is>
      </c>
      <c r="G8" s="11" t="inlineStr">
        <is>
          <t>50002617992_4204072845</t>
        </is>
      </c>
      <c r="H8" s="10" t="inlineStr">
        <is>
          <t>Origin · Electricity Large Market</t>
        </is>
      </c>
      <c r="I8" s="11" t="inlineStr">
        <is>
          <t>50002617992_4204072845_CERTS</t>
        </is>
      </c>
      <c r="J8" s="10" t="inlineStr">
        <is>
          <t>Certificates - Location - kWh</t>
        </is>
      </c>
      <c r="K8" s="11" t="inlineStr">
        <is>
          <t>4204072845</t>
        </is>
      </c>
      <c r="L8" s="10" t="inlineStr">
        <is>
          <t>LGC Virtual Account</t>
        </is>
      </c>
      <c r="M8" s="12" t="n">
        <v>46204</v>
      </c>
      <c r="N8" s="9" t="inlineStr">
        <is>
          <t>Yes</t>
        </is>
      </c>
      <c r="O8" s="10" t="inlineStr">
        <is>
          <t>LGCS_4001127731, LGCS_4204072845</t>
        </is>
      </c>
      <c r="P8" s="9" t="inlineStr">
        <is>
          <t>Yes</t>
        </is>
      </c>
      <c r="Q8" s="13" t="inlineStr">
        <is>
          <t>Not started</t>
        </is>
      </c>
      <c r="R8" s="14" t="n"/>
      <c r="S8" s="15" t="inlineStr">
        <is>
          <t>In the extract but holds no data - link it to 50002617992_4204072845 (it is empty, so it can be).</t>
        </is>
      </c>
    </row>
    <row r="9">
      <c r="A9" s="9" t="n">
        <v>5</v>
      </c>
      <c r="B9" s="9" t="inlineStr">
        <is>
          <t>NSW</t>
        </is>
      </c>
      <c r="C9" s="10" t="inlineStr">
        <is>
          <t>Asphalt Prod - Rosehill (163)</t>
        </is>
      </c>
      <c r="D9" s="10" t="inlineStr">
        <is>
          <t>163</t>
        </is>
      </c>
      <c r="E9" s="11" t="inlineStr">
        <is>
          <t>4311396021</t>
        </is>
      </c>
      <c r="F9" s="10" t="inlineStr">
        <is>
          <t>Permanent</t>
        </is>
      </c>
      <c r="G9" s="11" t="inlineStr">
        <is>
          <t>50002756108_4311396021</t>
        </is>
      </c>
      <c r="H9" s="10" t="inlineStr">
        <is>
          <t>Origin · Electricity Large Market</t>
        </is>
      </c>
      <c r="I9" s="11" t="inlineStr">
        <is>
          <t>50002756108_4311396021_CERTS</t>
        </is>
      </c>
      <c r="J9" s="10" t="inlineStr">
        <is>
          <t>Certificates - Location - kWh</t>
        </is>
      </c>
      <c r="K9" s="11" t="inlineStr">
        <is>
          <t>4311396021</t>
        </is>
      </c>
      <c r="L9" s="10" t="inlineStr">
        <is>
          <t>LGC Virtual Account</t>
        </is>
      </c>
      <c r="M9" s="12" t="n">
        <v>46204</v>
      </c>
      <c r="N9" s="9" t="inlineStr">
        <is>
          <t>Yes</t>
        </is>
      </c>
      <c r="O9" s="10" t="inlineStr">
        <is>
          <t>LGCS_4311396021, LGCS_4311396022</t>
        </is>
      </c>
      <c r="P9" s="9" t="inlineStr">
        <is>
          <t>Yes</t>
        </is>
      </c>
      <c r="Q9" s="13" t="inlineStr">
        <is>
          <t>Not started</t>
        </is>
      </c>
      <c r="R9" s="14" t="n"/>
      <c r="S9" s="15" t="inlineStr"/>
    </row>
    <row r="10">
      <c r="A10" s="9" t="n">
        <v>6</v>
      </c>
      <c r="B10" s="9" t="inlineStr">
        <is>
          <t>NSW</t>
        </is>
      </c>
      <c r="C10" s="10" t="inlineStr">
        <is>
          <t>Asphalt Prod - Rosehill (163)</t>
        </is>
      </c>
      <c r="D10" s="10" t="inlineStr">
        <is>
          <t>163</t>
        </is>
      </c>
      <c r="E10" s="11" t="inlineStr">
        <is>
          <t>4311396022</t>
        </is>
      </c>
      <c r="F10" s="10" t="inlineStr">
        <is>
          <t>Permanent</t>
        </is>
      </c>
      <c r="G10" s="11" t="inlineStr">
        <is>
          <t>50002756109_4311396022</t>
        </is>
      </c>
      <c r="H10" s="10" t="inlineStr">
        <is>
          <t>Origin · Electricity Large Market</t>
        </is>
      </c>
      <c r="I10" s="11" t="inlineStr">
        <is>
          <t>50002756109_4311396022_CERTS</t>
        </is>
      </c>
      <c r="J10" s="10" t="inlineStr">
        <is>
          <t>Certificates - Location - kWh</t>
        </is>
      </c>
      <c r="K10" s="11" t="inlineStr">
        <is>
          <t>4311396022</t>
        </is>
      </c>
      <c r="L10" s="10" t="inlineStr">
        <is>
          <t>LGC Virtual Account</t>
        </is>
      </c>
      <c r="M10" s="12" t="n">
        <v>46204</v>
      </c>
      <c r="N10" s="9" t="inlineStr">
        <is>
          <t>Yes</t>
        </is>
      </c>
      <c r="O10" s="10" t="inlineStr">
        <is>
          <t>LGCS_4311396021, LGCS_4311396022</t>
        </is>
      </c>
      <c r="P10" s="9" t="inlineStr">
        <is>
          <t>Yes</t>
        </is>
      </c>
      <c r="Q10" s="13" t="inlineStr">
        <is>
          <t>Not started</t>
        </is>
      </c>
      <c r="R10" s="14" t="n"/>
      <c r="S10" s="15" t="inlineStr"/>
    </row>
    <row r="11">
      <c r="A11" s="9" t="n">
        <v>7</v>
      </c>
      <c r="B11" s="9" t="inlineStr">
        <is>
          <t>NSW</t>
        </is>
      </c>
      <c r="C11" s="10" t="inlineStr">
        <is>
          <t>Asphalt Prod - Teralba (152)</t>
        </is>
      </c>
      <c r="D11" s="10" t="inlineStr">
        <is>
          <t>152</t>
        </is>
      </c>
      <c r="E11" s="11" t="inlineStr">
        <is>
          <t>4104030101</t>
        </is>
      </c>
      <c r="F11" s="10" t="inlineStr">
        <is>
          <t>Permanent</t>
        </is>
      </c>
      <c r="G11" s="11" t="inlineStr">
        <is>
          <t>50002617996_4104030101</t>
        </is>
      </c>
      <c r="H11" s="10" t="inlineStr">
        <is>
          <t>Origin · Electricity Large Market</t>
        </is>
      </c>
      <c r="I11" s="11" t="inlineStr">
        <is>
          <t>50002617996_4104030101_CERTS</t>
        </is>
      </c>
      <c r="J11" s="10" t="inlineStr">
        <is>
          <t>Certificates - Location - kWh</t>
        </is>
      </c>
      <c r="K11" s="11" t="inlineStr">
        <is>
          <t>4104030101</t>
        </is>
      </c>
      <c r="L11" s="10" t="inlineStr">
        <is>
          <t>LGC Virtual Account</t>
        </is>
      </c>
      <c r="M11" s="12" t="n">
        <v>46204</v>
      </c>
      <c r="N11" s="9" t="inlineStr">
        <is>
          <t>Yes</t>
        </is>
      </c>
      <c r="O11" s="10" t="inlineStr">
        <is>
          <t>LGCS_4104030101</t>
        </is>
      </c>
      <c r="P11" s="9" t="inlineStr">
        <is>
          <t>Yes</t>
        </is>
      </c>
      <c r="Q11" s="13" t="inlineStr">
        <is>
          <t>Not started</t>
        </is>
      </c>
      <c r="R11" s="14" t="n"/>
      <c r="S11" s="15" t="inlineStr"/>
    </row>
    <row r="12">
      <c r="A12" s="9" t="n">
        <v>8</v>
      </c>
      <c r="B12" s="9" t="inlineStr">
        <is>
          <t>NSW</t>
        </is>
      </c>
      <c r="C12" s="10" t="inlineStr">
        <is>
          <t>Auburn</t>
        </is>
      </c>
      <c r="D12" s="10" t="inlineStr">
        <is>
          <t>3002</t>
        </is>
      </c>
      <c r="E12" s="11" t="inlineStr">
        <is>
          <t>4103711576</t>
        </is>
      </c>
      <c r="F12" s="10" t="inlineStr">
        <is>
          <t>Permanent</t>
        </is>
      </c>
      <c r="G12" s="11" t="inlineStr">
        <is>
          <t>50002617965_4103711576</t>
        </is>
      </c>
      <c r="H12" s="10" t="inlineStr">
        <is>
          <t>Origin · Electricity Large Market</t>
        </is>
      </c>
      <c r="I12" s="11" t="inlineStr">
        <is>
          <t>50002617965_4103711576_CERTS</t>
        </is>
      </c>
      <c r="J12" s="10" t="inlineStr">
        <is>
          <t>Certificates - Location - kWh</t>
        </is>
      </c>
      <c r="K12" s="11" t="inlineStr">
        <is>
          <t>4103711576</t>
        </is>
      </c>
      <c r="L12" s="10" t="inlineStr">
        <is>
          <t>LGC Virtual Account</t>
        </is>
      </c>
      <c r="M12" s="12" t="n">
        <v>46204</v>
      </c>
      <c r="N12" s="9" t="inlineStr">
        <is>
          <t>Yes</t>
        </is>
      </c>
      <c r="O12" s="10" t="inlineStr">
        <is>
          <t>LGCS_4103711576, LGCS_4103713125</t>
        </is>
      </c>
      <c r="P12" s="9" t="inlineStr">
        <is>
          <t>Yes</t>
        </is>
      </c>
      <c r="Q12" s="13" t="inlineStr">
        <is>
          <t>Not started</t>
        </is>
      </c>
      <c r="R12" s="14" t="n"/>
      <c r="S12" s="15" t="inlineStr"/>
    </row>
    <row r="13">
      <c r="A13" s="9" t="n">
        <v>9</v>
      </c>
      <c r="B13" s="9" t="inlineStr">
        <is>
          <t>NSW</t>
        </is>
      </c>
      <c r="C13" s="10" t="inlineStr">
        <is>
          <t>Auburn</t>
        </is>
      </c>
      <c r="D13" s="10" t="inlineStr">
        <is>
          <t>3002</t>
        </is>
      </c>
      <c r="E13" s="11" t="inlineStr">
        <is>
          <t>4103713125</t>
        </is>
      </c>
      <c r="F13" s="10" t="inlineStr">
        <is>
          <t>Permanent</t>
        </is>
      </c>
      <c r="G13" s="11" t="inlineStr">
        <is>
          <t>50002617957_4103713125</t>
        </is>
      </c>
      <c r="H13" s="10" t="inlineStr">
        <is>
          <t>Origin · Electricity Large Market</t>
        </is>
      </c>
      <c r="I13" s="11" t="inlineStr">
        <is>
          <t>50002617957_4103713125_CERTS</t>
        </is>
      </c>
      <c r="J13" s="10" t="inlineStr">
        <is>
          <t>Certificates - Location - kWh</t>
        </is>
      </c>
      <c r="K13" s="11" t="inlineStr">
        <is>
          <t>4103713125</t>
        </is>
      </c>
      <c r="L13" s="10" t="inlineStr">
        <is>
          <t>LGC Virtual Account</t>
        </is>
      </c>
      <c r="M13" s="12" t="n">
        <v>46204</v>
      </c>
      <c r="N13" s="9" t="inlineStr">
        <is>
          <t>Yes</t>
        </is>
      </c>
      <c r="O13" s="10" t="inlineStr">
        <is>
          <t>LGCS_4103711576, LGCS_4103713125</t>
        </is>
      </c>
      <c r="P13" s="9" t="inlineStr">
        <is>
          <t>Yes</t>
        </is>
      </c>
      <c r="Q13" s="13" t="inlineStr">
        <is>
          <t>Not started</t>
        </is>
      </c>
      <c r="R13" s="14" t="n"/>
      <c r="S13" s="15" t="inlineStr"/>
    </row>
    <row r="14">
      <c r="A14" s="9" t="n">
        <v>10</v>
      </c>
      <c r="B14" s="9" t="inlineStr">
        <is>
          <t>NSW</t>
        </is>
      </c>
      <c r="C14" s="10" t="inlineStr">
        <is>
          <t>Eastern Creek</t>
        </is>
      </c>
      <c r="D14" s="10" t="inlineStr">
        <is>
          <t>L9.J.170160</t>
        </is>
      </c>
      <c r="E14" s="11" t="inlineStr">
        <is>
          <t>4311006315</t>
        </is>
      </c>
      <c r="F14" s="10" t="inlineStr">
        <is>
          <t>Permanent</t>
        </is>
      </c>
      <c r="G14" s="11" t="inlineStr">
        <is>
          <t>50002755315_4311006315</t>
        </is>
      </c>
      <c r="H14" s="10" t="inlineStr">
        <is>
          <t>Origin · Electricity Large Market</t>
        </is>
      </c>
      <c r="I14" s="11" t="inlineStr">
        <is>
          <t>50002755315_4311006315_CERTS</t>
        </is>
      </c>
      <c r="J14" s="10" t="inlineStr">
        <is>
          <t>Certificates - Location - kWh</t>
        </is>
      </c>
      <c r="K14" s="11" t="inlineStr">
        <is>
          <t>4311006315</t>
        </is>
      </c>
      <c r="L14" s="10" t="inlineStr">
        <is>
          <t>LGC Virtual Account</t>
        </is>
      </c>
      <c r="M14" s="12" t="n">
        <v>46204</v>
      </c>
      <c r="N14" s="9" t="inlineStr">
        <is>
          <t>Yes</t>
        </is>
      </c>
      <c r="O14" s="10" t="inlineStr">
        <is>
          <t>LGCS_4311006315</t>
        </is>
      </c>
      <c r="P14" s="9" t="inlineStr">
        <is>
          <t>Yes</t>
        </is>
      </c>
      <c r="Q14" s="13" t="inlineStr">
        <is>
          <t>Not started</t>
        </is>
      </c>
      <c r="R14" s="14" t="n"/>
      <c r="S14" s="15" t="inlineStr"/>
    </row>
    <row r="15">
      <c r="A15" s="9" t="n">
        <v>11</v>
      </c>
      <c r="B15" s="9" t="inlineStr">
        <is>
          <t>NSW</t>
        </is>
      </c>
      <c r="C15" s="10" t="inlineStr">
        <is>
          <t>Hexham Office</t>
        </is>
      </c>
      <c r="D15" s="10" t="inlineStr">
        <is>
          <t>COR-10920006</t>
        </is>
      </c>
      <c r="E15" s="11" t="inlineStr">
        <is>
          <t>4103803680</t>
        </is>
      </c>
      <c r="F15" s="10" t="inlineStr">
        <is>
          <t>Permanent</t>
        </is>
      </c>
      <c r="G15" s="11" t="inlineStr">
        <is>
          <t>50002617953_4103803680</t>
        </is>
      </c>
      <c r="H15" s="10" t="inlineStr">
        <is>
          <t>Origin · Electricity Large Market</t>
        </is>
      </c>
      <c r="I15" s="11" t="inlineStr">
        <is>
          <t>50002617953_4103803680_CERTS</t>
        </is>
      </c>
      <c r="J15" s="10" t="inlineStr">
        <is>
          <t>Certificates - Location - kWh</t>
        </is>
      </c>
      <c r="K15" s="11" t="inlineStr">
        <is>
          <t>4103803680</t>
        </is>
      </c>
      <c r="L15" s="10" t="inlineStr">
        <is>
          <t>LGC Virtual Account</t>
        </is>
      </c>
      <c r="M15" s="12" t="n">
        <v>46204</v>
      </c>
      <c r="N15" s="9" t="inlineStr">
        <is>
          <t>Yes</t>
        </is>
      </c>
      <c r="O15" s="10" t="inlineStr">
        <is>
          <t>LGCS_4103803680, LGCS_4103893142</t>
        </is>
      </c>
      <c r="P15" s="9" t="inlineStr">
        <is>
          <t>Yes</t>
        </is>
      </c>
      <c r="Q15" s="13" t="inlineStr">
        <is>
          <t>Not started</t>
        </is>
      </c>
      <c r="R15" s="14" t="n"/>
      <c r="S15" s="15" t="inlineStr"/>
    </row>
    <row r="16">
      <c r="A16" s="9" t="n">
        <v>12</v>
      </c>
      <c r="B16" s="9" t="inlineStr">
        <is>
          <t>NSW</t>
        </is>
      </c>
      <c r="C16" s="10" t="inlineStr">
        <is>
          <t>North Ryde T1 - Level 1</t>
        </is>
      </c>
      <c r="D16" s="10" t="inlineStr">
        <is>
          <t>1006</t>
        </is>
      </c>
      <c r="E16" s="11" t="inlineStr">
        <is>
          <t>4103737079</t>
        </is>
      </c>
      <c r="F16" s="10" t="inlineStr">
        <is>
          <t>Permanent</t>
        </is>
      </c>
      <c r="G16" s="11" t="inlineStr">
        <is>
          <t>50002617973_4103737079</t>
        </is>
      </c>
      <c r="H16" s="10" t="inlineStr">
        <is>
          <t>Origin · Electricity Large Market</t>
        </is>
      </c>
      <c r="I16" s="11" t="inlineStr">
        <is>
          <t>50002617973_4103737079_CERTS</t>
        </is>
      </c>
      <c r="J16" s="10" t="inlineStr">
        <is>
          <t>Certificates - Location - kWh</t>
        </is>
      </c>
      <c r="K16" s="11" t="inlineStr">
        <is>
          <t>4103737079</t>
        </is>
      </c>
      <c r="L16" s="10" t="inlineStr">
        <is>
          <t>LGC Virtual Account</t>
        </is>
      </c>
      <c r="M16" s="12" t="n">
        <v>46204</v>
      </c>
      <c r="N16" s="9" t="inlineStr">
        <is>
          <t>Yes</t>
        </is>
      </c>
      <c r="O16" s="10" t="inlineStr">
        <is>
          <t>LGCS_4103737079, LGCS_4103737729</t>
        </is>
      </c>
      <c r="P16" s="9" t="inlineStr">
        <is>
          <t>Yes</t>
        </is>
      </c>
      <c r="Q16" s="13" t="inlineStr">
        <is>
          <t>Not started</t>
        </is>
      </c>
      <c r="R16" s="14" t="n"/>
      <c r="S16" s="15" t="inlineStr"/>
    </row>
    <row r="17">
      <c r="A17" s="9" t="n">
        <v>13</v>
      </c>
      <c r="B17" s="9" t="inlineStr">
        <is>
          <t>NSW</t>
        </is>
      </c>
      <c r="C17" s="10" t="inlineStr">
        <is>
          <t>North Ryde T1 - Level 1</t>
        </is>
      </c>
      <c r="D17" s="10" t="inlineStr">
        <is>
          <t>1006</t>
        </is>
      </c>
      <c r="E17" s="11" t="inlineStr">
        <is>
          <t>4103737729</t>
        </is>
      </c>
      <c r="F17" s="10" t="inlineStr">
        <is>
          <t>Permanent</t>
        </is>
      </c>
      <c r="G17" s="11" t="inlineStr">
        <is>
          <t>50002617971_4103737729</t>
        </is>
      </c>
      <c r="H17" s="10" t="inlineStr">
        <is>
          <t>Origin · Electricity Large Market</t>
        </is>
      </c>
      <c r="I17" s="11" t="inlineStr">
        <is>
          <t>50002617971_4103737729_CERTS</t>
        </is>
      </c>
      <c r="J17" s="10" t="inlineStr">
        <is>
          <t>Certificates - Location - kWh</t>
        </is>
      </c>
      <c r="K17" s="11" t="inlineStr">
        <is>
          <t>4103737729</t>
        </is>
      </c>
      <c r="L17" s="10" t="inlineStr">
        <is>
          <t>LGC Virtual Account</t>
        </is>
      </c>
      <c r="M17" s="12" t="n">
        <v>46204</v>
      </c>
      <c r="N17" s="9" t="inlineStr">
        <is>
          <t>Yes</t>
        </is>
      </c>
      <c r="O17" s="10" t="inlineStr">
        <is>
          <t>LGCS_4103737079, LGCS_4103737729</t>
        </is>
      </c>
      <c r="P17" s="9" t="inlineStr">
        <is>
          <t>Yes</t>
        </is>
      </c>
      <c r="Q17" s="13" t="inlineStr">
        <is>
          <t>Not started</t>
        </is>
      </c>
      <c r="R17" s="14" t="n"/>
      <c r="S17" s="15" t="inlineStr"/>
    </row>
    <row r="18">
      <c r="A18" s="9" t="n">
        <v>14</v>
      </c>
      <c r="B18" s="9" t="inlineStr">
        <is>
          <t>NSW</t>
        </is>
      </c>
      <c r="C18" s="10" t="inlineStr">
        <is>
          <t>North Ryde T1 - Level 3</t>
        </is>
      </c>
      <c r="D18" s="10" t="inlineStr">
        <is>
          <t>1007</t>
        </is>
      </c>
      <c r="E18" s="11" t="inlineStr">
        <is>
          <t>4103742938</t>
        </is>
      </c>
      <c r="F18" s="10" t="inlineStr">
        <is>
          <t>Permanent</t>
        </is>
      </c>
      <c r="G18" s="11" t="inlineStr">
        <is>
          <t>50002617975_4103742938</t>
        </is>
      </c>
      <c r="H18" s="10" t="inlineStr">
        <is>
          <t>Origin · Electricity Large Market</t>
        </is>
      </c>
      <c r="I18" s="11" t="inlineStr">
        <is>
          <t>50002617975_4103742938_CERTS</t>
        </is>
      </c>
      <c r="J18" s="10" t="inlineStr">
        <is>
          <t>Certificates - Location - kWh</t>
        </is>
      </c>
      <c r="K18" s="11" t="inlineStr">
        <is>
          <t>4103742938</t>
        </is>
      </c>
      <c r="L18" s="10" t="inlineStr">
        <is>
          <t>LGC Virtual Account</t>
        </is>
      </c>
      <c r="M18" s="12" t="n">
        <v>46204</v>
      </c>
      <c r="N18" s="9" t="inlineStr">
        <is>
          <t>Yes</t>
        </is>
      </c>
      <c r="O18" s="10" t="inlineStr">
        <is>
          <t>LGCS_4103742938, LGCS_4103742939</t>
        </is>
      </c>
      <c r="P18" s="9" t="inlineStr">
        <is>
          <t>Yes</t>
        </is>
      </c>
      <c r="Q18" s="13" t="inlineStr">
        <is>
          <t>Not started</t>
        </is>
      </c>
      <c r="R18" s="14" t="n"/>
      <c r="S18" s="15" t="inlineStr"/>
    </row>
    <row r="19">
      <c r="A19" s="9" t="n">
        <v>15</v>
      </c>
      <c r="B19" s="9" t="inlineStr">
        <is>
          <t>NSW</t>
        </is>
      </c>
      <c r="C19" s="10" t="inlineStr">
        <is>
          <t>North Ryde T1 - Level 3</t>
        </is>
      </c>
      <c r="D19" s="10" t="inlineStr">
        <is>
          <t>1007</t>
        </is>
      </c>
      <c r="E19" s="11" t="inlineStr">
        <is>
          <t>4103742939</t>
        </is>
      </c>
      <c r="F19" s="10" t="inlineStr">
        <is>
          <t>Permanent</t>
        </is>
      </c>
      <c r="G19" s="11" t="inlineStr">
        <is>
          <t>50002617966_4103742939</t>
        </is>
      </c>
      <c r="H19" s="10" t="inlineStr">
        <is>
          <t>Origin · Electricity Large Market</t>
        </is>
      </c>
      <c r="I19" s="11" t="inlineStr">
        <is>
          <t>50002617966_4103742939_CERTS</t>
        </is>
      </c>
      <c r="J19" s="10" t="inlineStr">
        <is>
          <t>Certificates - Location - kWh</t>
        </is>
      </c>
      <c r="K19" s="11" t="inlineStr">
        <is>
          <t>4103742939</t>
        </is>
      </c>
      <c r="L19" s="10" t="inlineStr">
        <is>
          <t>LGC Virtual Account</t>
        </is>
      </c>
      <c r="M19" s="12" t="n">
        <v>46204</v>
      </c>
      <c r="N19" s="9" t="inlineStr">
        <is>
          <t>Yes</t>
        </is>
      </c>
      <c r="O19" s="10" t="inlineStr">
        <is>
          <t>LGCS_4103742938, LGCS_4103742939</t>
        </is>
      </c>
      <c r="P19" s="9" t="inlineStr">
        <is>
          <t>Yes</t>
        </is>
      </c>
      <c r="Q19" s="13" t="inlineStr">
        <is>
          <t>Not started</t>
        </is>
      </c>
      <c r="R19" s="14" t="n"/>
      <c r="S19" s="15" t="inlineStr"/>
    </row>
    <row r="20">
      <c r="A20" s="9" t="n">
        <v>16</v>
      </c>
      <c r="B20" s="9" t="inlineStr">
        <is>
          <t>NSW</t>
        </is>
      </c>
      <c r="C20" s="10" t="inlineStr">
        <is>
          <t>North Ryde T1 - Level 4</t>
        </is>
      </c>
      <c r="D20" s="10" t="inlineStr">
        <is>
          <t>1008</t>
        </is>
      </c>
      <c r="E20" s="11" t="inlineStr">
        <is>
          <t>4103742940</t>
        </is>
      </c>
      <c r="F20" s="10" t="inlineStr">
        <is>
          <t>Permanent</t>
        </is>
      </c>
      <c r="G20" s="11" t="inlineStr">
        <is>
          <t>50002617985_4103742940</t>
        </is>
      </c>
      <c r="H20" s="10" t="inlineStr">
        <is>
          <t>Origin · Electricity Large Market</t>
        </is>
      </c>
      <c r="I20" s="11" t="inlineStr">
        <is>
          <t>50002617985_4103742940_CERTS</t>
        </is>
      </c>
      <c r="J20" s="10" t="inlineStr">
        <is>
          <t>Certificates - Location - kWh</t>
        </is>
      </c>
      <c r="K20" s="11" t="inlineStr">
        <is>
          <t>4103742940</t>
        </is>
      </c>
      <c r="L20" s="10" t="inlineStr">
        <is>
          <t>LGC Virtual Account</t>
        </is>
      </c>
      <c r="M20" s="12" t="n">
        <v>46204</v>
      </c>
      <c r="N20" s="9" t="inlineStr">
        <is>
          <t>Yes</t>
        </is>
      </c>
      <c r="O20" s="10" t="inlineStr">
        <is>
          <t>LGCS_4103742940</t>
        </is>
      </c>
      <c r="P20" s="9" t="inlineStr">
        <is>
          <t>Yes</t>
        </is>
      </c>
      <c r="Q20" s="13" t="inlineStr">
        <is>
          <t>Not started</t>
        </is>
      </c>
      <c r="R20" s="14" t="n"/>
      <c r="S20" s="15" t="inlineStr"/>
    </row>
    <row r="21">
      <c r="A21" s="9" t="n">
        <v>17</v>
      </c>
      <c r="B21" s="9" t="inlineStr">
        <is>
          <t>NSW</t>
        </is>
      </c>
      <c r="C21" s="10" t="inlineStr">
        <is>
          <t>North Ryde T3 - Level 2</t>
        </is>
      </c>
      <c r="D21" s="10" t="inlineStr">
        <is>
          <t>1013</t>
        </is>
      </c>
      <c r="E21" s="11" t="inlineStr">
        <is>
          <t>4103759848</t>
        </is>
      </c>
      <c r="F21" s="10" t="inlineStr">
        <is>
          <t>Permanent</t>
        </is>
      </c>
      <c r="G21" s="11" t="inlineStr">
        <is>
          <t>50002617958_4103759848</t>
        </is>
      </c>
      <c r="H21" s="10" t="inlineStr">
        <is>
          <t>Origin · Electricity Large Market</t>
        </is>
      </c>
      <c r="I21" s="11" t="inlineStr">
        <is>
          <t>50002617958_4103759848_CERTS</t>
        </is>
      </c>
      <c r="J21" s="10" t="inlineStr">
        <is>
          <t>Certificates - Location - kWh</t>
        </is>
      </c>
      <c r="K21" s="11" t="inlineStr">
        <is>
          <t>4103759848</t>
        </is>
      </c>
      <c r="L21" s="10" t="inlineStr">
        <is>
          <t>LGC Virtual Account</t>
        </is>
      </c>
      <c r="M21" s="12" t="n">
        <v>46204</v>
      </c>
      <c r="N21" s="9" t="inlineStr">
        <is>
          <t>Yes</t>
        </is>
      </c>
      <c r="O21" s="10" t="inlineStr">
        <is>
          <t>LGCS_4103759848</t>
        </is>
      </c>
      <c r="P21" s="9" t="inlineStr">
        <is>
          <t>Yes</t>
        </is>
      </c>
      <c r="Q21" s="13" t="inlineStr">
        <is>
          <t>Not started</t>
        </is>
      </c>
      <c r="R21" s="14" t="n"/>
      <c r="S21" s="15" t="inlineStr"/>
    </row>
    <row r="22">
      <c r="A22" s="9" t="n">
        <v>18</v>
      </c>
      <c r="B22" s="9" t="inlineStr">
        <is>
          <t>NSW</t>
        </is>
      </c>
      <c r="C22" s="10" t="inlineStr">
        <is>
          <t>North Ryde T3 - Level 3</t>
        </is>
      </c>
      <c r="D22" s="10" t="inlineStr">
        <is>
          <t>1009</t>
        </is>
      </c>
      <c r="E22" s="11" t="inlineStr">
        <is>
          <t>4103759849</t>
        </is>
      </c>
      <c r="F22" s="10" t="inlineStr">
        <is>
          <t>Permanent</t>
        </is>
      </c>
      <c r="G22" s="11" t="inlineStr">
        <is>
          <t>50002617952_4103759849</t>
        </is>
      </c>
      <c r="H22" s="10" t="inlineStr">
        <is>
          <t>Origin · Electricity Large Market</t>
        </is>
      </c>
      <c r="I22" s="11" t="inlineStr">
        <is>
          <t>50002617952_4103759849_CERTS</t>
        </is>
      </c>
      <c r="J22" s="10" t="inlineStr">
        <is>
          <t>Certificates - Location - kWh</t>
        </is>
      </c>
      <c r="K22" s="11" t="inlineStr">
        <is>
          <t>4103759849</t>
        </is>
      </c>
      <c r="L22" s="10" t="inlineStr">
        <is>
          <t>LGC Virtual Account</t>
        </is>
      </c>
      <c r="M22" s="12" t="n">
        <v>46204</v>
      </c>
      <c r="N22" s="9" t="inlineStr">
        <is>
          <t>Yes</t>
        </is>
      </c>
      <c r="O22" s="10" t="inlineStr">
        <is>
          <t>LGCS_4103759849</t>
        </is>
      </c>
      <c r="P22" s="9" t="inlineStr">
        <is>
          <t>Yes</t>
        </is>
      </c>
      <c r="Q22" s="13" t="inlineStr">
        <is>
          <t>Not started</t>
        </is>
      </c>
      <c r="R22" s="14" t="n"/>
      <c r="S22" s="15" t="inlineStr"/>
    </row>
    <row r="23">
      <c r="A23" s="9" t="n">
        <v>19</v>
      </c>
      <c r="B23" s="9" t="inlineStr">
        <is>
          <t>NSW</t>
        </is>
      </c>
      <c r="C23" s="10" t="inlineStr">
        <is>
          <t>PPP - HQJOC (ACT)</t>
        </is>
      </c>
      <c r="D23" s="10" t="inlineStr">
        <is>
          <t>9092</t>
        </is>
      </c>
      <c r="E23" s="11" t="inlineStr">
        <is>
          <t>4001200751</t>
        </is>
      </c>
      <c r="F23" s="10" t="inlineStr">
        <is>
          <t>Permanent</t>
        </is>
      </c>
      <c r="G23" s="11" t="inlineStr">
        <is>
          <t>50002617969_4001200751</t>
        </is>
      </c>
      <c r="H23" s="10" t="inlineStr">
        <is>
          <t>Origin · Electricity Large Market</t>
        </is>
      </c>
      <c r="I23" s="11" t="inlineStr">
        <is>
          <t>50002617969_4001200751_CERTS</t>
        </is>
      </c>
      <c r="J23" s="10" t="inlineStr">
        <is>
          <t>Certificates - Location - kWh</t>
        </is>
      </c>
      <c r="K23" s="11" t="inlineStr">
        <is>
          <t>4001200751</t>
        </is>
      </c>
      <c r="L23" s="10" t="inlineStr">
        <is>
          <t>LGC Virtual Account</t>
        </is>
      </c>
      <c r="M23" s="12" t="n">
        <v>46204</v>
      </c>
      <c r="N23" s="9" t="inlineStr">
        <is>
          <t>Yes</t>
        </is>
      </c>
      <c r="O23" s="10" t="inlineStr"/>
      <c r="P23" s="9" t="inlineStr">
        <is>
          <t>Yes</t>
        </is>
      </c>
      <c r="Q23" s="13" t="inlineStr">
        <is>
          <t>Not started</t>
        </is>
      </c>
      <c r="R23" s="14" t="n"/>
      <c r="S23" s="15" t="inlineStr"/>
    </row>
    <row r="24">
      <c r="A24" s="9" t="n">
        <v>20</v>
      </c>
      <c r="B24" s="9" t="inlineStr">
        <is>
          <t>NSW</t>
        </is>
      </c>
      <c r="C24" s="10" t="inlineStr">
        <is>
          <t>PPP - NSW Schools 2 (Ashtonfield PS)</t>
        </is>
      </c>
      <c r="D24" s="10" t="inlineStr">
        <is>
          <t>9008</t>
        </is>
      </c>
      <c r="E24" s="11" t="inlineStr">
        <is>
          <t>4103689689</t>
        </is>
      </c>
      <c r="F24" s="10" t="inlineStr">
        <is>
          <t>Permanent</t>
        </is>
      </c>
      <c r="G24" s="11" t="inlineStr">
        <is>
          <t>50002716068_4103689689</t>
        </is>
      </c>
      <c r="H24" s="10" t="inlineStr">
        <is>
          <t>Origin · Electricity Large Market</t>
        </is>
      </c>
      <c r="I24" s="11" t="inlineStr">
        <is>
          <t>50002716068_4103689689_CERTS</t>
        </is>
      </c>
      <c r="J24" s="10" t="inlineStr">
        <is>
          <t>Certificates - Location - kWh</t>
        </is>
      </c>
      <c r="K24" s="11" t="inlineStr">
        <is>
          <t>4103689689</t>
        </is>
      </c>
      <c r="L24" s="10" t="inlineStr">
        <is>
          <t>LGC Virtual Account</t>
        </is>
      </c>
      <c r="M24" s="12" t="n">
        <v>46204</v>
      </c>
      <c r="N24" s="9" t="inlineStr">
        <is>
          <t>Yes</t>
        </is>
      </c>
      <c r="O24" s="10" t="inlineStr"/>
      <c r="P24" s="9" t="inlineStr">
        <is>
          <t>Yes</t>
        </is>
      </c>
      <c r="Q24" s="13" t="inlineStr">
        <is>
          <t>Not started</t>
        </is>
      </c>
      <c r="R24" s="14" t="n"/>
      <c r="S24" s="15" t="inlineStr"/>
    </row>
    <row r="25">
      <c r="A25" s="9" t="n">
        <v>21</v>
      </c>
      <c r="B25" s="9" t="inlineStr">
        <is>
          <t>NSW</t>
        </is>
      </c>
      <c r="C25" s="10" t="inlineStr">
        <is>
          <t>PPP - NSW Schools 2 (Elderslie PS)</t>
        </is>
      </c>
      <c r="D25" s="10" t="inlineStr">
        <is>
          <t>9009</t>
        </is>
      </c>
      <c r="E25" s="11" t="inlineStr">
        <is>
          <t>4311006154</t>
        </is>
      </c>
      <c r="F25" s="10" t="inlineStr">
        <is>
          <t>Permanent</t>
        </is>
      </c>
      <c r="G25" s="11" t="inlineStr">
        <is>
          <t>50002617988_4311006154</t>
        </is>
      </c>
      <c r="H25" s="10" t="inlineStr">
        <is>
          <t>Origin · Electricity Large Market</t>
        </is>
      </c>
      <c r="I25" s="11" t="inlineStr">
        <is>
          <t>50002617988_4311006154_CERTS</t>
        </is>
      </c>
      <c r="J25" s="10" t="inlineStr">
        <is>
          <t>Certificates - Location - kWh</t>
        </is>
      </c>
      <c r="K25" s="11" t="inlineStr">
        <is>
          <t>4311006154</t>
        </is>
      </c>
      <c r="L25" s="10" t="inlineStr">
        <is>
          <t>LGC Virtual Account</t>
        </is>
      </c>
      <c r="M25" s="12" t="n">
        <v>46204</v>
      </c>
      <c r="N25" s="9" t="inlineStr">
        <is>
          <t>Yes</t>
        </is>
      </c>
      <c r="O25" s="10" t="inlineStr"/>
      <c r="P25" s="9" t="inlineStr">
        <is>
          <t>Yes</t>
        </is>
      </c>
      <c r="Q25" s="13" t="inlineStr">
        <is>
          <t>Not started</t>
        </is>
      </c>
      <c r="R25" s="14" t="n"/>
      <c r="S25" s="15" t="inlineStr"/>
    </row>
    <row r="26">
      <c r="A26" s="9" t="n">
        <v>22</v>
      </c>
      <c r="B26" s="9" t="inlineStr">
        <is>
          <t>NSW</t>
        </is>
      </c>
      <c r="C26" s="10" t="inlineStr">
        <is>
          <t>PPP - NSW Schools 2 (Halinda SSP)</t>
        </is>
      </c>
      <c r="D26" s="10" t="inlineStr">
        <is>
          <t>9010</t>
        </is>
      </c>
      <c r="E26" s="11" t="inlineStr">
        <is>
          <t>4310934278</t>
        </is>
      </c>
      <c r="F26" s="10" t="inlineStr">
        <is>
          <t>Permanent</t>
        </is>
      </c>
      <c r="G26" s="11" t="inlineStr">
        <is>
          <t>50002617986_4310934278</t>
        </is>
      </c>
      <c r="H26" s="10" t="inlineStr">
        <is>
          <t>Origin · Electricity Large Market</t>
        </is>
      </c>
      <c r="I26" s="11" t="inlineStr">
        <is>
          <t>50002617986_4310934278_CERTS</t>
        </is>
      </c>
      <c r="J26" s="10" t="inlineStr">
        <is>
          <t>Certificates - Location - kWh</t>
        </is>
      </c>
      <c r="K26" s="11" t="inlineStr">
        <is>
          <t>4310934278</t>
        </is>
      </c>
      <c r="L26" s="10" t="inlineStr">
        <is>
          <t>LGC Virtual Account</t>
        </is>
      </c>
      <c r="M26" s="12" t="n">
        <v>46204</v>
      </c>
      <c r="N26" s="9" t="inlineStr">
        <is>
          <t>Yes</t>
        </is>
      </c>
      <c r="O26" s="10" t="inlineStr"/>
      <c r="P26" s="9" t="inlineStr">
        <is>
          <t>Yes</t>
        </is>
      </c>
      <c r="Q26" s="13" t="inlineStr">
        <is>
          <t>Not started</t>
        </is>
      </c>
      <c r="R26" s="14" t="n"/>
      <c r="S26" s="15" t="inlineStr"/>
    </row>
    <row r="27">
      <c r="A27" s="9" t="n">
        <v>23</v>
      </c>
      <c r="B27" s="9" t="inlineStr">
        <is>
          <t>NSW</t>
        </is>
      </c>
      <c r="C27" s="10" t="inlineStr">
        <is>
          <t>PPP - NSW Schools 2 (John Palmer PS)</t>
        </is>
      </c>
      <c r="D27" s="10" t="inlineStr">
        <is>
          <t>9011</t>
        </is>
      </c>
      <c r="E27" s="11" t="inlineStr">
        <is>
          <t>4310957406</t>
        </is>
      </c>
      <c r="F27" s="10" t="inlineStr">
        <is>
          <t>Permanent</t>
        </is>
      </c>
      <c r="G27" s="11" t="inlineStr">
        <is>
          <t>50002617955_4310957406</t>
        </is>
      </c>
      <c r="H27" s="10" t="inlineStr">
        <is>
          <t>Origin · Electricity Large Market</t>
        </is>
      </c>
      <c r="I27" s="11" t="inlineStr">
        <is>
          <t>50002617955_4310957406_CERTS</t>
        </is>
      </c>
      <c r="J27" s="10" t="inlineStr">
        <is>
          <t>Certificates - Location - kWh</t>
        </is>
      </c>
      <c r="K27" s="11" t="inlineStr">
        <is>
          <t>4310957406</t>
        </is>
      </c>
      <c r="L27" s="10" t="inlineStr">
        <is>
          <t>LGC Virtual Account</t>
        </is>
      </c>
      <c r="M27" s="12" t="n">
        <v>46204</v>
      </c>
      <c r="N27" s="9" t="inlineStr">
        <is>
          <t>Yes</t>
        </is>
      </c>
      <c r="O27" s="10" t="inlineStr"/>
      <c r="P27" s="9" t="inlineStr">
        <is>
          <t>Yes</t>
        </is>
      </c>
      <c r="Q27" s="13" t="inlineStr">
        <is>
          <t>Not started</t>
        </is>
      </c>
      <c r="R27" s="14" t="n"/>
      <c r="S27" s="15" t="inlineStr"/>
    </row>
    <row r="28">
      <c r="A28" s="9" t="n">
        <v>24</v>
      </c>
      <c r="B28" s="9" t="inlineStr">
        <is>
          <t>NSW</t>
        </is>
      </c>
      <c r="C28" s="10" t="inlineStr">
        <is>
          <t>PPP - NSW Schools 2 (Kariong)</t>
        </is>
      </c>
      <c r="D28" s="10" t="inlineStr">
        <is>
          <t>9001</t>
        </is>
      </c>
      <c r="E28" s="11" t="inlineStr">
        <is>
          <t>4103766552</t>
        </is>
      </c>
      <c r="F28" s="10" t="inlineStr">
        <is>
          <t>Permanent</t>
        </is>
      </c>
      <c r="G28" s="11" t="inlineStr">
        <is>
          <t>50002617993_4103766552</t>
        </is>
      </c>
      <c r="H28" s="10" t="inlineStr">
        <is>
          <t>Origin · Electricity Large Market</t>
        </is>
      </c>
      <c r="I28" s="11" t="inlineStr">
        <is>
          <t>50002617993_4103766552_CERTS</t>
        </is>
      </c>
      <c r="J28" s="10" t="inlineStr">
        <is>
          <t>Certificates - Location - kWh</t>
        </is>
      </c>
      <c r="K28" s="11" t="inlineStr">
        <is>
          <t>4103766552</t>
        </is>
      </c>
      <c r="L28" s="10" t="inlineStr">
        <is>
          <t>LGC Virtual Account</t>
        </is>
      </c>
      <c r="M28" s="12" t="n">
        <v>46204</v>
      </c>
      <c r="N28" s="9" t="inlineStr">
        <is>
          <t>Yes</t>
        </is>
      </c>
      <c r="O28" s="10" t="inlineStr"/>
      <c r="P28" s="9" t="inlineStr">
        <is>
          <t>Yes</t>
        </is>
      </c>
      <c r="Q28" s="13" t="inlineStr">
        <is>
          <t>Not started</t>
        </is>
      </c>
      <c r="R28" s="14" t="n"/>
      <c r="S28" s="15" t="inlineStr"/>
    </row>
    <row r="29">
      <c r="A29" s="9" t="n">
        <v>25</v>
      </c>
      <c r="B29" s="9" t="inlineStr">
        <is>
          <t>NSW</t>
        </is>
      </c>
      <c r="C29" s="10" t="inlineStr">
        <is>
          <t>PPP - NSW Schools 2 (Kelso HS)</t>
        </is>
      </c>
      <c r="D29" s="10" t="inlineStr">
        <is>
          <t>9002</t>
        </is>
      </c>
      <c r="E29" s="11" t="inlineStr">
        <is>
          <t>4001198085</t>
        </is>
      </c>
      <c r="F29" s="10" t="inlineStr">
        <is>
          <t>Permanent</t>
        </is>
      </c>
      <c r="G29" s="11" t="inlineStr">
        <is>
          <t>50002617982_4001198085</t>
        </is>
      </c>
      <c r="H29" s="10" t="inlineStr">
        <is>
          <t>Origin · Electricity Large Market</t>
        </is>
      </c>
      <c r="I29" s="11" t="inlineStr">
        <is>
          <t>50002617982_4001198085_CERTS</t>
        </is>
      </c>
      <c r="J29" s="10" t="inlineStr">
        <is>
          <t>Certificates - Location - kWh</t>
        </is>
      </c>
      <c r="K29" s="11" t="inlineStr">
        <is>
          <t>4001198085</t>
        </is>
      </c>
      <c r="L29" s="10" t="inlineStr">
        <is>
          <t>LGC Virtual Account</t>
        </is>
      </c>
      <c r="M29" s="12" t="n">
        <v>46204</v>
      </c>
      <c r="N29" s="9" t="inlineStr">
        <is>
          <t>Yes</t>
        </is>
      </c>
      <c r="O29" s="10" t="inlineStr"/>
      <c r="P29" s="9" t="inlineStr">
        <is>
          <t>Yes</t>
        </is>
      </c>
      <c r="Q29" s="13" t="inlineStr">
        <is>
          <t>Not started</t>
        </is>
      </c>
      <c r="R29" s="14" t="n"/>
      <c r="S29" s="15" t="inlineStr"/>
    </row>
    <row r="30">
      <c r="A30" s="9" t="n">
        <v>26</v>
      </c>
      <c r="B30" s="9" t="inlineStr">
        <is>
          <t>NSW</t>
        </is>
      </c>
      <c r="C30" s="10" t="inlineStr">
        <is>
          <t>PPP - NSW Schools 2 (Middleton Grange PS)</t>
        </is>
      </c>
      <c r="D30" s="10" t="inlineStr">
        <is>
          <t>9003</t>
        </is>
      </c>
      <c r="E30" s="11" t="inlineStr">
        <is>
          <t>4311006155</t>
        </is>
      </c>
      <c r="F30" s="10" t="inlineStr">
        <is>
          <t>Permanent</t>
        </is>
      </c>
      <c r="G30" s="11" t="inlineStr">
        <is>
          <t>50002617951_4311006155</t>
        </is>
      </c>
      <c r="H30" s="10" t="inlineStr">
        <is>
          <t>Origin · Electricity Large Market</t>
        </is>
      </c>
      <c r="I30" s="11" t="inlineStr">
        <is>
          <t>50002617951_4311006155_CERTS</t>
        </is>
      </c>
      <c r="J30" s="10" t="inlineStr">
        <is>
          <t>Certificates - Location - kWh</t>
        </is>
      </c>
      <c r="K30" s="11" t="inlineStr">
        <is>
          <t>4311006155</t>
        </is>
      </c>
      <c r="L30" s="10" t="inlineStr">
        <is>
          <t>LGC Virtual Account</t>
        </is>
      </c>
      <c r="M30" s="12" t="n">
        <v>46204</v>
      </c>
      <c r="N30" s="9" t="inlineStr">
        <is>
          <t>Yes</t>
        </is>
      </c>
      <c r="O30" s="10" t="inlineStr"/>
      <c r="P30" s="9" t="inlineStr">
        <is>
          <t>Yes</t>
        </is>
      </c>
      <c r="Q30" s="13" t="inlineStr">
        <is>
          <t>Not started</t>
        </is>
      </c>
      <c r="R30" s="14" t="n"/>
      <c r="S30" s="15" t="inlineStr"/>
    </row>
    <row r="31">
      <c r="A31" s="9" t="n">
        <v>27</v>
      </c>
      <c r="B31" s="9" t="inlineStr">
        <is>
          <t>NSW</t>
        </is>
      </c>
      <c r="C31" s="10" t="inlineStr">
        <is>
          <t>PPP - NSW Schools 2 (Ropes Crossing PS)</t>
        </is>
      </c>
      <c r="D31" s="10" t="inlineStr">
        <is>
          <t>9004</t>
        </is>
      </c>
      <c r="E31" s="11" t="inlineStr">
        <is>
          <t>4310938258</t>
        </is>
      </c>
      <c r="F31" s="10" t="inlineStr">
        <is>
          <t>Permanent</t>
        </is>
      </c>
      <c r="G31" s="11" t="inlineStr">
        <is>
          <t>50002617970_4310938258</t>
        </is>
      </c>
      <c r="H31" s="10" t="inlineStr">
        <is>
          <t>Origin · Electricity Large Market</t>
        </is>
      </c>
      <c r="I31" s="11" t="inlineStr">
        <is>
          <t>50002617970_4310938258_CERTS</t>
        </is>
      </c>
      <c r="J31" s="10" t="inlineStr">
        <is>
          <t>Certificates - Location - kWh</t>
        </is>
      </c>
      <c r="K31" s="11" t="inlineStr">
        <is>
          <t>4310938258</t>
        </is>
      </c>
      <c r="L31" s="10" t="inlineStr">
        <is>
          <t>LGC Virtual Account</t>
        </is>
      </c>
      <c r="M31" s="12" t="n">
        <v>46204</v>
      </c>
      <c r="N31" s="9" t="inlineStr">
        <is>
          <t>Yes</t>
        </is>
      </c>
      <c r="O31" s="10" t="inlineStr"/>
      <c r="P31" s="9" t="inlineStr">
        <is>
          <t>Yes</t>
        </is>
      </c>
      <c r="Q31" s="13" t="inlineStr">
        <is>
          <t>Not started</t>
        </is>
      </c>
      <c r="R31" s="14" t="n"/>
      <c r="S31" s="15" t="inlineStr"/>
    </row>
    <row r="32">
      <c r="A32" s="9" t="n">
        <v>28</v>
      </c>
      <c r="B32" s="9" t="inlineStr">
        <is>
          <t>NSW</t>
        </is>
      </c>
      <c r="C32" s="10" t="inlineStr">
        <is>
          <t>PPP - NSW Schools 2 (Rouse Hill HS)</t>
        </is>
      </c>
      <c r="D32" s="10" t="inlineStr">
        <is>
          <t>9005</t>
        </is>
      </c>
      <c r="E32" s="11" t="inlineStr">
        <is>
          <t>4310984436</t>
        </is>
      </c>
      <c r="F32" s="10" t="inlineStr">
        <is>
          <t>Permanent</t>
        </is>
      </c>
      <c r="G32" s="11" t="inlineStr">
        <is>
          <t>50002617959_4310984436</t>
        </is>
      </c>
      <c r="H32" s="10" t="inlineStr">
        <is>
          <t>Origin · Electricity Large Market</t>
        </is>
      </c>
      <c r="I32" s="11" t="inlineStr">
        <is>
          <t>50002617959_4310984436_CERTS</t>
        </is>
      </c>
      <c r="J32" s="10" t="inlineStr">
        <is>
          <t>Certificates - Location - kWh</t>
        </is>
      </c>
      <c r="K32" s="11" t="inlineStr">
        <is>
          <t>4310984436</t>
        </is>
      </c>
      <c r="L32" s="10" t="inlineStr">
        <is>
          <t>LGC Virtual Account</t>
        </is>
      </c>
      <c r="M32" s="12" t="n">
        <v>46204</v>
      </c>
      <c r="N32" s="9" t="inlineStr">
        <is>
          <t>Yes</t>
        </is>
      </c>
      <c r="O32" s="10" t="inlineStr"/>
      <c r="P32" s="9" t="inlineStr">
        <is>
          <t>Yes</t>
        </is>
      </c>
      <c r="Q32" s="13" t="inlineStr">
        <is>
          <t>Not started</t>
        </is>
      </c>
      <c r="R32" s="14" t="n"/>
      <c r="S32" s="15" t="inlineStr"/>
    </row>
    <row r="33">
      <c r="A33" s="9" t="n">
        <v>29</v>
      </c>
      <c r="B33" s="9" t="inlineStr">
        <is>
          <t>NSW</t>
        </is>
      </c>
      <c r="C33" s="10" t="inlineStr">
        <is>
          <t>PPP - NSW Schools 2 (Tulimbar PS)</t>
        </is>
      </c>
      <c r="D33" s="10" t="inlineStr">
        <is>
          <t>9006</t>
        </is>
      </c>
      <c r="E33" s="11" t="inlineStr">
        <is>
          <t>4310955386</t>
        </is>
      </c>
      <c r="F33" s="10" t="inlineStr">
        <is>
          <t>Permanent</t>
        </is>
      </c>
      <c r="G33" s="11" t="inlineStr">
        <is>
          <t>50002716071_4310955386</t>
        </is>
      </c>
      <c r="H33" s="10" t="inlineStr">
        <is>
          <t>Origin · Electricity Large Market</t>
        </is>
      </c>
      <c r="I33" s="11" t="inlineStr">
        <is>
          <t>50002716071_4310955386_CERTS</t>
        </is>
      </c>
      <c r="J33" s="10" t="inlineStr">
        <is>
          <t>Certificates - Location - kWh</t>
        </is>
      </c>
      <c r="K33" s="11" t="inlineStr">
        <is>
          <t>4310955386</t>
        </is>
      </c>
      <c r="L33" s="10" t="inlineStr">
        <is>
          <t>LGC Virtual Account</t>
        </is>
      </c>
      <c r="M33" s="12" t="n">
        <v>46204</v>
      </c>
      <c r="N33" s="9" t="inlineStr">
        <is>
          <t>Yes</t>
        </is>
      </c>
      <c r="O33" s="10" t="inlineStr"/>
      <c r="P33" s="9" t="inlineStr">
        <is>
          <t>Yes</t>
        </is>
      </c>
      <c r="Q33" s="13" t="inlineStr">
        <is>
          <t>Not started</t>
        </is>
      </c>
      <c r="R33" s="14" t="n"/>
      <c r="S33" s="15" t="inlineStr"/>
    </row>
    <row r="34">
      <c r="A34" s="9" t="n">
        <v>30</v>
      </c>
      <c r="B34" s="9" t="inlineStr">
        <is>
          <t>NSW</t>
        </is>
      </c>
      <c r="C34" s="10" t="inlineStr">
        <is>
          <t>PPP - NSW Schools 2 (Warnervale PS)</t>
        </is>
      </c>
      <c r="D34" s="10" t="inlineStr">
        <is>
          <t>9007</t>
        </is>
      </c>
      <c r="E34" s="11" t="inlineStr">
        <is>
          <t>4103705443</t>
        </is>
      </c>
      <c r="F34" s="10" t="inlineStr">
        <is>
          <t>Permanent</t>
        </is>
      </c>
      <c r="G34" s="11" t="inlineStr">
        <is>
          <t>50002617995_4103705443</t>
        </is>
      </c>
      <c r="H34" s="10" t="inlineStr">
        <is>
          <t>Origin · Electricity Large Market</t>
        </is>
      </c>
      <c r="I34" s="11" t="inlineStr">
        <is>
          <t>50002617995_4103705443_CERTS</t>
        </is>
      </c>
      <c r="J34" s="10" t="inlineStr">
        <is>
          <t>Certificates - Location - kWh</t>
        </is>
      </c>
      <c r="K34" s="11" t="inlineStr">
        <is>
          <t>4103705443</t>
        </is>
      </c>
      <c r="L34" s="10" t="inlineStr">
        <is>
          <t>LGC Virtual Account</t>
        </is>
      </c>
      <c r="M34" s="12" t="n">
        <v>46204</v>
      </c>
      <c r="N34" s="9" t="inlineStr">
        <is>
          <t>Yes</t>
        </is>
      </c>
      <c r="O34" s="10" t="inlineStr"/>
      <c r="P34" s="9" t="inlineStr">
        <is>
          <t>Yes</t>
        </is>
      </c>
      <c r="Q34" s="13" t="inlineStr">
        <is>
          <t>Not started</t>
        </is>
      </c>
      <c r="R34" s="14" t="n"/>
      <c r="S34" s="15" t="inlineStr"/>
    </row>
    <row r="35">
      <c r="A35" s="9" t="n">
        <v>31</v>
      </c>
      <c r="B35" s="9" t="inlineStr">
        <is>
          <t>NSW</t>
        </is>
      </c>
      <c r="C35" s="10" t="inlineStr">
        <is>
          <t>PPP - SICEEP</t>
        </is>
      </c>
      <c r="D35" s="10" t="inlineStr">
        <is>
          <t>9077</t>
        </is>
      </c>
      <c r="E35" s="11" t="inlineStr">
        <is>
          <t>4103927804</t>
        </is>
      </c>
      <c r="F35" s="10" t="inlineStr">
        <is>
          <t>Permanent</t>
        </is>
      </c>
      <c r="G35" s="11" t="inlineStr">
        <is>
          <t>50002617960_4103927804</t>
        </is>
      </c>
      <c r="H35" s="10" t="inlineStr">
        <is>
          <t>Origin · Electricity Large Market</t>
        </is>
      </c>
      <c r="I35" s="11" t="inlineStr">
        <is>
          <t>50002617960_4103927804_CERTS</t>
        </is>
      </c>
      <c r="J35" s="10" t="inlineStr">
        <is>
          <t>Certificates - Location - kWh</t>
        </is>
      </c>
      <c r="K35" s="11" t="inlineStr">
        <is>
          <t>4103927804</t>
        </is>
      </c>
      <c r="L35" s="10" t="inlineStr">
        <is>
          <t>LGC Virtual Account</t>
        </is>
      </c>
      <c r="M35" s="12" t="n">
        <v>46204</v>
      </c>
      <c r="N35" s="9" t="inlineStr">
        <is>
          <t>Yes</t>
        </is>
      </c>
      <c r="O35" s="10" t="inlineStr">
        <is>
          <t>LGCS_4103927804, LGCS_4103927806, LGCS_4103927808, LGCS_4103927809</t>
        </is>
      </c>
      <c r="P35" s="9" t="inlineStr">
        <is>
          <t>Yes</t>
        </is>
      </c>
      <c r="Q35" s="13" t="inlineStr">
        <is>
          <t>Not started</t>
        </is>
      </c>
      <c r="R35" s="14" t="n"/>
      <c r="S35" s="15" t="inlineStr"/>
    </row>
    <row r="36">
      <c r="A36" s="9" t="n">
        <v>32</v>
      </c>
      <c r="B36" s="9" t="inlineStr">
        <is>
          <t>NSW</t>
        </is>
      </c>
      <c r="C36" s="10" t="inlineStr">
        <is>
          <t>PPP - SICEEP</t>
        </is>
      </c>
      <c r="D36" s="10" t="inlineStr">
        <is>
          <t>9077</t>
        </is>
      </c>
      <c r="E36" s="11" t="inlineStr">
        <is>
          <t>4103927806</t>
        </is>
      </c>
      <c r="F36" s="10" t="inlineStr">
        <is>
          <t>Permanent</t>
        </is>
      </c>
      <c r="G36" s="11" t="inlineStr">
        <is>
          <t>50002617968_4103927806</t>
        </is>
      </c>
      <c r="H36" s="10" t="inlineStr">
        <is>
          <t>Origin · Electricity Large Market</t>
        </is>
      </c>
      <c r="I36" s="11" t="inlineStr">
        <is>
          <t>50002617968_4103927806_CERTS</t>
        </is>
      </c>
      <c r="J36" s="10" t="inlineStr">
        <is>
          <t>Certificates - Location - kWh</t>
        </is>
      </c>
      <c r="K36" s="11" t="inlineStr">
        <is>
          <t>4103927806</t>
        </is>
      </c>
      <c r="L36" s="10" t="inlineStr">
        <is>
          <t>LGC Virtual Account</t>
        </is>
      </c>
      <c r="M36" s="12" t="n">
        <v>46204</v>
      </c>
      <c r="N36" s="9" t="inlineStr">
        <is>
          <t>Yes</t>
        </is>
      </c>
      <c r="O36" s="10" t="inlineStr">
        <is>
          <t>LGCS_4103927804, LGCS_4103927806, LGCS_4103927808, LGCS_4103927809</t>
        </is>
      </c>
      <c r="P36" s="9" t="inlineStr">
        <is>
          <t>Yes</t>
        </is>
      </c>
      <c r="Q36" s="13" t="inlineStr">
        <is>
          <t>Not started</t>
        </is>
      </c>
      <c r="R36" s="14" t="n"/>
      <c r="S36" s="15" t="inlineStr"/>
    </row>
    <row r="37">
      <c r="A37" s="9" t="n">
        <v>33</v>
      </c>
      <c r="B37" s="9" t="inlineStr">
        <is>
          <t>NSW</t>
        </is>
      </c>
      <c r="C37" s="10" t="inlineStr">
        <is>
          <t>PPP - SICEEP</t>
        </is>
      </c>
      <c r="D37" s="10" t="inlineStr">
        <is>
          <t>9077</t>
        </is>
      </c>
      <c r="E37" s="11" t="inlineStr">
        <is>
          <t>4103927808</t>
        </is>
      </c>
      <c r="F37" s="10" t="inlineStr">
        <is>
          <t>Permanent</t>
        </is>
      </c>
      <c r="G37" s="11" t="inlineStr">
        <is>
          <t>50002617956_4103927808</t>
        </is>
      </c>
      <c r="H37" s="10" t="inlineStr">
        <is>
          <t>Origin · Electricity Large Market</t>
        </is>
      </c>
      <c r="I37" s="11" t="inlineStr">
        <is>
          <t>50002617956_4103927808_CERTS</t>
        </is>
      </c>
      <c r="J37" s="10" t="inlineStr">
        <is>
          <t>Certificates - Location - kWh</t>
        </is>
      </c>
      <c r="K37" s="11" t="inlineStr">
        <is>
          <t>4103927808</t>
        </is>
      </c>
      <c r="L37" s="10" t="inlineStr">
        <is>
          <t>LGC Virtual Account</t>
        </is>
      </c>
      <c r="M37" s="12" t="n">
        <v>46204</v>
      </c>
      <c r="N37" s="9" t="inlineStr">
        <is>
          <t>Yes</t>
        </is>
      </c>
      <c r="O37" s="10" t="inlineStr">
        <is>
          <t>LGCS_4103927804, LGCS_4103927806, LGCS_4103927808, LGCS_4103927809</t>
        </is>
      </c>
      <c r="P37" s="9" t="inlineStr">
        <is>
          <t>Yes</t>
        </is>
      </c>
      <c r="Q37" s="13" t="inlineStr">
        <is>
          <t>Not started</t>
        </is>
      </c>
      <c r="R37" s="14" t="n"/>
      <c r="S37" s="15" t="inlineStr"/>
    </row>
    <row r="38">
      <c r="A38" s="9" t="n">
        <v>34</v>
      </c>
      <c r="B38" s="9" t="inlineStr">
        <is>
          <t>NSW</t>
        </is>
      </c>
      <c r="C38" s="10" t="inlineStr">
        <is>
          <t>PPP - SICEEP</t>
        </is>
      </c>
      <c r="D38" s="10" t="inlineStr">
        <is>
          <t>9077</t>
        </is>
      </c>
      <c r="E38" s="11" t="inlineStr">
        <is>
          <t>4103927809</t>
        </is>
      </c>
      <c r="F38" s="10" t="inlineStr">
        <is>
          <t>Permanent</t>
        </is>
      </c>
      <c r="G38" s="11" t="inlineStr">
        <is>
          <t>50002617980_4103927809</t>
        </is>
      </c>
      <c r="H38" s="10" t="inlineStr">
        <is>
          <t>Origin · Electricity Large Market</t>
        </is>
      </c>
      <c r="I38" s="11" t="inlineStr">
        <is>
          <t>50002617980_4103927809_CERTS</t>
        </is>
      </c>
      <c r="J38" s="10" t="inlineStr">
        <is>
          <t>Certificates - Location - kWh</t>
        </is>
      </c>
      <c r="K38" s="11" t="inlineStr">
        <is>
          <t>4103927809</t>
        </is>
      </c>
      <c r="L38" s="10" t="inlineStr">
        <is>
          <t>LGC Virtual Account</t>
        </is>
      </c>
      <c r="M38" s="12" t="n">
        <v>46204</v>
      </c>
      <c r="N38" s="9" t="inlineStr">
        <is>
          <t>Yes</t>
        </is>
      </c>
      <c r="O38" s="10" t="inlineStr">
        <is>
          <t>LGCS_4103927804, LGCS_4103927806, LGCS_4103927808, LGCS_4103927809</t>
        </is>
      </c>
      <c r="P38" s="9" t="inlineStr">
        <is>
          <t>Yes</t>
        </is>
      </c>
      <c r="Q38" s="13" t="inlineStr">
        <is>
          <t>Not started</t>
        </is>
      </c>
      <c r="R38" s="14" t="n"/>
      <c r="S38" s="15" t="inlineStr"/>
    </row>
    <row r="39">
      <c r="A39" s="9" t="n">
        <v>35</v>
      </c>
      <c r="B39" s="9" t="inlineStr">
        <is>
          <t>NSW</t>
        </is>
      </c>
      <c r="C39" s="10" t="inlineStr">
        <is>
          <t>RPQ NSW Chinderah</t>
        </is>
      </c>
      <c r="D39" s="10" t="inlineStr">
        <is>
          <t>L9.J.171210</t>
        </is>
      </c>
      <c r="E39" s="11" t="inlineStr">
        <is>
          <t>4407159054</t>
        </is>
      </c>
      <c r="F39" s="10" t="inlineStr">
        <is>
          <t>Permanent</t>
        </is>
      </c>
      <c r="G39" s="11" t="inlineStr">
        <is>
          <t>50002846159_4407159054</t>
        </is>
      </c>
      <c r="H39" s="10" t="inlineStr">
        <is>
          <t>Origin · Electricity Small Market</t>
        </is>
      </c>
      <c r="I39" s="11" t="inlineStr">
        <is>
          <t>50002846159_4407159054_CERTS</t>
        </is>
      </c>
      <c r="J39" s="10" t="inlineStr">
        <is>
          <t>Certificates - Location - kWh</t>
        </is>
      </c>
      <c r="K39" s="11" t="inlineStr">
        <is>
          <t>4407159054</t>
        </is>
      </c>
      <c r="L39" s="10" t="inlineStr">
        <is>
          <t>LGC Virtual Account</t>
        </is>
      </c>
      <c r="M39" s="12" t="n">
        <v>46204</v>
      </c>
      <c r="N39" s="9" t="inlineStr">
        <is>
          <t>Yes</t>
        </is>
      </c>
      <c r="O39" s="10" t="inlineStr">
        <is>
          <t>LGCS_4407159054</t>
        </is>
      </c>
      <c r="P39" s="9" t="inlineStr">
        <is>
          <t>Yes</t>
        </is>
      </c>
      <c r="Q39" s="13" t="inlineStr">
        <is>
          <t>Not started</t>
        </is>
      </c>
      <c r="R39" s="14" t="n"/>
      <c r="S39" s="15" t="inlineStr"/>
    </row>
    <row r="40">
      <c r="A40" s="9" t="n">
        <v>36</v>
      </c>
      <c r="B40" s="9" t="inlineStr">
        <is>
          <t>NSW</t>
        </is>
      </c>
      <c r="C40" s="10" t="inlineStr">
        <is>
          <t>RPQ NSW Moree</t>
        </is>
      </c>
      <c r="D40" s="10" t="inlineStr">
        <is>
          <t>L9.J.171220</t>
        </is>
      </c>
      <c r="E40" s="11" t="inlineStr">
        <is>
          <t>4001287259</t>
        </is>
      </c>
      <c r="F40" s="10" t="inlineStr">
        <is>
          <t>Permanent</t>
        </is>
      </c>
      <c r="G40" s="11" t="inlineStr">
        <is>
          <t>50002617997_4001287259</t>
        </is>
      </c>
      <c r="H40" s="10" t="inlineStr">
        <is>
          <t>Origin · Electricity Large Market</t>
        </is>
      </c>
      <c r="I40" s="11" t="inlineStr">
        <is>
          <t>50002617997_4001287259_CERTS</t>
        </is>
      </c>
      <c r="J40" s="10" t="inlineStr">
        <is>
          <t>Certificates - Location - kWh</t>
        </is>
      </c>
      <c r="K40" s="11" t="inlineStr">
        <is>
          <t>4001287259</t>
        </is>
      </c>
      <c r="L40" s="10" t="inlineStr">
        <is>
          <t>LGC Virtual Account</t>
        </is>
      </c>
      <c r="M40" s="12" t="n">
        <v>46204</v>
      </c>
      <c r="N40" s="9" t="inlineStr">
        <is>
          <t>Yes</t>
        </is>
      </c>
      <c r="O40" s="10" t="inlineStr">
        <is>
          <t>LGCS_4001287259</t>
        </is>
      </c>
      <c r="P40" s="9" t="inlineStr">
        <is>
          <t>Yes</t>
        </is>
      </c>
      <c r="Q40" s="13" t="inlineStr">
        <is>
          <t>Not started</t>
        </is>
      </c>
      <c r="R40" s="14" t="n"/>
      <c r="S40" s="15" t="inlineStr"/>
    </row>
    <row r="41">
      <c r="A41" s="9" t="n">
        <v>37</v>
      </c>
      <c r="B41" s="9" t="inlineStr">
        <is>
          <t>NSW</t>
        </is>
      </c>
      <c r="C41" s="10" t="inlineStr">
        <is>
          <t>Tamworth</t>
        </is>
      </c>
      <c r="D41" s="10" t="inlineStr">
        <is>
          <t>170937</t>
        </is>
      </c>
      <c r="E41" s="11" t="inlineStr">
        <is>
          <t>4001158058</t>
        </is>
      </c>
      <c r="F41" s="10" t="inlineStr">
        <is>
          <t>Permanent</t>
        </is>
      </c>
      <c r="G41" s="11" t="inlineStr">
        <is>
          <t>50002617983_4001158058</t>
        </is>
      </c>
      <c r="H41" s="10" t="inlineStr">
        <is>
          <t>Origin · Electricity Large Market</t>
        </is>
      </c>
      <c r="I41" s="11" t="inlineStr">
        <is>
          <t>50002617983_4001158058_CERTS</t>
        </is>
      </c>
      <c r="J41" s="10" t="inlineStr">
        <is>
          <t>Certificates - Location - kWh</t>
        </is>
      </c>
      <c r="K41" s="11" t="inlineStr">
        <is>
          <t>4001158058</t>
        </is>
      </c>
      <c r="L41" s="10" t="inlineStr">
        <is>
          <t>LGC Virtual Account</t>
        </is>
      </c>
      <c r="M41" s="12" t="n">
        <v>46204</v>
      </c>
      <c r="N41" s="9" t="inlineStr">
        <is>
          <t>No</t>
        </is>
      </c>
      <c r="O41" s="10" t="inlineStr">
        <is>
          <t>LGCS_4001158058</t>
        </is>
      </c>
      <c r="P41" s="9" t="inlineStr">
        <is>
          <t>Yes</t>
        </is>
      </c>
      <c r="Q41" s="13" t="inlineStr">
        <is>
          <t>Not started</t>
        </is>
      </c>
      <c r="R41" s="14" t="n"/>
      <c r="S41" s="15" t="inlineStr"/>
    </row>
    <row r="42">
      <c r="A42" s="9" t="n">
        <v>38</v>
      </c>
      <c r="B42" s="9" t="inlineStr">
        <is>
          <t>QLD</t>
        </is>
      </c>
      <c r="C42" s="10" t="inlineStr">
        <is>
          <t>Asphalt Prod - Archerfield (406)</t>
        </is>
      </c>
      <c r="D42" s="10" t="inlineStr">
        <is>
          <t>406</t>
        </is>
      </c>
      <c r="E42" s="11" t="inlineStr">
        <is>
          <t>QB05383854</t>
        </is>
      </c>
      <c r="F42" s="10" t="inlineStr">
        <is>
          <t>Temporary</t>
        </is>
      </c>
      <c r="G42" s="11" t="inlineStr">
        <is>
          <t>1003081_QB05383854</t>
        </is>
      </c>
      <c r="H42" s="10" t="inlineStr">
        <is>
          <t>CSEnergy · Electricity Small Market</t>
        </is>
      </c>
      <c r="I42" s="11" t="inlineStr">
        <is>
          <t>1003081_QB05383854_CERTS</t>
        </is>
      </c>
      <c r="J42" s="10" t="inlineStr">
        <is>
          <t>Certificates - Location - kWh</t>
        </is>
      </c>
      <c r="K42" s="11" t="inlineStr">
        <is>
          <t>QB05383854</t>
        </is>
      </c>
      <c r="L42" s="10" t="inlineStr">
        <is>
          <t>LGC Virtual Account</t>
        </is>
      </c>
      <c r="M42" s="12" t="n">
        <v>46204</v>
      </c>
      <c r="N42" s="9" t="inlineStr">
        <is>
          <t>Yes</t>
        </is>
      </c>
      <c r="O42" s="10" t="inlineStr">
        <is>
          <t>LGCS_QB05383854</t>
        </is>
      </c>
      <c r="P42" s="9" t="inlineStr">
        <is>
          <t>No</t>
        </is>
      </c>
      <c r="Q42" s="13" t="inlineStr">
        <is>
          <t>Not started</t>
        </is>
      </c>
      <c r="R42" s="14" t="n"/>
      <c r="S42" s="15" t="inlineStr"/>
    </row>
    <row r="43">
      <c r="A43" s="9" t="n">
        <v>39</v>
      </c>
      <c r="B43" s="9" t="inlineStr">
        <is>
          <t>QLD</t>
        </is>
      </c>
      <c r="C43" s="10" t="inlineStr">
        <is>
          <t>Asphalt Prod - Bli Bli (408)</t>
        </is>
      </c>
      <c r="D43" s="10" t="inlineStr">
        <is>
          <t>408</t>
        </is>
      </c>
      <c r="E43" s="11" t="inlineStr">
        <is>
          <t>3120103988</t>
        </is>
      </c>
      <c r="F43" s="10" t="inlineStr">
        <is>
          <t>Temporary</t>
        </is>
      </c>
      <c r="G43" s="11" t="inlineStr">
        <is>
          <t>1003079_3120103988</t>
        </is>
      </c>
      <c r="H43" s="10" t="inlineStr">
        <is>
          <t>CSEnergy · Electricity Small Market</t>
        </is>
      </c>
      <c r="I43" s="11" t="inlineStr">
        <is>
          <t>1003079_3120103988_CERTS</t>
        </is>
      </c>
      <c r="J43" s="10" t="inlineStr">
        <is>
          <t>Certificates - Location - kWh</t>
        </is>
      </c>
      <c r="K43" s="11" t="inlineStr">
        <is>
          <t>3120103988</t>
        </is>
      </c>
      <c r="L43" s="10" t="inlineStr">
        <is>
          <t>LGC Virtual Account</t>
        </is>
      </c>
      <c r="M43" s="12" t="n">
        <v>46204</v>
      </c>
      <c r="N43" s="9" t="inlineStr">
        <is>
          <t>Yes</t>
        </is>
      </c>
      <c r="O43" s="10" t="inlineStr">
        <is>
          <t>LGCS_3120103988</t>
        </is>
      </c>
      <c r="P43" s="9" t="inlineStr">
        <is>
          <t>No</t>
        </is>
      </c>
      <c r="Q43" s="13" t="inlineStr">
        <is>
          <t>Not started</t>
        </is>
      </c>
      <c r="R43" s="14" t="n"/>
      <c r="S43" s="15" t="inlineStr"/>
    </row>
    <row r="44">
      <c r="A44" s="9" t="n">
        <v>40</v>
      </c>
      <c r="B44" s="9" t="inlineStr">
        <is>
          <t>QLD</t>
        </is>
      </c>
      <c r="C44" s="10" t="inlineStr">
        <is>
          <t>Asphalt Prod - Brendale (423)</t>
        </is>
      </c>
      <c r="D44" s="10" t="inlineStr">
        <is>
          <t>423</t>
        </is>
      </c>
      <c r="E44" s="11" t="inlineStr">
        <is>
          <t>3120725958</t>
        </is>
      </c>
      <c r="F44" s="10" t="inlineStr">
        <is>
          <t>Permanent</t>
        </is>
      </c>
      <c r="G44" s="11" t="inlineStr">
        <is>
          <t>900018199_3120725958</t>
        </is>
      </c>
      <c r="H44" s="10" t="inlineStr">
        <is>
          <t>EngieAU · Electricity Small Market</t>
        </is>
      </c>
      <c r="I44" s="11" t="inlineStr">
        <is>
          <t>900018199_3120725958_CERTS</t>
        </is>
      </c>
      <c r="J44" s="10" t="inlineStr">
        <is>
          <t>Certificates - Location - kWh</t>
        </is>
      </c>
      <c r="K44" s="11" t="inlineStr">
        <is>
          <t>3120725958</t>
        </is>
      </c>
      <c r="L44" s="10" t="inlineStr">
        <is>
          <t>LGC Virtual Account</t>
        </is>
      </c>
      <c r="M44" s="12" t="n">
        <v>46204</v>
      </c>
      <c r="N44" s="9" t="inlineStr">
        <is>
          <t>No</t>
        </is>
      </c>
      <c r="O44" s="10" t="inlineStr">
        <is>
          <t>LGCS_3120725958</t>
        </is>
      </c>
      <c r="P44" s="9" t="inlineStr">
        <is>
          <t>Yes</t>
        </is>
      </c>
      <c r="Q44" s="13" t="inlineStr">
        <is>
          <t>Not started</t>
        </is>
      </c>
      <c r="R44" s="14" t="n"/>
      <c r="S44" s="15" t="inlineStr"/>
    </row>
    <row r="45">
      <c r="A45" s="9" t="n">
        <v>41</v>
      </c>
      <c r="B45" s="9" t="inlineStr">
        <is>
          <t>QLD</t>
        </is>
      </c>
      <c r="C45" s="10" t="inlineStr">
        <is>
          <t>Corporate - Offices (Cairns QLD)</t>
        </is>
      </c>
      <c r="D45" s="10" t="inlineStr">
        <is>
          <t>L9.WAU.000812</t>
        </is>
      </c>
      <c r="E45" s="11" t="inlineStr">
        <is>
          <t>3030075637</t>
        </is>
      </c>
      <c r="F45" s="10" t="inlineStr">
        <is>
          <t>Permanent</t>
        </is>
      </c>
      <c r="G45" s="11" t="inlineStr">
        <is>
          <t>900018202_3030075637</t>
        </is>
      </c>
      <c r="H45" s="10" t="inlineStr">
        <is>
          <t>EngieAU · Electricity Small Market</t>
        </is>
      </c>
      <c r="I45" s="11" t="inlineStr">
        <is>
          <t>900018202_3030075637_CERTS</t>
        </is>
      </c>
      <c r="J45" s="10" t="inlineStr">
        <is>
          <t>Certificates - Location - kWh</t>
        </is>
      </c>
      <c r="K45" s="11" t="inlineStr">
        <is>
          <t>3030075637</t>
        </is>
      </c>
      <c r="L45" s="10" t="inlineStr">
        <is>
          <t>LGC Virtual Account</t>
        </is>
      </c>
      <c r="M45" s="12" t="n">
        <v>46204</v>
      </c>
      <c r="N45" s="9" t="inlineStr">
        <is>
          <t>No</t>
        </is>
      </c>
      <c r="O45" s="10" t="inlineStr">
        <is>
          <t>LGCS_3030075637</t>
        </is>
      </c>
      <c r="P45" s="9" t="inlineStr">
        <is>
          <t>Yes</t>
        </is>
      </c>
      <c r="Q45" s="13" t="inlineStr">
        <is>
          <t>Not started</t>
        </is>
      </c>
      <c r="R45" s="14" t="n"/>
      <c r="S45" s="15" t="inlineStr"/>
    </row>
    <row r="46">
      <c r="A46" s="9" t="n">
        <v>42</v>
      </c>
      <c r="B46" s="9" t="inlineStr">
        <is>
          <t>QLD</t>
        </is>
      </c>
      <c r="C46" s="10" t="inlineStr">
        <is>
          <t>Gympie</t>
        </is>
      </c>
      <c r="D46" s="10" t="inlineStr">
        <is>
          <t>142</t>
        </is>
      </c>
      <c r="E46" s="11" t="inlineStr">
        <is>
          <t>3120129028</t>
        </is>
      </c>
      <c r="F46" s="10" t="inlineStr">
        <is>
          <t>Temporary</t>
        </is>
      </c>
      <c r="G46" s="11" t="inlineStr">
        <is>
          <t>1003085_3120129028</t>
        </is>
      </c>
      <c r="H46" s="10" t="inlineStr">
        <is>
          <t>CSEnergy · Electricity Small Market</t>
        </is>
      </c>
      <c r="I46" s="11" t="inlineStr">
        <is>
          <t>1003085_3120129028_CERTS</t>
        </is>
      </c>
      <c r="J46" s="10" t="inlineStr">
        <is>
          <t>Certificates - Location - kWh</t>
        </is>
      </c>
      <c r="K46" s="11" t="inlineStr">
        <is>
          <t>3120129028</t>
        </is>
      </c>
      <c r="L46" s="10" t="inlineStr">
        <is>
          <t>LGC Virtual Account</t>
        </is>
      </c>
      <c r="M46" s="12" t="n">
        <v>46204</v>
      </c>
      <c r="N46" s="9" t="inlineStr">
        <is>
          <t>Yes</t>
        </is>
      </c>
      <c r="O46" s="10" t="inlineStr">
        <is>
          <t>LGCS_3120129028</t>
        </is>
      </c>
      <c r="P46" s="9" t="inlineStr">
        <is>
          <t>No</t>
        </is>
      </c>
      <c r="Q46" s="13" t="inlineStr">
        <is>
          <t>Not started</t>
        </is>
      </c>
      <c r="R46" s="14" t="n"/>
      <c r="S46" s="15" t="inlineStr"/>
    </row>
    <row r="47">
      <c r="A47" s="9" t="n">
        <v>43</v>
      </c>
      <c r="B47" s="9" t="inlineStr">
        <is>
          <t>QLD</t>
        </is>
      </c>
      <c r="C47" s="10" t="inlineStr">
        <is>
          <t>MT-Carrara</t>
        </is>
      </c>
      <c r="D47" s="10" t="inlineStr">
        <is>
          <t>MT-39510068</t>
        </is>
      </c>
      <c r="E47" s="11" t="inlineStr">
        <is>
          <t>QB06081428</t>
        </is>
      </c>
      <c r="F47" s="10" t="inlineStr">
        <is>
          <t>Permanent</t>
        </is>
      </c>
      <c r="G47" s="11" t="inlineStr">
        <is>
          <t>900018198_QB06081428</t>
        </is>
      </c>
      <c r="H47" s="10" t="inlineStr">
        <is>
          <t>EngieAU · Electricity Small Market</t>
        </is>
      </c>
      <c r="I47" s="11" t="inlineStr">
        <is>
          <t>900018198_QB06081428_CERTS</t>
        </is>
      </c>
      <c r="J47" s="10" t="inlineStr">
        <is>
          <t>Certificates - Location - kWh</t>
        </is>
      </c>
      <c r="K47" s="11" t="inlineStr">
        <is>
          <t>QB06081428</t>
        </is>
      </c>
      <c r="L47" s="10" t="inlineStr">
        <is>
          <t>LGC Virtual Account</t>
        </is>
      </c>
      <c r="M47" s="12" t="n">
        <v>46204</v>
      </c>
      <c r="N47" s="9" t="inlineStr">
        <is>
          <t>No</t>
        </is>
      </c>
      <c r="O47" s="10" t="inlineStr">
        <is>
          <t>LGCS_QB06081428, LGCS_QB06082220</t>
        </is>
      </c>
      <c r="P47" s="9" t="inlineStr">
        <is>
          <t>Yes</t>
        </is>
      </c>
      <c r="Q47" s="13" t="inlineStr">
        <is>
          <t>Not started</t>
        </is>
      </c>
      <c r="R47" s="14" t="n"/>
      <c r="S47" s="15" t="inlineStr"/>
    </row>
    <row r="48">
      <c r="A48" s="9" t="n">
        <v>44</v>
      </c>
      <c r="B48" s="9" t="inlineStr">
        <is>
          <t>QLD</t>
        </is>
      </c>
      <c r="C48" s="10" t="inlineStr">
        <is>
          <t>MT-Carrara</t>
        </is>
      </c>
      <c r="D48" s="10" t="inlineStr">
        <is>
          <t>MT-39510068</t>
        </is>
      </c>
      <c r="E48" s="11" t="inlineStr">
        <is>
          <t>QB06082220</t>
        </is>
      </c>
      <c r="F48" s="10" t="inlineStr">
        <is>
          <t>Permanent</t>
        </is>
      </c>
      <c r="G48" s="11" t="inlineStr">
        <is>
          <t>900018193_QB06082220</t>
        </is>
      </c>
      <c r="H48" s="10" t="inlineStr">
        <is>
          <t>EngieAU · Electricity Small Market</t>
        </is>
      </c>
      <c r="I48" s="11" t="inlineStr">
        <is>
          <t>900018193_QB06082220_CERTS</t>
        </is>
      </c>
      <c r="J48" s="10" t="inlineStr">
        <is>
          <t>Certificates - Location - kWh</t>
        </is>
      </c>
      <c r="K48" s="11" t="inlineStr">
        <is>
          <t>QB06082220</t>
        </is>
      </c>
      <c r="L48" s="10" t="inlineStr">
        <is>
          <t>LGC Virtual Account</t>
        </is>
      </c>
      <c r="M48" s="12" t="n">
        <v>46204</v>
      </c>
      <c r="N48" s="9" t="inlineStr">
        <is>
          <t>No</t>
        </is>
      </c>
      <c r="O48" s="10" t="inlineStr">
        <is>
          <t>LGCS_QB06081428, LGCS_QB06082220</t>
        </is>
      </c>
      <c r="P48" s="9" t="inlineStr">
        <is>
          <t>No</t>
        </is>
      </c>
      <c r="Q48" s="13" t="inlineStr">
        <is>
          <t>Not started</t>
        </is>
      </c>
      <c r="R48" s="14" t="n"/>
      <c r="S48" s="15" t="inlineStr"/>
    </row>
    <row r="49">
      <c r="A49" s="9" t="n">
        <v>45</v>
      </c>
      <c r="B49" s="9" t="inlineStr">
        <is>
          <t>QLD</t>
        </is>
      </c>
      <c r="C49" s="10" t="inlineStr">
        <is>
          <t>Maryborough</t>
        </is>
      </c>
      <c r="D49" s="10" t="inlineStr">
        <is>
          <t>3011</t>
        </is>
      </c>
      <c r="E49" s="11" t="inlineStr">
        <is>
          <t>QGGG000010</t>
        </is>
      </c>
      <c r="F49" s="10" t="inlineStr">
        <is>
          <t>Permanent</t>
        </is>
      </c>
      <c r="G49" s="11" t="inlineStr">
        <is>
          <t>900018200_QGGG000010</t>
        </is>
      </c>
      <c r="H49" s="10" t="inlineStr">
        <is>
          <t>EngieAU · Electricity Small Market</t>
        </is>
      </c>
      <c r="I49" s="11" t="inlineStr">
        <is>
          <t>900018200_QGGG000010_CERTS</t>
        </is>
      </c>
      <c r="J49" s="10" t="inlineStr">
        <is>
          <t>Certificates - Location - kWh</t>
        </is>
      </c>
      <c r="K49" s="11" t="inlineStr">
        <is>
          <t>QGGG000010</t>
        </is>
      </c>
      <c r="L49" s="10" t="inlineStr">
        <is>
          <t>LGC Virtual Account</t>
        </is>
      </c>
      <c r="M49" s="12" t="n">
        <v>46204</v>
      </c>
      <c r="N49" s="9" t="inlineStr">
        <is>
          <t>No</t>
        </is>
      </c>
      <c r="O49" s="10" t="inlineStr">
        <is>
          <t>LGCS_QGGG000010, LGCS_QGGG000320</t>
        </is>
      </c>
      <c r="P49" s="9" t="inlineStr">
        <is>
          <t>Yes</t>
        </is>
      </c>
      <c r="Q49" s="13" t="inlineStr">
        <is>
          <t>Not started</t>
        </is>
      </c>
      <c r="R49" s="14" t="n"/>
      <c r="S49" s="15" t="inlineStr">
        <is>
          <t>Mirrors the gross NMI. The CQMS foundry deduction nets the location to about half - gross or net is with Category Management.</t>
        </is>
      </c>
    </row>
    <row r="50">
      <c r="A50" s="9" t="n">
        <v>46</v>
      </c>
      <c r="B50" s="9" t="inlineStr">
        <is>
          <t>QLD</t>
        </is>
      </c>
      <c r="C50" s="10" t="inlineStr">
        <is>
          <t>PPP - Southbank TAFE (QLD)</t>
        </is>
      </c>
      <c r="D50" s="10" t="inlineStr">
        <is>
          <t>9108</t>
        </is>
      </c>
      <c r="E50" s="11" t="inlineStr">
        <is>
          <t>3116382269</t>
        </is>
      </c>
      <c r="F50" s="10" t="inlineStr">
        <is>
          <t>Temporary</t>
        </is>
      </c>
      <c r="G50" s="11" t="inlineStr">
        <is>
          <t>1003074_3116382269</t>
        </is>
      </c>
      <c r="H50" s="10" t="inlineStr">
        <is>
          <t>CSEnergy · Electricity Small Market</t>
        </is>
      </c>
      <c r="I50" s="11" t="inlineStr">
        <is>
          <t>1003074_3116382269_CERTS</t>
        </is>
      </c>
      <c r="J50" s="10" t="inlineStr">
        <is>
          <t>Certificates - Location - kWh</t>
        </is>
      </c>
      <c r="K50" s="11" t="inlineStr">
        <is>
          <t>3116382269</t>
        </is>
      </c>
      <c r="L50" s="10" t="inlineStr">
        <is>
          <t>LGC Virtual Account</t>
        </is>
      </c>
      <c r="M50" s="12" t="n">
        <v>46204</v>
      </c>
      <c r="N50" s="9" t="inlineStr">
        <is>
          <t>Yes</t>
        </is>
      </c>
      <c r="O50" s="10" t="inlineStr"/>
      <c r="P50" s="9" t="inlineStr">
        <is>
          <t>No</t>
        </is>
      </c>
      <c r="Q50" s="13" t="inlineStr">
        <is>
          <t>Not started</t>
        </is>
      </c>
      <c r="R50" s="14" t="n"/>
      <c r="S50" s="15" t="inlineStr"/>
    </row>
    <row r="51">
      <c r="A51" s="9" t="n">
        <v>47</v>
      </c>
      <c r="B51" s="9" t="inlineStr">
        <is>
          <t>QLD</t>
        </is>
      </c>
      <c r="C51" s="10" t="inlineStr">
        <is>
          <t>PPP - Sunshine Coast University Hospital</t>
        </is>
      </c>
      <c r="D51" s="10" t="inlineStr">
        <is>
          <t>9078</t>
        </is>
      </c>
      <c r="E51" s="11" t="inlineStr">
        <is>
          <t>3120143385</t>
        </is>
      </c>
      <c r="F51" s="10" t="inlineStr">
        <is>
          <t>Temporary</t>
        </is>
      </c>
      <c r="G51" s="11" t="inlineStr">
        <is>
          <t>1003075_3120143385</t>
        </is>
      </c>
      <c r="H51" s="10" t="inlineStr">
        <is>
          <t>CSEnergy · Electricity Small Market</t>
        </is>
      </c>
      <c r="I51" s="11" t="inlineStr">
        <is>
          <t>1003075_3120143385_CERTS</t>
        </is>
      </c>
      <c r="J51" s="10" t="inlineStr">
        <is>
          <t>Certificates - Location - kWh</t>
        </is>
      </c>
      <c r="K51" s="11" t="inlineStr">
        <is>
          <t>3120143385</t>
        </is>
      </c>
      <c r="L51" s="10" t="inlineStr">
        <is>
          <t>LGC Virtual Account</t>
        </is>
      </c>
      <c r="M51" s="12" t="n">
        <v>46204</v>
      </c>
      <c r="N51" s="9" t="inlineStr">
        <is>
          <t>Yes</t>
        </is>
      </c>
      <c r="O51" s="10" t="inlineStr"/>
      <c r="P51" s="9" t="inlineStr">
        <is>
          <t>No</t>
        </is>
      </c>
      <c r="Q51" s="13" t="inlineStr">
        <is>
          <t>Not started</t>
        </is>
      </c>
      <c r="R51" s="14" t="n"/>
      <c r="S51" s="15" t="inlineStr"/>
    </row>
    <row r="52">
      <c r="A52" s="9" t="n">
        <v>48</v>
      </c>
      <c r="B52" s="9" t="inlineStr">
        <is>
          <t>QLD</t>
        </is>
      </c>
      <c r="C52" s="10" t="inlineStr">
        <is>
          <t>RPQ Spray Seal</t>
        </is>
      </c>
      <c r="D52" s="10" t="inlineStr">
        <is>
          <t>171230</t>
        </is>
      </c>
      <c r="E52" s="11" t="inlineStr">
        <is>
          <t>3051770385</t>
        </is>
      </c>
      <c r="F52" s="10" t="inlineStr">
        <is>
          <t>Temporary</t>
        </is>
      </c>
      <c r="G52" s="11" t="inlineStr">
        <is>
          <t>1003072_3051770385</t>
        </is>
      </c>
      <c r="H52" s="10" t="inlineStr">
        <is>
          <t>CSEnergy · Electricity Small Market</t>
        </is>
      </c>
      <c r="I52" s="11" t="inlineStr">
        <is>
          <t>1003072_3051770385_CERTS</t>
        </is>
      </c>
      <c r="J52" s="10" t="inlineStr">
        <is>
          <t>Certificates - Location - kWh</t>
        </is>
      </c>
      <c r="K52" s="11" t="inlineStr">
        <is>
          <t>3051770385</t>
        </is>
      </c>
      <c r="L52" s="10" t="inlineStr">
        <is>
          <t>LGC Virtual Account</t>
        </is>
      </c>
      <c r="M52" s="12" t="n">
        <v>46204</v>
      </c>
      <c r="N52" s="9" t="inlineStr">
        <is>
          <t>Yes</t>
        </is>
      </c>
      <c r="O52" s="10" t="inlineStr">
        <is>
          <t>LGCS_3051770385, LGCS_3120014382, LGCS_3120136120</t>
        </is>
      </c>
      <c r="P52" s="9" t="inlineStr">
        <is>
          <t>No</t>
        </is>
      </c>
      <c r="Q52" s="13" t="inlineStr">
        <is>
          <t>Not started</t>
        </is>
      </c>
      <c r="R52" s="14" t="n"/>
      <c r="S52" s="15" t="inlineStr"/>
    </row>
    <row r="53">
      <c r="A53" s="9" t="n">
        <v>49</v>
      </c>
      <c r="B53" s="9" t="inlineStr">
        <is>
          <t>QLD</t>
        </is>
      </c>
      <c r="C53" s="10" t="inlineStr">
        <is>
          <t>RPQ Spray Seal</t>
        </is>
      </c>
      <c r="D53" s="10" t="inlineStr">
        <is>
          <t>171230</t>
        </is>
      </c>
      <c r="E53" s="11" t="inlineStr">
        <is>
          <t>3120014382</t>
        </is>
      </c>
      <c r="F53" s="10" t="inlineStr">
        <is>
          <t>Temporary</t>
        </is>
      </c>
      <c r="G53" s="11" t="inlineStr">
        <is>
          <t>1003070_3120014382</t>
        </is>
      </c>
      <c r="H53" s="10" t="inlineStr">
        <is>
          <t>CSEnergy · Electricity Small Market</t>
        </is>
      </c>
      <c r="I53" s="11" t="inlineStr">
        <is>
          <t>1003070_3120014382_CERTS</t>
        </is>
      </c>
      <c r="J53" s="10" t="inlineStr">
        <is>
          <t>Certificates - Location - kWh</t>
        </is>
      </c>
      <c r="K53" s="11" t="inlineStr">
        <is>
          <t>3120014382</t>
        </is>
      </c>
      <c r="L53" s="10" t="inlineStr">
        <is>
          <t>LGC Virtual Account</t>
        </is>
      </c>
      <c r="M53" s="12" t="n">
        <v>46204</v>
      </c>
      <c r="N53" s="9" t="inlineStr">
        <is>
          <t>Yes</t>
        </is>
      </c>
      <c r="O53" s="10" t="inlineStr">
        <is>
          <t>LGCS_3051770385, LGCS_3120014382, LGCS_3120136120</t>
        </is>
      </c>
      <c r="P53" s="9" t="inlineStr">
        <is>
          <t>No</t>
        </is>
      </c>
      <c r="Q53" s="13" t="inlineStr">
        <is>
          <t>Not started</t>
        </is>
      </c>
      <c r="R53" s="14" t="n"/>
      <c r="S53" s="15" t="inlineStr"/>
    </row>
    <row r="54">
      <c r="A54" s="9" t="n">
        <v>50</v>
      </c>
      <c r="B54" s="9" t="inlineStr">
        <is>
          <t>QLD</t>
        </is>
      </c>
      <c r="C54" s="10" t="inlineStr">
        <is>
          <t>RPQ Swanbank</t>
        </is>
      </c>
      <c r="D54" s="10" t="inlineStr">
        <is>
          <t>171505</t>
        </is>
      </c>
      <c r="E54" s="11" t="inlineStr">
        <is>
          <t>3120070486</t>
        </is>
      </c>
      <c r="F54" s="10" t="inlineStr">
        <is>
          <t>Temporary</t>
        </is>
      </c>
      <c r="G54" s="11" t="inlineStr">
        <is>
          <t>1003071_3120070486</t>
        </is>
      </c>
      <c r="H54" s="10" t="inlineStr">
        <is>
          <t>CSEnergy · Electricity Small Market</t>
        </is>
      </c>
      <c r="I54" s="11" t="inlineStr">
        <is>
          <t>1003071_3120070486_CERTS</t>
        </is>
      </c>
      <c r="J54" s="10" t="inlineStr">
        <is>
          <t>Certificates - Location - kWh</t>
        </is>
      </c>
      <c r="K54" s="11" t="inlineStr">
        <is>
          <t>3120070486</t>
        </is>
      </c>
      <c r="L54" s="10" t="inlineStr">
        <is>
          <t>LGC Virtual Account</t>
        </is>
      </c>
      <c r="M54" s="12" t="n">
        <v>46204</v>
      </c>
      <c r="N54" s="9" t="inlineStr">
        <is>
          <t>Yes</t>
        </is>
      </c>
      <c r="O54" s="10" t="inlineStr">
        <is>
          <t>LGCS_3120070486</t>
        </is>
      </c>
      <c r="P54" s="9" t="inlineStr">
        <is>
          <t>No</t>
        </is>
      </c>
      <c r="Q54" s="13" t="inlineStr">
        <is>
          <t>Not started</t>
        </is>
      </c>
      <c r="R54" s="14" t="n"/>
      <c r="S54" s="15" t="inlineStr"/>
    </row>
    <row r="55">
      <c r="A55" s="9" t="n">
        <v>51</v>
      </c>
      <c r="B55" s="9" t="inlineStr">
        <is>
          <t>QLD</t>
        </is>
      </c>
      <c r="C55" s="10" t="inlineStr">
        <is>
          <t>Richlands</t>
        </is>
      </c>
      <c r="D55" s="10" t="inlineStr">
        <is>
          <t>2023</t>
        </is>
      </c>
      <c r="E55" s="11" t="inlineStr">
        <is>
          <t>3116600011</t>
        </is>
      </c>
      <c r="F55" s="10" t="inlineStr">
        <is>
          <t>Permanent</t>
        </is>
      </c>
      <c r="G55" s="11" t="inlineStr">
        <is>
          <t>900018192_3116600011</t>
        </is>
      </c>
      <c r="H55" s="10" t="inlineStr">
        <is>
          <t>EngieAU · Electricity Small Market</t>
        </is>
      </c>
      <c r="I55" s="11" t="inlineStr">
        <is>
          <t>900018192_3116600011_CERTS</t>
        </is>
      </c>
      <c r="J55" s="10" t="inlineStr">
        <is>
          <t>Certificates - Location - kWh</t>
        </is>
      </c>
      <c r="K55" s="11" t="inlineStr">
        <is>
          <t>3116600011</t>
        </is>
      </c>
      <c r="L55" s="10" t="inlineStr">
        <is>
          <t>LGC Virtual Account</t>
        </is>
      </c>
      <c r="M55" s="12" t="n">
        <v>46204</v>
      </c>
      <c r="N55" s="9" t="inlineStr">
        <is>
          <t>No</t>
        </is>
      </c>
      <c r="O55" s="10" t="inlineStr">
        <is>
          <t>LGCS_3116600011</t>
        </is>
      </c>
      <c r="P55" s="9" t="inlineStr">
        <is>
          <t>Yes</t>
        </is>
      </c>
      <c r="Q55" s="13" t="inlineStr">
        <is>
          <t>Not started</t>
        </is>
      </c>
      <c r="R55" s="14" t="n"/>
      <c r="S55" s="15" t="inlineStr"/>
    </row>
    <row r="56">
      <c r="A56" s="9" t="n">
        <v>52</v>
      </c>
      <c r="B56" s="9" t="inlineStr">
        <is>
          <t>QLD</t>
        </is>
      </c>
      <c r="C56" s="10" t="inlineStr">
        <is>
          <t>Teneriffe - Brisbane (QLD)</t>
        </is>
      </c>
      <c r="D56" s="10" t="inlineStr">
        <is>
          <t>1020</t>
        </is>
      </c>
      <c r="E56" s="11" t="inlineStr">
        <is>
          <t>3117134943</t>
        </is>
      </c>
      <c r="F56" s="10" t="inlineStr">
        <is>
          <t>Temporary</t>
        </is>
      </c>
      <c r="G56" s="11" t="inlineStr">
        <is>
          <t>1003084_3117134943</t>
        </is>
      </c>
      <c r="H56" s="10" t="inlineStr">
        <is>
          <t>CSEnergy · Electricity Small Market</t>
        </is>
      </c>
      <c r="I56" s="11" t="inlineStr">
        <is>
          <t>1003084_3117134943_CERTS</t>
        </is>
      </c>
      <c r="J56" s="10" t="inlineStr">
        <is>
          <t>Certificates - Location - kWh</t>
        </is>
      </c>
      <c r="K56" s="11" t="inlineStr">
        <is>
          <t>3117134943</t>
        </is>
      </c>
      <c r="L56" s="10" t="inlineStr">
        <is>
          <t>LGC Virtual Account</t>
        </is>
      </c>
      <c r="M56" s="12" t="n">
        <v>46204</v>
      </c>
      <c r="N56" s="9" t="inlineStr">
        <is>
          <t>Yes</t>
        </is>
      </c>
      <c r="O56" s="10" t="inlineStr">
        <is>
          <t>LGCS_3117134943</t>
        </is>
      </c>
      <c r="P56" s="9" t="inlineStr">
        <is>
          <t>No</t>
        </is>
      </c>
      <c r="Q56" s="13" t="inlineStr">
        <is>
          <t>Not started</t>
        </is>
      </c>
      <c r="R56" s="14" t="n"/>
      <c r="S56" s="15" t="inlineStr"/>
    </row>
    <row r="57">
      <c r="A57" s="9" t="n">
        <v>53</v>
      </c>
      <c r="B57" s="9" t="inlineStr">
        <is>
          <t>SA</t>
        </is>
      </c>
      <c r="C57" s="10" t="inlineStr">
        <is>
          <t>Asphalt Prod - Wingfield (523)</t>
        </is>
      </c>
      <c r="D57" s="10" t="inlineStr">
        <is>
          <t>523</t>
        </is>
      </c>
      <c r="E57" s="11" t="inlineStr">
        <is>
          <t>2002254877</t>
        </is>
      </c>
      <c r="F57" s="10" t="inlineStr">
        <is>
          <t>Permanent</t>
        </is>
      </c>
      <c r="G57" s="11" t="inlineStr">
        <is>
          <t>900018209_2002254877</t>
        </is>
      </c>
      <c r="H57" s="10" t="inlineStr">
        <is>
          <t>EngieAU · Electricity Small Market</t>
        </is>
      </c>
      <c r="I57" s="11" t="inlineStr">
        <is>
          <t>900018209_2002254877_CERTS</t>
        </is>
      </c>
      <c r="J57" s="10" t="inlineStr">
        <is>
          <t>Certificates - Location - kWh</t>
        </is>
      </c>
      <c r="K57" s="11" t="inlineStr">
        <is>
          <t>2002254877</t>
        </is>
      </c>
      <c r="L57" s="10" t="inlineStr">
        <is>
          <t>LGC Virtual Account</t>
        </is>
      </c>
      <c r="M57" s="12" t="n">
        <v>46204</v>
      </c>
      <c r="N57" s="9" t="inlineStr">
        <is>
          <t>No</t>
        </is>
      </c>
      <c r="O57" s="10" t="inlineStr">
        <is>
          <t>LGCS_2002254877</t>
        </is>
      </c>
      <c r="P57" s="9" t="inlineStr">
        <is>
          <t>No</t>
        </is>
      </c>
      <c r="Q57" s="13" t="inlineStr">
        <is>
          <t>Not started</t>
        </is>
      </c>
      <c r="R57" s="14" t="n"/>
      <c r="S57" s="15" t="inlineStr"/>
    </row>
    <row r="58">
      <c r="A58" s="9" t="n">
        <v>54</v>
      </c>
      <c r="B58" s="9" t="inlineStr">
        <is>
          <t>SA</t>
        </is>
      </c>
      <c r="C58" s="10" t="inlineStr">
        <is>
          <t>Gillman - PAV</t>
        </is>
      </c>
      <c r="D58" s="10" t="inlineStr">
        <is>
          <t>L9.J.17050664</t>
        </is>
      </c>
      <c r="E58" s="11" t="inlineStr">
        <is>
          <t>2001160742</t>
        </is>
      </c>
      <c r="F58" s="10" t="inlineStr">
        <is>
          <t>Permanent</t>
        </is>
      </c>
      <c r="G58" s="11" t="inlineStr">
        <is>
          <t>900018206_2001160742</t>
        </is>
      </c>
      <c r="H58" s="10" t="inlineStr">
        <is>
          <t>EngieAU · Electricity Small Market</t>
        </is>
      </c>
      <c r="I58" s="11" t="inlineStr">
        <is>
          <t>900018206_2001160742_CERTS</t>
        </is>
      </c>
      <c r="J58" s="10" t="inlineStr">
        <is>
          <t>Certificates - Location - kWh</t>
        </is>
      </c>
      <c r="K58" s="11" t="inlineStr">
        <is>
          <t>2001160742</t>
        </is>
      </c>
      <c r="L58" s="10" t="inlineStr">
        <is>
          <t>LGC Virtual Account</t>
        </is>
      </c>
      <c r="M58" s="12" t="n">
        <v>46204</v>
      </c>
      <c r="N58" s="9" t="inlineStr">
        <is>
          <t>No</t>
        </is>
      </c>
      <c r="O58" s="10" t="inlineStr">
        <is>
          <t>LGCS_2001160742</t>
        </is>
      </c>
      <c r="P58" s="9" t="inlineStr">
        <is>
          <t>No</t>
        </is>
      </c>
      <c r="Q58" s="13" t="inlineStr">
        <is>
          <t>Not started</t>
        </is>
      </c>
      <c r="R58" s="14" t="n"/>
      <c r="S58" s="15" t="inlineStr"/>
    </row>
    <row r="59">
      <c r="A59" s="9" t="n">
        <v>55</v>
      </c>
      <c r="B59" s="9" t="inlineStr">
        <is>
          <t>SA</t>
        </is>
      </c>
      <c r="C59" s="10" t="inlineStr">
        <is>
          <t>Largs Bay</t>
        </is>
      </c>
      <c r="D59" s="10" t="inlineStr">
        <is>
          <t>163</t>
        </is>
      </c>
      <c r="E59" s="11" t="inlineStr">
        <is>
          <t>SAAAAAB023</t>
        </is>
      </c>
      <c r="F59" s="10" t="inlineStr">
        <is>
          <t>Permanent</t>
        </is>
      </c>
      <c r="G59" s="11" t="inlineStr">
        <is>
          <t>900018208_SAAAAAB023</t>
        </is>
      </c>
      <c r="H59" s="10" t="inlineStr">
        <is>
          <t>EngieAU · Electricity Small Market</t>
        </is>
      </c>
      <c r="I59" s="11" t="inlineStr">
        <is>
          <t>900018208_SAAAAAB023_CERTS</t>
        </is>
      </c>
      <c r="J59" s="10" t="inlineStr">
        <is>
          <t>Certificates - Location - kWh</t>
        </is>
      </c>
      <c r="K59" s="11" t="inlineStr">
        <is>
          <t>SAAAAAB023</t>
        </is>
      </c>
      <c r="L59" s="10" t="inlineStr">
        <is>
          <t>LGC Virtual Account</t>
        </is>
      </c>
      <c r="M59" s="12" t="n">
        <v>46204</v>
      </c>
      <c r="N59" s="9" t="inlineStr">
        <is>
          <t>No</t>
        </is>
      </c>
      <c r="O59" s="10" t="inlineStr">
        <is>
          <t>LGCS_SAAAAAB023, LGCS_SAAAAAC481</t>
        </is>
      </c>
      <c r="P59" s="9" t="inlineStr">
        <is>
          <t>No</t>
        </is>
      </c>
      <c r="Q59" s="13" t="inlineStr">
        <is>
          <t>Not started</t>
        </is>
      </c>
      <c r="R59" s="14" t="n"/>
      <c r="S59" s="15" t="inlineStr"/>
    </row>
    <row r="60">
      <c r="A60" s="9" t="n">
        <v>56</v>
      </c>
      <c r="B60" s="9" t="inlineStr">
        <is>
          <t>SA</t>
        </is>
      </c>
      <c r="C60" s="10" t="inlineStr">
        <is>
          <t>Largs Bay</t>
        </is>
      </c>
      <c r="D60" s="10" t="inlineStr">
        <is>
          <t>163</t>
        </is>
      </c>
      <c r="E60" s="11" t="inlineStr">
        <is>
          <t>SAAAAAC481</t>
        </is>
      </c>
      <c r="F60" s="10" t="inlineStr">
        <is>
          <t>Permanent</t>
        </is>
      </c>
      <c r="G60" s="11" t="inlineStr">
        <is>
          <t>900018207_SAAAAAC481</t>
        </is>
      </c>
      <c r="H60" s="10" t="inlineStr">
        <is>
          <t>EngieAU · Electricity Small Market</t>
        </is>
      </c>
      <c r="I60" s="11" t="inlineStr">
        <is>
          <t>900018207_SAAAAAC481_CERTS</t>
        </is>
      </c>
      <c r="J60" s="10" t="inlineStr">
        <is>
          <t>Certificates - Location - kWh</t>
        </is>
      </c>
      <c r="K60" s="11" t="inlineStr">
        <is>
          <t>SAAAAAC481</t>
        </is>
      </c>
      <c r="L60" s="10" t="inlineStr">
        <is>
          <t>LGC Virtual Account</t>
        </is>
      </c>
      <c r="M60" s="12" t="n">
        <v>46204</v>
      </c>
      <c r="N60" s="9" t="inlineStr">
        <is>
          <t>No</t>
        </is>
      </c>
      <c r="O60" s="10" t="inlineStr">
        <is>
          <t>LGCS_SAAAAAB023, LGCS_SAAAAAC481</t>
        </is>
      </c>
      <c r="P60" s="9" t="inlineStr">
        <is>
          <t>No</t>
        </is>
      </c>
      <c r="Q60" s="13" t="inlineStr">
        <is>
          <t>Not started</t>
        </is>
      </c>
      <c r="R60" s="14" t="n"/>
      <c r="S60" s="15" t="inlineStr"/>
    </row>
    <row r="61">
      <c r="A61" s="9" t="n">
        <v>57</v>
      </c>
      <c r="B61" s="9" t="inlineStr">
        <is>
          <t>TAS</t>
        </is>
      </c>
      <c r="C61" s="10" t="inlineStr">
        <is>
          <t>Asphalt Prod - Hobart (329)</t>
        </is>
      </c>
      <c r="D61" s="10" t="inlineStr">
        <is>
          <t>17030565</t>
        </is>
      </c>
      <c r="E61" s="11" t="inlineStr">
        <is>
          <t>8000002117</t>
        </is>
      </c>
      <c r="F61" s="10" t="inlineStr">
        <is>
          <t>Permanent</t>
        </is>
      </c>
      <c r="G61" s="11" t="inlineStr">
        <is>
          <t>DEDI01_8000002117_8000002117</t>
        </is>
      </c>
      <c r="H61" s="10" t="inlineStr">
        <is>
          <t>ShellEnergyAU · Electricity Small Market</t>
        </is>
      </c>
      <c r="I61" s="11" t="inlineStr">
        <is>
          <t>DEDI01_8000002117_8000002117_CERTS</t>
        </is>
      </c>
      <c r="J61" s="10" t="inlineStr">
        <is>
          <t>Certificates - Location - kWh</t>
        </is>
      </c>
      <c r="K61" s="11" t="inlineStr">
        <is>
          <t>8000002117</t>
        </is>
      </c>
      <c r="L61" s="10" t="inlineStr">
        <is>
          <t>LGC Virtual Account</t>
        </is>
      </c>
      <c r="M61" s="12" t="n">
        <v>46204</v>
      </c>
      <c r="N61" s="9" t="inlineStr">
        <is>
          <t>No</t>
        </is>
      </c>
      <c r="O61" s="10" t="inlineStr"/>
      <c r="P61" s="9" t="inlineStr">
        <is>
          <t>No</t>
        </is>
      </c>
      <c r="Q61" s="13" t="inlineStr">
        <is>
          <t>Not started</t>
        </is>
      </c>
      <c r="R61" s="14" t="n"/>
      <c r="S61" s="15" t="inlineStr"/>
    </row>
    <row r="62">
      <c r="A62" s="9" t="n">
        <v>58</v>
      </c>
      <c r="B62" s="9" t="inlineStr">
        <is>
          <t>TAS</t>
        </is>
      </c>
      <c r="C62" s="10" t="inlineStr">
        <is>
          <t>Asphalt Prod - Mowbray (360)</t>
        </is>
      </c>
      <c r="D62" s="10" t="inlineStr">
        <is>
          <t>360</t>
        </is>
      </c>
      <c r="E62" s="11" t="inlineStr">
        <is>
          <t>8000326927</t>
        </is>
      </c>
      <c r="F62" s="10" t="inlineStr">
        <is>
          <t>Permanent</t>
        </is>
      </c>
      <c r="G62" s="11" t="inlineStr">
        <is>
          <t>DEDI01_088_8000326927</t>
        </is>
      </c>
      <c r="H62" s="10" t="inlineStr">
        <is>
          <t>ShellEnergyAU · Electricity Small Market</t>
        </is>
      </c>
      <c r="I62" s="11" t="inlineStr">
        <is>
          <t>DEDI01_088_8000326927_CERTS</t>
        </is>
      </c>
      <c r="J62" s="10" t="inlineStr">
        <is>
          <t>Certificates - Location - kWh</t>
        </is>
      </c>
      <c r="K62" s="11" t="inlineStr">
        <is>
          <t>8000326927</t>
        </is>
      </c>
      <c r="L62" s="10" t="inlineStr">
        <is>
          <t>LGC Virtual Account</t>
        </is>
      </c>
      <c r="M62" s="12" t="n">
        <v>46204</v>
      </c>
      <c r="N62" s="9" t="inlineStr">
        <is>
          <t>No</t>
        </is>
      </c>
      <c r="O62" s="10" t="inlineStr"/>
      <c r="P62" s="9" t="inlineStr">
        <is>
          <t>Yes</t>
        </is>
      </c>
      <c r="Q62" s="13" t="inlineStr">
        <is>
          <t>Not started</t>
        </is>
      </c>
      <c r="R62" s="14" t="n"/>
      <c r="S62" s="15" t="inlineStr"/>
    </row>
    <row r="63">
      <c r="A63" s="9" t="n">
        <v>59</v>
      </c>
      <c r="B63" s="9" t="inlineStr">
        <is>
          <t>TAS</t>
        </is>
      </c>
      <c r="C63" s="10" t="inlineStr">
        <is>
          <t>Austins Ferry</t>
        </is>
      </c>
      <c r="D63" s="10" t="inlineStr">
        <is>
          <t>12</t>
        </is>
      </c>
      <c r="E63" s="11" t="inlineStr">
        <is>
          <t>8000002963</t>
        </is>
      </c>
      <c r="F63" s="10" t="inlineStr">
        <is>
          <t>Permanent</t>
        </is>
      </c>
      <c r="G63" s="11" t="inlineStr">
        <is>
          <t>DEDI01_8000002963</t>
        </is>
      </c>
      <c r="H63" s="10" t="inlineStr">
        <is>
          <t>ShellEnergyAU · Electricity Small Market</t>
        </is>
      </c>
      <c r="I63" s="11" t="inlineStr">
        <is>
          <t>DEDI01_8000002963_CERTS</t>
        </is>
      </c>
      <c r="J63" s="10" t="inlineStr">
        <is>
          <t>Certificates - Location - kWh</t>
        </is>
      </c>
      <c r="K63" s="11" t="inlineStr">
        <is>
          <t>8000002963</t>
        </is>
      </c>
      <c r="L63" s="10" t="inlineStr">
        <is>
          <t>LGC Virtual Account</t>
        </is>
      </c>
      <c r="M63" s="12" t="n">
        <v>46204</v>
      </c>
      <c r="N63" s="9" t="inlineStr">
        <is>
          <t>No</t>
        </is>
      </c>
      <c r="O63" s="10" t="inlineStr"/>
      <c r="P63" s="9" t="inlineStr">
        <is>
          <t>No</t>
        </is>
      </c>
      <c r="Q63" s="13" t="inlineStr">
        <is>
          <t>Not started</t>
        </is>
      </c>
      <c r="R63" s="14" t="n"/>
      <c r="S63" s="15" t="inlineStr"/>
    </row>
    <row r="64">
      <c r="A64" s="9" t="n">
        <v>60</v>
      </c>
      <c r="B64" s="9" t="inlineStr">
        <is>
          <t>VIC</t>
        </is>
      </c>
      <c r="C64" s="10" t="inlineStr">
        <is>
          <t>Asphalt Prod - Bayswater (302)</t>
        </is>
      </c>
      <c r="D64" s="10" t="inlineStr">
        <is>
          <t>302</t>
        </is>
      </c>
      <c r="E64" s="11" t="inlineStr">
        <is>
          <t>6305920528</t>
        </is>
      </c>
      <c r="F64" s="10" t="inlineStr">
        <is>
          <t>Permanent</t>
        </is>
      </c>
      <c r="G64" s="11" t="inlineStr">
        <is>
          <t>900018215_6305920528</t>
        </is>
      </c>
      <c r="H64" s="10" t="inlineStr">
        <is>
          <t>EngieAU · Electricity Small Market</t>
        </is>
      </c>
      <c r="I64" s="11" t="inlineStr">
        <is>
          <t>900018215_6305920528_CERTS</t>
        </is>
      </c>
      <c r="J64" s="10" t="inlineStr">
        <is>
          <t>Certificates - Location - kWh</t>
        </is>
      </c>
      <c r="K64" s="11" t="inlineStr">
        <is>
          <t>6305920528</t>
        </is>
      </c>
      <c r="L64" s="10" t="inlineStr">
        <is>
          <t>LGC Virtual Account</t>
        </is>
      </c>
      <c r="M64" s="12" t="n">
        <v>46204</v>
      </c>
      <c r="N64" s="9" t="inlineStr">
        <is>
          <t>No</t>
        </is>
      </c>
      <c r="O64" s="10" t="inlineStr">
        <is>
          <t>LGCS_6305920528</t>
        </is>
      </c>
      <c r="P64" s="9" t="inlineStr">
        <is>
          <t>No</t>
        </is>
      </c>
      <c r="Q64" s="13" t="inlineStr">
        <is>
          <t>Not started</t>
        </is>
      </c>
      <c r="R64" s="14" t="n"/>
      <c r="S64" s="15" t="inlineStr"/>
    </row>
    <row r="65">
      <c r="A65" s="9" t="n">
        <v>61</v>
      </c>
      <c r="B65" s="9" t="inlineStr">
        <is>
          <t>VIC</t>
        </is>
      </c>
      <c r="C65" s="10" t="inlineStr">
        <is>
          <t>Asphalt Prod - Shepparton (308)</t>
        </is>
      </c>
      <c r="D65" s="10" t="inlineStr">
        <is>
          <t>308</t>
        </is>
      </c>
      <c r="E65" s="11" t="inlineStr">
        <is>
          <t>6204134328</t>
        </is>
      </c>
      <c r="F65" s="10" t="inlineStr">
        <is>
          <t>Permanent</t>
        </is>
      </c>
      <c r="G65" s="11" t="inlineStr">
        <is>
          <t>900018214_6204134328</t>
        </is>
      </c>
      <c r="H65" s="10" t="inlineStr">
        <is>
          <t>EngieAU · Electricity Small Market</t>
        </is>
      </c>
      <c r="I65" s="11" t="inlineStr">
        <is>
          <t>900018214_6204134328_CERTS</t>
        </is>
      </c>
      <c r="J65" s="10" t="inlineStr">
        <is>
          <t>Certificates - Location - kWh</t>
        </is>
      </c>
      <c r="K65" s="11" t="inlineStr">
        <is>
          <t>6204134328</t>
        </is>
      </c>
      <c r="L65" s="10" t="inlineStr">
        <is>
          <t>LGC Virtual Account</t>
        </is>
      </c>
      <c r="M65" s="12" t="n">
        <v>46204</v>
      </c>
      <c r="N65" s="9" t="inlineStr">
        <is>
          <t>No</t>
        </is>
      </c>
      <c r="O65" s="10" t="inlineStr">
        <is>
          <t>LGCS_VCCCSC0020</t>
        </is>
      </c>
      <c r="P65" s="9" t="inlineStr">
        <is>
          <t>No</t>
        </is>
      </c>
      <c r="Q65" s="13" t="inlineStr">
        <is>
          <t>Not started</t>
        </is>
      </c>
      <c r="R65" s="14" t="n"/>
      <c r="S65" s="15" t="inlineStr"/>
    </row>
    <row r="66">
      <c r="A66" s="9" t="n">
        <v>62</v>
      </c>
      <c r="B66" s="9" t="inlineStr">
        <is>
          <t>VIC</t>
        </is>
      </c>
      <c r="C66" s="10" t="inlineStr">
        <is>
          <t>Asphalt Prod - Somerton (303)</t>
        </is>
      </c>
      <c r="D66" s="10" t="inlineStr">
        <is>
          <t>L9.J.17032627</t>
        </is>
      </c>
      <c r="E66" s="11" t="inlineStr">
        <is>
          <t>6001311036</t>
        </is>
      </c>
      <c r="F66" s="10" t="inlineStr">
        <is>
          <t>Permanent</t>
        </is>
      </c>
      <c r="G66" s="11" t="inlineStr">
        <is>
          <t>900018217_6001311036</t>
        </is>
      </c>
      <c r="H66" s="10" t="inlineStr">
        <is>
          <t>EngieAU · Electricity Small Market</t>
        </is>
      </c>
      <c r="I66" s="11" t="inlineStr">
        <is>
          <t>900018217_6001311036_CERTS</t>
        </is>
      </c>
      <c r="J66" s="10" t="inlineStr">
        <is>
          <t>Certificates - Location - kWh</t>
        </is>
      </c>
      <c r="K66" s="11" t="inlineStr">
        <is>
          <t>6001311036</t>
        </is>
      </c>
      <c r="L66" s="10" t="inlineStr">
        <is>
          <t>LGC Virtual Account</t>
        </is>
      </c>
      <c r="M66" s="12" t="n">
        <v>46204</v>
      </c>
      <c r="N66" s="9" t="inlineStr">
        <is>
          <t>No</t>
        </is>
      </c>
      <c r="O66" s="10" t="inlineStr">
        <is>
          <t>LGCS_6001311036</t>
        </is>
      </c>
      <c r="P66" s="9" t="inlineStr">
        <is>
          <t>No</t>
        </is>
      </c>
      <c r="Q66" s="13" t="inlineStr">
        <is>
          <t>Not started</t>
        </is>
      </c>
      <c r="R66" s="14" t="n"/>
      <c r="S66" s="15" t="inlineStr"/>
    </row>
    <row r="67">
      <c r="A67" s="9" t="n">
        <v>63</v>
      </c>
      <c r="B67" s="9" t="inlineStr">
        <is>
          <t>VIC</t>
        </is>
      </c>
      <c r="C67" s="10" t="inlineStr">
        <is>
          <t>Asphalt Prod - Traralgon (300)</t>
        </is>
      </c>
      <c r="D67" s="10" t="inlineStr">
        <is>
          <t>300</t>
        </is>
      </c>
      <c r="E67" s="11" t="inlineStr">
        <is>
          <t>6306009124</t>
        </is>
      </c>
      <c r="F67" s="10" t="inlineStr">
        <is>
          <t>Permanent</t>
        </is>
      </c>
      <c r="G67" s="11" t="inlineStr">
        <is>
          <t>900018219_6306009124</t>
        </is>
      </c>
      <c r="H67" s="10" t="inlineStr">
        <is>
          <t>EngieAU · Electricity Small Market</t>
        </is>
      </c>
      <c r="I67" s="11" t="inlineStr">
        <is>
          <t>900018219_6306009124_CERTS</t>
        </is>
      </c>
      <c r="J67" s="10" t="inlineStr">
        <is>
          <t>Certificates - Location - kWh</t>
        </is>
      </c>
      <c r="K67" s="11" t="inlineStr">
        <is>
          <t>6306009124</t>
        </is>
      </c>
      <c r="L67" s="10" t="inlineStr">
        <is>
          <t>LGC Virtual Account</t>
        </is>
      </c>
      <c r="M67" s="12" t="n">
        <v>46204</v>
      </c>
      <c r="N67" s="9" t="inlineStr">
        <is>
          <t>No</t>
        </is>
      </c>
      <c r="O67" s="10" t="inlineStr">
        <is>
          <t>LGCS_6306009124</t>
        </is>
      </c>
      <c r="P67" s="9" t="inlineStr">
        <is>
          <t>No</t>
        </is>
      </c>
      <c r="Q67" s="13" t="inlineStr">
        <is>
          <t>Not started</t>
        </is>
      </c>
      <c r="R67" s="14" t="n"/>
      <c r="S67" s="15" t="inlineStr"/>
    </row>
    <row r="68">
      <c r="A68" s="9" t="n">
        <v>64</v>
      </c>
      <c r="B68" s="9" t="inlineStr">
        <is>
          <t>VIC</t>
        </is>
      </c>
      <c r="C68" s="10" t="inlineStr">
        <is>
          <t>Asphalt Prod - Wodonga (315)</t>
        </is>
      </c>
      <c r="D68" s="10" t="inlineStr">
        <is>
          <t>315</t>
        </is>
      </c>
      <c r="E68" s="11" t="inlineStr">
        <is>
          <t>VBBB002698</t>
        </is>
      </c>
      <c r="F68" s="10" t="inlineStr">
        <is>
          <t>Permanent</t>
        </is>
      </c>
      <c r="G68" s="11" t="inlineStr">
        <is>
          <t>900018213_VBBB002698</t>
        </is>
      </c>
      <c r="H68" s="10" t="inlineStr">
        <is>
          <t>EngieAU · Electricity Small Market</t>
        </is>
      </c>
      <c r="I68" s="11" t="inlineStr">
        <is>
          <t>900018213_VBBB002698_CERTS</t>
        </is>
      </c>
      <c r="J68" s="10" t="inlineStr">
        <is>
          <t>Certificates - Location - kWh</t>
        </is>
      </c>
      <c r="K68" s="11" t="inlineStr">
        <is>
          <t>VBBB002698</t>
        </is>
      </c>
      <c r="L68" s="10" t="inlineStr">
        <is>
          <t>LGC Virtual Account</t>
        </is>
      </c>
      <c r="M68" s="12" t="n">
        <v>46204</v>
      </c>
      <c r="N68" s="9" t="inlineStr">
        <is>
          <t>No</t>
        </is>
      </c>
      <c r="O68" s="10" t="inlineStr">
        <is>
          <t>LGCS_VBBB002698</t>
        </is>
      </c>
      <c r="P68" s="9" t="inlineStr">
        <is>
          <t>No</t>
        </is>
      </c>
      <c r="Q68" s="13" t="inlineStr">
        <is>
          <t>Not started</t>
        </is>
      </c>
      <c r="R68" s="14" t="n"/>
      <c r="S68" s="15" t="inlineStr"/>
    </row>
    <row r="69">
      <c r="A69" s="9" t="n">
        <v>65</v>
      </c>
      <c r="B69" s="9" t="inlineStr">
        <is>
          <t>VIC</t>
        </is>
      </c>
      <c r="C69" s="10" t="inlineStr">
        <is>
          <t>Dandenong - PAV</t>
        </is>
      </c>
      <c r="D69" s="10" t="inlineStr">
        <is>
          <t>517</t>
        </is>
      </c>
      <c r="E69" s="11" t="inlineStr">
        <is>
          <t>6407100027</t>
        </is>
      </c>
      <c r="F69" s="10" t="inlineStr">
        <is>
          <t>Permanent</t>
        </is>
      </c>
      <c r="G69" s="11" t="inlineStr">
        <is>
          <t>900018211_6407100027</t>
        </is>
      </c>
      <c r="H69" s="10" t="inlineStr">
        <is>
          <t>EngieAU · Electricity Small Market</t>
        </is>
      </c>
      <c r="I69" s="11" t="inlineStr">
        <is>
          <t>900018211_6407100027_CERTS</t>
        </is>
      </c>
      <c r="J69" s="10" t="inlineStr">
        <is>
          <t>Certificates - Location - kWh</t>
        </is>
      </c>
      <c r="K69" s="11" t="inlineStr">
        <is>
          <t>6407100027</t>
        </is>
      </c>
      <c r="L69" s="10" t="inlineStr">
        <is>
          <t>LGC Virtual Account</t>
        </is>
      </c>
      <c r="M69" s="12" t="n">
        <v>46204</v>
      </c>
      <c r="N69" s="9" t="inlineStr">
        <is>
          <t>No</t>
        </is>
      </c>
      <c r="O69" s="10" t="inlineStr">
        <is>
          <t>LGCS_6407100027</t>
        </is>
      </c>
      <c r="P69" s="9" t="inlineStr">
        <is>
          <t>No</t>
        </is>
      </c>
      <c r="Q69" s="13" t="inlineStr">
        <is>
          <t>Not started</t>
        </is>
      </c>
      <c r="R69" s="14" t="n"/>
      <c r="S69" s="15" t="inlineStr"/>
    </row>
    <row r="70">
      <c r="A70" s="9" t="n">
        <v>66</v>
      </c>
      <c r="B70" s="9" t="inlineStr">
        <is>
          <t>VIC</t>
        </is>
      </c>
      <c r="C70" s="10" t="inlineStr">
        <is>
          <t>Gippsland Asphalt - Bairnsdale</t>
        </is>
      </c>
      <c r="D70" s="10" t="inlineStr">
        <is>
          <t>103.1</t>
        </is>
      </c>
      <c r="E70" s="11" t="inlineStr">
        <is>
          <t>6305885252</t>
        </is>
      </c>
      <c r="F70" s="10" t="inlineStr">
        <is>
          <t>Permanent</t>
        </is>
      </c>
      <c r="G70" s="11" t="inlineStr">
        <is>
          <t>900018218_6305885252</t>
        </is>
      </c>
      <c r="H70" s="10" t="inlineStr">
        <is>
          <t>EngieAU · Electricity Small Market</t>
        </is>
      </c>
      <c r="I70" s="11" t="inlineStr">
        <is>
          <t>900018218_6305885252_CERTS</t>
        </is>
      </c>
      <c r="J70" s="10" t="inlineStr">
        <is>
          <t>Certificates - Location - kWh</t>
        </is>
      </c>
      <c r="K70" s="11" t="inlineStr">
        <is>
          <t>6305885252</t>
        </is>
      </c>
      <c r="L70" s="10" t="inlineStr">
        <is>
          <t>LGC Virtual Account</t>
        </is>
      </c>
      <c r="M70" s="12" t="n">
        <v>46204</v>
      </c>
      <c r="N70" s="9" t="inlineStr">
        <is>
          <t>No</t>
        </is>
      </c>
      <c r="O70" s="10" t="inlineStr"/>
      <c r="P70" s="9" t="inlineStr">
        <is>
          <t>Yes</t>
        </is>
      </c>
      <c r="Q70" s="13" t="inlineStr">
        <is>
          <t>Not started</t>
        </is>
      </c>
      <c r="R70" s="14" t="n"/>
      <c r="S70" s="15" t="inlineStr"/>
    </row>
    <row r="71">
      <c r="A71" s="9" t="n">
        <v>67</v>
      </c>
      <c r="B71" s="9" t="inlineStr">
        <is>
          <t>VIC</t>
        </is>
      </c>
      <c r="C71" s="10" t="inlineStr">
        <is>
          <t>Mulgrave - Wellington Rd, Clayton</t>
        </is>
      </c>
      <c r="D71" s="10" t="inlineStr">
        <is>
          <t>9118</t>
        </is>
      </c>
      <c r="E71" s="11" t="inlineStr">
        <is>
          <t>6407695655</t>
        </is>
      </c>
      <c r="F71" s="10" t="inlineStr">
        <is>
          <t>Permanent</t>
        </is>
      </c>
      <c r="G71" s="11" t="inlineStr">
        <is>
          <t>900018210_6407695655</t>
        </is>
      </c>
      <c r="H71" s="10" t="inlineStr">
        <is>
          <t>EngieAU · Electricity Small Market</t>
        </is>
      </c>
      <c r="I71" s="11" t="inlineStr">
        <is>
          <t>900018210_6407695655_CERTS</t>
        </is>
      </c>
      <c r="J71" s="10" t="inlineStr">
        <is>
          <t>Certificates - Location - kWh</t>
        </is>
      </c>
      <c r="K71" s="11" t="inlineStr">
        <is>
          <t>6407695655</t>
        </is>
      </c>
      <c r="L71" s="10" t="inlineStr">
        <is>
          <t>LGC Virtual Account</t>
        </is>
      </c>
      <c r="M71" s="12" t="n">
        <v>46204</v>
      </c>
      <c r="N71" s="9" t="inlineStr">
        <is>
          <t>No</t>
        </is>
      </c>
      <c r="O71" s="10" t="inlineStr">
        <is>
          <t>LGCS_6407695655</t>
        </is>
      </c>
      <c r="P71" s="9" t="inlineStr">
        <is>
          <t>No</t>
        </is>
      </c>
      <c r="Q71" s="13" t="inlineStr">
        <is>
          <t>Not started</t>
        </is>
      </c>
      <c r="R71" s="14" t="n"/>
      <c r="S71" s="15" t="inlineStr"/>
    </row>
    <row r="72">
      <c r="A72" s="9" t="n">
        <v>68</v>
      </c>
      <c r="B72" s="9" t="inlineStr">
        <is>
          <t>VIC</t>
        </is>
      </c>
      <c r="C72" s="10" t="inlineStr">
        <is>
          <t>Somerton Emulsion Plant</t>
        </is>
      </c>
      <c r="D72" s="10" t="inlineStr">
        <is>
          <t>8001</t>
        </is>
      </c>
      <c r="E72" s="11" t="inlineStr">
        <is>
          <t>VDDD001226</t>
        </is>
      </c>
      <c r="F72" s="10" t="inlineStr">
        <is>
          <t>Permanent</t>
        </is>
      </c>
      <c r="G72" s="11" t="inlineStr">
        <is>
          <t>900018216_VDDD001226</t>
        </is>
      </c>
      <c r="H72" s="10" t="inlineStr">
        <is>
          <t>EngieAU · Electricity Small Market</t>
        </is>
      </c>
      <c r="I72" s="11" t="inlineStr">
        <is>
          <t>900018216_VDDD001226_CERTS</t>
        </is>
      </c>
      <c r="J72" s="10" t="inlineStr">
        <is>
          <t>Certificates - Location - kWh</t>
        </is>
      </c>
      <c r="K72" s="11" t="inlineStr">
        <is>
          <t>VDDD001226</t>
        </is>
      </c>
      <c r="L72" s="10" t="inlineStr">
        <is>
          <t>LGC Virtual Account</t>
        </is>
      </c>
      <c r="M72" s="12" t="n">
        <v>46204</v>
      </c>
      <c r="N72" s="9" t="inlineStr">
        <is>
          <t>No</t>
        </is>
      </c>
      <c r="O72" s="10" t="inlineStr">
        <is>
          <t>LGCS_VDDD001226</t>
        </is>
      </c>
      <c r="P72" s="9" t="inlineStr">
        <is>
          <t>No</t>
        </is>
      </c>
      <c r="Q72" s="13" t="inlineStr">
        <is>
          <t>Not started</t>
        </is>
      </c>
      <c r="R72" s="14" t="n"/>
      <c r="S72" s="15" t="inlineStr"/>
    </row>
    <row r="73">
      <c r="A73" s="9" t="n">
        <v>69</v>
      </c>
      <c r="B73" s="9" t="inlineStr">
        <is>
          <t>VIC</t>
        </is>
      </c>
      <c r="C73" s="10" t="inlineStr">
        <is>
          <t>Utilities Derrimut Office</t>
        </is>
      </c>
      <c r="D73" s="10" t="inlineStr">
        <is>
          <t>7010</t>
        </is>
      </c>
      <c r="E73" s="11" t="inlineStr">
        <is>
          <t>6203753676</t>
        </is>
      </c>
      <c r="F73" s="10" t="inlineStr">
        <is>
          <t>Permanent</t>
        </is>
      </c>
      <c r="G73" s="11" t="inlineStr">
        <is>
          <t>900018212_6203753676</t>
        </is>
      </c>
      <c r="H73" s="10" t="inlineStr">
        <is>
          <t>EngieAU · Electricity Small Market</t>
        </is>
      </c>
      <c r="I73" s="11" t="inlineStr">
        <is>
          <t>900018212_6203753676_CERTS</t>
        </is>
      </c>
      <c r="J73" s="10" t="inlineStr">
        <is>
          <t>Certificates - Location - kWh</t>
        </is>
      </c>
      <c r="K73" s="11" t="inlineStr">
        <is>
          <t>6203753676</t>
        </is>
      </c>
      <c r="L73" s="10" t="inlineStr">
        <is>
          <t>LGC Virtual Account</t>
        </is>
      </c>
      <c r="M73" s="12" t="n">
        <v>46204</v>
      </c>
      <c r="N73" s="9" t="inlineStr">
        <is>
          <t>No</t>
        </is>
      </c>
      <c r="O73" s="10" t="inlineStr">
        <is>
          <t>LGCS_6203753676</t>
        </is>
      </c>
      <c r="P73" s="9" t="inlineStr">
        <is>
          <t>No</t>
        </is>
      </c>
      <c r="Q73" s="13" t="inlineStr">
        <is>
          <t>Not started</t>
        </is>
      </c>
      <c r="R73" s="14" t="n"/>
      <c r="S73" s="15" t="inlineStr"/>
    </row>
  </sheetData>
  <autoFilter ref="A4:S73"/>
  <conditionalFormatting sqref="Q5:Q73">
    <cfRule type="cellIs" priority="1" operator="equal" dxfId="0">
      <formula>"Not started"</formula>
    </cfRule>
    <cfRule type="cellIs" priority="2" operator="equal" dxfId="1">
      <formula>"Created - empty"</formula>
    </cfRule>
    <cfRule type="cellIs" priority="3" operator="equal" dxfId="2">
      <formula>"Linked to source"</formula>
    </cfRule>
    <cfRule type="cellIs" priority="4" operator="equal" dxfId="3">
      <formula>"Verified in Envizi"</formula>
    </cfRule>
    <cfRule type="cellIs" priority="5" operator="equal" dxfId="4">
      <formula>"On hold"</formula>
    </cfRule>
  </conditionalFormatting>
  <conditionalFormatting sqref="P5:P73">
    <cfRule type="cellIs" priority="6" operator="equal" dxfId="5">
      <formula>"Yes"</formula>
    </cfRule>
  </conditionalFormatting>
  <conditionalFormatting sqref="F5:F73">
    <cfRule type="cellIs" priority="7" operator="equal" dxfId="6">
      <formula>"Temporary"</formula>
    </cfRule>
  </conditionalFormatting>
  <conditionalFormatting sqref="N5:N73">
    <cfRule type="cellIs" priority="8" operator="equal" dxfId="7">
      <formula>"Yes"</formula>
    </cfRule>
  </conditionalFormatting>
  <conditionalFormatting sqref="A5:P73">
    <cfRule type="expression" priority="9" dxfId="8">
      <formula>$Q5="Verified in Envizi"</formula>
    </cfRule>
  </conditionalFormatting>
  <conditionalFormatting sqref="A5:A73">
    <cfRule type="expression" priority="10" dxfId="9">
      <formula>AND($P5="Yes",$Q5="Not started")</formula>
    </cfRule>
  </conditionalFormatting>
  <dataValidations count="2">
    <dataValidation sqref="Q5:Q73" showDropDown="0" showInputMessage="1" showErrorMessage="1" allowBlank="0" errorTitle="Status" error="Pick one of the listed stages." promptTitle="Status" prompt="Pick the stage this account has reached." type="list">
      <formula1>"Not started,Created - empty,Linked to source,Verified in Envizi,On hold"</formula1>
    </dataValidation>
    <dataValidation sqref="R5:R73" showDropDown="0" showInputMessage="1" showErrorMessage="1" allowBlank="1" errorTitle="Date actioned" error="Enter a date after 1 January 2026." promptTitle="Date actioned" prompt="The date I created or linked the account." type="date" operator="greaterThan">
      <formula1>DATE(2026,1,1)</formula1>
    </dataValidation>
  </dataValidations>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19"/>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30" customWidth="1" min="3" max="3"/>
    <col width="13" customWidth="1" min="4" max="4"/>
    <col width="25" customWidth="1" min="5" max="5"/>
    <col width="13" customWidth="1" min="6" max="6"/>
    <col width="25" customWidth="1" min="7" max="7"/>
    <col width="13" customWidth="1" min="8" max="8"/>
    <col width="12" customWidth="1" min="9" max="9"/>
    <col width="13" customWidth="1" min="10" max="10"/>
    <col width="13" customWidth="1" min="11" max="11"/>
    <col width="12" customWidth="1" min="12" max="12"/>
    <col width="17" customWidth="1" min="13" max="13"/>
    <col width="12" customWidth="1" min="14" max="14"/>
    <col width="40" customWidth="1" min="15" max="15"/>
  </cols>
  <sheetData>
    <row r="1">
      <c r="A1" s="1" t="inlineStr">
        <is>
          <t>Duplicate accounts to close off</t>
        </is>
      </c>
    </row>
    <row r="2">
      <c r="A2" s="2" t="inlineStr">
        <is>
          <t>A second active account on the same NMI is still recording months the account that stays already covers, so the site is counted twice before any certificate is applied. Set Replaced On on the account in column E.</t>
        </is>
      </c>
    </row>
    <row r="4" ht="44" customHeight="1">
      <c r="A4" s="8" t="inlineStr">
        <is>
          <t>#</t>
        </is>
      </c>
      <c r="B4" s="8" t="inlineStr">
        <is>
          <t>State</t>
        </is>
      </c>
      <c r="C4" s="8" t="inlineStr">
        <is>
          <t>Location</t>
        </is>
      </c>
      <c r="D4" s="8" t="inlineStr">
        <is>
          <t>NMI</t>
        </is>
      </c>
      <c r="E4" s="8" t="inlineStr">
        <is>
          <t>Account to close</t>
        </is>
      </c>
      <c r="F4" s="8" t="inlineStr">
        <is>
          <t>Its supplier</t>
        </is>
      </c>
      <c r="G4" s="8" t="inlineStr">
        <is>
          <t>Account that stays</t>
        </is>
      </c>
      <c r="H4" s="8" t="inlineStr">
        <is>
          <t>Its supplier</t>
        </is>
      </c>
      <c r="I4" s="8" t="inlineStr">
        <is>
          <t>Contracted retailer</t>
        </is>
      </c>
      <c r="J4" s="8" t="inlineStr">
        <is>
          <t>Replaced On to set</t>
        </is>
      </c>
      <c r="K4" s="8" t="inlineStr">
        <is>
          <t>Surplus kWh
(Jul + Aug 26)</t>
        </is>
      </c>
      <c r="L4" s="8" t="inlineStr">
        <is>
          <t>Surplus tCO2e</t>
        </is>
      </c>
      <c r="M4" s="8" t="inlineStr">
        <is>
          <t>Status</t>
        </is>
      </c>
      <c r="N4" s="8" t="inlineStr">
        <is>
          <t>Date actioned</t>
        </is>
      </c>
      <c r="O4" s="8" t="inlineStr">
        <is>
          <t>Notes</t>
        </is>
      </c>
    </row>
    <row r="5">
      <c r="A5" s="9" t="n">
        <v>1</v>
      </c>
      <c r="B5" s="9" t="inlineStr">
        <is>
          <t>QLD</t>
        </is>
      </c>
      <c r="C5" s="10" t="inlineStr">
        <is>
          <t>Asphalt Prod - Archerfield (406)</t>
        </is>
      </c>
      <c r="D5" s="11" t="inlineStr">
        <is>
          <t>QB05383854</t>
        </is>
      </c>
      <c r="E5" s="11" t="inlineStr">
        <is>
          <t>5000021_QB05383854</t>
        </is>
      </c>
      <c r="F5" s="10" t="inlineStr">
        <is>
          <t>CSEnergy</t>
        </is>
      </c>
      <c r="G5" s="11" t="inlineStr">
        <is>
          <t>1003081_QB05383854</t>
        </is>
      </c>
      <c r="H5" s="10" t="inlineStr">
        <is>
          <t>CSEnergy</t>
        </is>
      </c>
      <c r="I5" s="10" t="inlineStr">
        <is>
          <t>Engie</t>
        </is>
      </c>
      <c r="J5" s="12" t="inlineStr"/>
      <c r="K5" s="16" t="n">
        <v>161996</v>
      </c>
      <c r="L5" s="17" t="n">
        <v>108.5</v>
      </c>
      <c r="M5" s="13" t="inlineStr">
        <is>
          <t>Not started</t>
        </is>
      </c>
      <c r="N5" s="14" t="n"/>
      <c r="O5" s="15" t="inlineStr">
        <is>
          <t>Second connector account on the same NMI - confirm the date against how its siblings were closed.</t>
        </is>
      </c>
    </row>
    <row r="6">
      <c r="A6" s="9" t="n">
        <v>2</v>
      </c>
      <c r="B6" s="9" t="inlineStr">
        <is>
          <t>QLD</t>
        </is>
      </c>
      <c r="C6" s="10" t="inlineStr">
        <is>
          <t>Gympie</t>
        </is>
      </c>
      <c r="D6" s="11" t="inlineStr">
        <is>
          <t>3120129028</t>
        </is>
      </c>
      <c r="E6" s="11" t="inlineStr">
        <is>
          <t>5000021_3120129028</t>
        </is>
      </c>
      <c r="F6" s="10" t="inlineStr">
        <is>
          <t>CSEnergy</t>
        </is>
      </c>
      <c r="G6" s="11" t="inlineStr">
        <is>
          <t>1003085_3120129028</t>
        </is>
      </c>
      <c r="H6" s="10" t="inlineStr">
        <is>
          <t>CSEnergy</t>
        </is>
      </c>
      <c r="I6" s="10" t="inlineStr">
        <is>
          <t>Engie</t>
        </is>
      </c>
      <c r="J6" s="12" t="inlineStr"/>
      <c r="K6" s="16" t="n">
        <v>39073</v>
      </c>
      <c r="L6" s="17" t="n">
        <v>26.2</v>
      </c>
      <c r="M6" s="13" t="inlineStr">
        <is>
          <t>Not started</t>
        </is>
      </c>
      <c r="N6" s="14" t="n"/>
      <c r="O6" s="15" t="inlineStr">
        <is>
          <t>Second connector account on the same NMI - confirm the date against how its siblings were closed.</t>
        </is>
      </c>
    </row>
    <row r="7">
      <c r="A7" s="9" t="n">
        <v>3</v>
      </c>
      <c r="B7" s="9" t="inlineStr">
        <is>
          <t>SA</t>
        </is>
      </c>
      <c r="C7" s="10" t="inlineStr">
        <is>
          <t>Asphalt Prod - Wingfield (523)</t>
        </is>
      </c>
      <c r="D7" s="11" t="inlineStr">
        <is>
          <t>2002254877</t>
        </is>
      </c>
      <c r="E7" s="11" t="inlineStr">
        <is>
          <t>50002618027_2002254877</t>
        </is>
      </c>
      <c r="F7" s="10" t="inlineStr">
        <is>
          <t>Origin</t>
        </is>
      </c>
      <c r="G7" s="11" t="inlineStr">
        <is>
          <t>900018209_2002254877</t>
        </is>
      </c>
      <c r="H7" s="10" t="inlineStr">
        <is>
          <t>EngieAU</t>
        </is>
      </c>
      <c r="I7" s="10" t="inlineStr">
        <is>
          <t>Engie</t>
        </is>
      </c>
      <c r="J7" s="12" t="n">
        <v>46203</v>
      </c>
      <c r="K7" s="16" t="n">
        <v>229681</v>
      </c>
      <c r="L7" s="17" t="n">
        <v>50.5</v>
      </c>
      <c r="M7" s="13" t="inlineStr">
        <is>
          <t>Not started</t>
        </is>
      </c>
      <c r="N7" s="14" t="n"/>
      <c r="O7" s="15" t="inlineStr"/>
    </row>
    <row r="8">
      <c r="A8" s="9" t="n">
        <v>4</v>
      </c>
      <c r="B8" s="9" t="inlineStr">
        <is>
          <t>SA</t>
        </is>
      </c>
      <c r="C8" s="10" t="inlineStr">
        <is>
          <t>Gillman - PAV</t>
        </is>
      </c>
      <c r="D8" s="11" t="inlineStr">
        <is>
          <t>2001160742</t>
        </is>
      </c>
      <c r="E8" s="11" t="inlineStr">
        <is>
          <t>50002618025_2001160742</t>
        </is>
      </c>
      <c r="F8" s="10" t="inlineStr">
        <is>
          <t>Origin</t>
        </is>
      </c>
      <c r="G8" s="11" t="inlineStr">
        <is>
          <t>900018206_2001160742</t>
        </is>
      </c>
      <c r="H8" s="10" t="inlineStr">
        <is>
          <t>EngieAU</t>
        </is>
      </c>
      <c r="I8" s="10" t="inlineStr">
        <is>
          <t>Engie</t>
        </is>
      </c>
      <c r="J8" s="12" t="n">
        <v>46203</v>
      </c>
      <c r="K8" s="16" t="n">
        <v>21130</v>
      </c>
      <c r="L8" s="17" t="n">
        <v>4.7</v>
      </c>
      <c r="M8" s="13" t="inlineStr">
        <is>
          <t>Not started</t>
        </is>
      </c>
      <c r="N8" s="14" t="n"/>
      <c r="O8" s="15" t="inlineStr"/>
    </row>
    <row r="9">
      <c r="A9" s="9" t="n">
        <v>5</v>
      </c>
      <c r="B9" s="9" t="inlineStr">
        <is>
          <t>SA</t>
        </is>
      </c>
      <c r="C9" s="10" t="inlineStr">
        <is>
          <t>Largs Bay</t>
        </is>
      </c>
      <c r="D9" s="11" t="inlineStr">
        <is>
          <t>SAAAAAB023</t>
        </is>
      </c>
      <c r="E9" s="11" t="inlineStr">
        <is>
          <t>50002656871_SAAAAAB023</t>
        </is>
      </c>
      <c r="F9" s="10" t="inlineStr">
        <is>
          <t>Origin</t>
        </is>
      </c>
      <c r="G9" s="11" t="inlineStr">
        <is>
          <t>900018208_SAAAAAB023</t>
        </is>
      </c>
      <c r="H9" s="10" t="inlineStr">
        <is>
          <t>EngieAU</t>
        </is>
      </c>
      <c r="I9" s="10" t="inlineStr">
        <is>
          <t>Engie</t>
        </is>
      </c>
      <c r="J9" s="12" t="n">
        <v>46203</v>
      </c>
      <c r="K9" s="16" t="n">
        <v>72301</v>
      </c>
      <c r="L9" s="17" t="n">
        <v>15.9</v>
      </c>
      <c r="M9" s="13" t="inlineStr">
        <is>
          <t>Not started</t>
        </is>
      </c>
      <c r="N9" s="14" t="n"/>
      <c r="O9" s="15" t="inlineStr"/>
    </row>
    <row r="10">
      <c r="A10" s="9" t="n">
        <v>6</v>
      </c>
      <c r="B10" s="9" t="inlineStr">
        <is>
          <t>SA</t>
        </is>
      </c>
      <c r="C10" s="10" t="inlineStr">
        <is>
          <t>Largs Bay</t>
        </is>
      </c>
      <c r="D10" s="11" t="inlineStr">
        <is>
          <t>SAAAAAC481</t>
        </is>
      </c>
      <c r="E10" s="11" t="inlineStr">
        <is>
          <t>50002618029_SAAAAAC481</t>
        </is>
      </c>
      <c r="F10" s="10" t="inlineStr">
        <is>
          <t>Origin</t>
        </is>
      </c>
      <c r="G10" s="11" t="inlineStr">
        <is>
          <t>900018207_SAAAAAC481</t>
        </is>
      </c>
      <c r="H10" s="10" t="inlineStr">
        <is>
          <t>EngieAU</t>
        </is>
      </c>
      <c r="I10" s="10" t="inlineStr">
        <is>
          <t>Engie</t>
        </is>
      </c>
      <c r="J10" s="12" t="n">
        <v>46203</v>
      </c>
      <c r="K10" s="16" t="n">
        <v>30571</v>
      </c>
      <c r="L10" s="17" t="n">
        <v>6.7</v>
      </c>
      <c r="M10" s="13" t="inlineStr">
        <is>
          <t>Not started</t>
        </is>
      </c>
      <c r="N10" s="14" t="n"/>
      <c r="O10" s="15" t="inlineStr"/>
    </row>
    <row r="11">
      <c r="A11" s="9" t="n">
        <v>7</v>
      </c>
      <c r="B11" s="9" t="inlineStr">
        <is>
          <t>VIC</t>
        </is>
      </c>
      <c r="C11" s="10" t="inlineStr">
        <is>
          <t>Asphalt Prod - Bayswater (302)</t>
        </is>
      </c>
      <c r="D11" s="11" t="inlineStr">
        <is>
          <t>6305920528</t>
        </is>
      </c>
      <c r="E11" s="11" t="inlineStr">
        <is>
          <t>50002646141_6305920528</t>
        </is>
      </c>
      <c r="F11" s="10" t="inlineStr">
        <is>
          <t>Origin</t>
        </is>
      </c>
      <c r="G11" s="11" t="inlineStr">
        <is>
          <t>900018215_6305920528</t>
        </is>
      </c>
      <c r="H11" s="10" t="inlineStr">
        <is>
          <t>EngieAU</t>
        </is>
      </c>
      <c r="I11" s="10" t="inlineStr">
        <is>
          <t>Engie</t>
        </is>
      </c>
      <c r="J11" s="12" t="n">
        <v>46203</v>
      </c>
      <c r="K11" s="16" t="n">
        <v>185233</v>
      </c>
      <c r="L11" s="17" t="n">
        <v>144.5</v>
      </c>
      <c r="M11" s="13" t="inlineStr">
        <is>
          <t>Not started</t>
        </is>
      </c>
      <c r="N11" s="14" t="n"/>
      <c r="O11" s="15" t="inlineStr"/>
    </row>
    <row r="12">
      <c r="A12" s="9" t="n">
        <v>8</v>
      </c>
      <c r="B12" s="9" t="inlineStr">
        <is>
          <t>VIC</t>
        </is>
      </c>
      <c r="C12" s="10" t="inlineStr">
        <is>
          <t>Asphalt Prod - Shepparton (308)</t>
        </is>
      </c>
      <c r="D12" s="11" t="inlineStr">
        <is>
          <t>6204134328</t>
        </is>
      </c>
      <c r="E12" s="11" t="inlineStr">
        <is>
          <t>50002946681_6204134328</t>
        </is>
      </c>
      <c r="F12" s="10" t="inlineStr">
        <is>
          <t>Origin</t>
        </is>
      </c>
      <c r="G12" s="11" t="inlineStr">
        <is>
          <t>900018214_6204134328</t>
        </is>
      </c>
      <c r="H12" s="10" t="inlineStr">
        <is>
          <t>EngieAU</t>
        </is>
      </c>
      <c r="I12" s="10" t="inlineStr">
        <is>
          <t>Engie</t>
        </is>
      </c>
      <c r="J12" s="12" t="n">
        <v>46203</v>
      </c>
      <c r="K12" s="16" t="n">
        <v>89154</v>
      </c>
      <c r="L12" s="17" t="n">
        <v>69.5</v>
      </c>
      <c r="M12" s="13" t="inlineStr">
        <is>
          <t>Not started</t>
        </is>
      </c>
      <c r="N12" s="14" t="n"/>
      <c r="O12" s="15" t="inlineStr"/>
    </row>
    <row r="13">
      <c r="A13" s="9" t="n">
        <v>9</v>
      </c>
      <c r="B13" s="9" t="inlineStr">
        <is>
          <t>VIC</t>
        </is>
      </c>
      <c r="C13" s="10" t="inlineStr">
        <is>
          <t>Asphalt Prod - Somerton (303)</t>
        </is>
      </c>
      <c r="D13" s="11" t="inlineStr">
        <is>
          <t>6001311036</t>
        </is>
      </c>
      <c r="E13" s="11" t="inlineStr">
        <is>
          <t>50002646138_6001311036</t>
        </is>
      </c>
      <c r="F13" s="10" t="inlineStr">
        <is>
          <t>Origin</t>
        </is>
      </c>
      <c r="G13" s="11" t="inlineStr">
        <is>
          <t>900018217_6001311036</t>
        </is>
      </c>
      <c r="H13" s="10" t="inlineStr">
        <is>
          <t>EngieAU</t>
        </is>
      </c>
      <c r="I13" s="10" t="inlineStr">
        <is>
          <t>Engie</t>
        </is>
      </c>
      <c r="J13" s="12" t="n">
        <v>46203</v>
      </c>
      <c r="K13" s="16" t="n">
        <v>167073</v>
      </c>
      <c r="L13" s="17" t="n">
        <v>130.3</v>
      </c>
      <c r="M13" s="13" t="inlineStr">
        <is>
          <t>Not started</t>
        </is>
      </c>
      <c r="N13" s="14" t="n"/>
      <c r="O13" s="15" t="inlineStr"/>
    </row>
    <row r="14">
      <c r="A14" s="9" t="n">
        <v>10</v>
      </c>
      <c r="B14" s="9" t="inlineStr">
        <is>
          <t>VIC</t>
        </is>
      </c>
      <c r="C14" s="10" t="inlineStr">
        <is>
          <t>Asphalt Prod - Traralgon (300)</t>
        </is>
      </c>
      <c r="D14" s="11" t="inlineStr">
        <is>
          <t>6306009124</t>
        </is>
      </c>
      <c r="E14" s="11" t="inlineStr">
        <is>
          <t>50002929573_6306009124</t>
        </is>
      </c>
      <c r="F14" s="10" t="inlineStr">
        <is>
          <t>Origin</t>
        </is>
      </c>
      <c r="G14" s="11" t="inlineStr">
        <is>
          <t>900018219_6306009124</t>
        </is>
      </c>
      <c r="H14" s="10" t="inlineStr">
        <is>
          <t>EngieAU</t>
        </is>
      </c>
      <c r="I14" s="10" t="inlineStr">
        <is>
          <t>Engie</t>
        </is>
      </c>
      <c r="J14" s="12" t="n">
        <v>46203</v>
      </c>
      <c r="K14" s="16" t="n">
        <v>63861</v>
      </c>
      <c r="L14" s="17" t="n">
        <v>49.8</v>
      </c>
      <c r="M14" s="13" t="inlineStr">
        <is>
          <t>Not started</t>
        </is>
      </c>
      <c r="N14" s="14" t="n"/>
      <c r="O14" s="15" t="inlineStr">
        <is>
          <t>Replaced On is already set, but to 30 Oct 2026 - a future date, so it is still accruing. Move it back to 30 Jun 2026.</t>
        </is>
      </c>
    </row>
    <row r="15">
      <c r="A15" s="9" t="n">
        <v>11</v>
      </c>
      <c r="B15" s="9" t="inlineStr">
        <is>
          <t>VIC</t>
        </is>
      </c>
      <c r="C15" s="10" t="inlineStr">
        <is>
          <t>Asphalt Prod - Wodonga (315)</t>
        </is>
      </c>
      <c r="D15" s="11" t="inlineStr">
        <is>
          <t>VBBB002698</t>
        </is>
      </c>
      <c r="E15" s="11" t="inlineStr">
        <is>
          <t>50002646143_VBBB002698</t>
        </is>
      </c>
      <c r="F15" s="10" t="inlineStr">
        <is>
          <t>Origin</t>
        </is>
      </c>
      <c r="G15" s="11" t="inlineStr">
        <is>
          <t>900018213_VBBB002698</t>
        </is>
      </c>
      <c r="H15" s="10" t="inlineStr">
        <is>
          <t>EngieAU</t>
        </is>
      </c>
      <c r="I15" s="10" t="inlineStr">
        <is>
          <t>Engie</t>
        </is>
      </c>
      <c r="J15" s="12" t="n">
        <v>46203</v>
      </c>
      <c r="K15" s="16" t="n">
        <v>82313</v>
      </c>
      <c r="L15" s="17" t="n">
        <v>64.2</v>
      </c>
      <c r="M15" s="13" t="inlineStr">
        <is>
          <t>Not started</t>
        </is>
      </c>
      <c r="N15" s="14" t="n"/>
      <c r="O15" s="15" t="inlineStr"/>
    </row>
    <row r="16">
      <c r="A16" s="9" t="n">
        <v>12</v>
      </c>
      <c r="B16" s="9" t="inlineStr">
        <is>
          <t>VIC</t>
        </is>
      </c>
      <c r="C16" s="10" t="inlineStr">
        <is>
          <t>Dandenong - PAV</t>
        </is>
      </c>
      <c r="D16" s="11" t="inlineStr">
        <is>
          <t>6407100027</t>
        </is>
      </c>
      <c r="E16" s="11" t="inlineStr">
        <is>
          <t>50002646142_6407100027</t>
        </is>
      </c>
      <c r="F16" s="10" t="inlineStr">
        <is>
          <t>Origin</t>
        </is>
      </c>
      <c r="G16" s="11" t="inlineStr">
        <is>
          <t>900018211_6407100027</t>
        </is>
      </c>
      <c r="H16" s="10" t="inlineStr">
        <is>
          <t>EngieAU</t>
        </is>
      </c>
      <c r="I16" s="10" t="inlineStr">
        <is>
          <t>Engie</t>
        </is>
      </c>
      <c r="J16" s="12" t="n">
        <v>46203</v>
      </c>
      <c r="K16" s="16" t="n">
        <v>20852</v>
      </c>
      <c r="L16" s="17" t="n">
        <v>16.3</v>
      </c>
      <c r="M16" s="13" t="inlineStr">
        <is>
          <t>Not started</t>
        </is>
      </c>
      <c r="N16" s="14" t="n"/>
      <c r="O16" s="15" t="inlineStr"/>
    </row>
    <row r="17">
      <c r="A17" s="9" t="n">
        <v>13</v>
      </c>
      <c r="B17" s="9" t="inlineStr">
        <is>
          <t>VIC</t>
        </is>
      </c>
      <c r="C17" s="10" t="inlineStr">
        <is>
          <t>Mulgrave - Wellington Rd, Clayton</t>
        </is>
      </c>
      <c r="D17" s="11" t="inlineStr">
        <is>
          <t>6407695655</t>
        </is>
      </c>
      <c r="E17" s="11" t="inlineStr">
        <is>
          <t>50002646152_6407695655</t>
        </is>
      </c>
      <c r="F17" s="10" t="inlineStr">
        <is>
          <t>Origin</t>
        </is>
      </c>
      <c r="G17" s="11" t="inlineStr">
        <is>
          <t>900018210_6407695655</t>
        </is>
      </c>
      <c r="H17" s="10" t="inlineStr">
        <is>
          <t>EngieAU</t>
        </is>
      </c>
      <c r="I17" s="10" t="inlineStr">
        <is>
          <t>Engie</t>
        </is>
      </c>
      <c r="J17" s="12" t="n">
        <v>46203</v>
      </c>
      <c r="K17" s="16" t="n">
        <v>4354</v>
      </c>
      <c r="L17" s="17" t="n">
        <v>3.4</v>
      </c>
      <c r="M17" s="13" t="inlineStr">
        <is>
          <t>Not started</t>
        </is>
      </c>
      <c r="N17" s="14" t="n"/>
      <c r="O17" s="15" t="inlineStr"/>
    </row>
    <row r="18">
      <c r="A18" s="9" t="n">
        <v>14</v>
      </c>
      <c r="B18" s="9" t="inlineStr">
        <is>
          <t>VIC</t>
        </is>
      </c>
      <c r="C18" s="10" t="inlineStr">
        <is>
          <t>Utilities Derrimut Office</t>
        </is>
      </c>
      <c r="D18" s="11" t="inlineStr">
        <is>
          <t>6203753676</t>
        </is>
      </c>
      <c r="E18" s="11" t="inlineStr">
        <is>
          <t>50002646140_6203753676</t>
        </is>
      </c>
      <c r="F18" s="10" t="inlineStr">
        <is>
          <t>Origin</t>
        </is>
      </c>
      <c r="G18" s="11" t="inlineStr">
        <is>
          <t>900018212_6203753676</t>
        </is>
      </c>
      <c r="H18" s="10" t="inlineStr">
        <is>
          <t>EngieAU</t>
        </is>
      </c>
      <c r="I18" s="10" t="inlineStr">
        <is>
          <t>Engie</t>
        </is>
      </c>
      <c r="J18" s="12" t="n">
        <v>46203</v>
      </c>
      <c r="K18" s="16" t="n">
        <v>55530</v>
      </c>
      <c r="L18" s="17" t="n">
        <v>43.3</v>
      </c>
      <c r="M18" s="13" t="inlineStr">
        <is>
          <t>Not started</t>
        </is>
      </c>
      <c r="N18" s="14" t="n"/>
      <c r="O18" s="15" t="inlineStr"/>
    </row>
    <row r="19">
      <c r="C19" s="7" t="inlineStr">
        <is>
          <t>Counted twice across the 14</t>
        </is>
      </c>
      <c r="K19" s="18">
        <f>SUM(K5:K18)</f>
        <v/>
      </c>
      <c r="L19" s="19">
        <f>SUM(L5:L18)</f>
        <v/>
      </c>
    </row>
  </sheetData>
  <autoFilter ref="A4:O18"/>
  <conditionalFormatting sqref="M5:M18">
    <cfRule type="cellIs" priority="1" operator="equal" dxfId="0">
      <formula>"Not started"</formula>
    </cfRule>
    <cfRule type="cellIs" priority="2" operator="equal" dxfId="1">
      <formula>"Replaced On set"</formula>
    </cfRule>
    <cfRule type="cellIs" priority="3" operator="equal" dxfId="3">
      <formula>"Verified in Envizi"</formula>
    </cfRule>
    <cfRule type="cellIs" priority="4" operator="equal" dxfId="10">
      <formula>"Query raised"</formula>
    </cfRule>
  </conditionalFormatting>
  <conditionalFormatting sqref="A5:L18">
    <cfRule type="expression" priority="5" dxfId="8">
      <formula>$M5="Verified in Envizi"</formula>
    </cfRule>
  </conditionalFormatting>
  <conditionalFormatting sqref="J5:J18">
    <cfRule type="expression" priority="6" dxfId="11">
      <formula>ISBLANK(J5)</formula>
    </cfRule>
  </conditionalFormatting>
  <dataValidations count="2">
    <dataValidation sqref="M5:M18" showDropDown="0" showInputMessage="1" showErrorMessage="1" allowBlank="0" errorTitle="Status" error="Pick one of the listed stages." promptTitle="Status" prompt="Pick the stage this close-off has reached." type="list">
      <formula1>"Not started,Replaced On set,Verified in Envizi,Query raised"</formula1>
    </dataValidation>
    <dataValidation sqref="N5:N18" showDropDown="0" showInputMessage="1" showErrorMessage="1" allowBlank="1" errorTitle="Date actioned" error="Enter a date after 1 January 2026." promptTitle="Date actioned" prompt="The date I set Replaced On." type="date" operator="greaterThan">
      <formula1>DATE(2026,1,1)</formula1>
    </dataValidation>
  </dataValidations>
  <printOptions horizontalCentered="1"/>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6"/>
  <sheetViews>
    <sheetView workbookViewId="0">
      <pane ySplit="4" topLeftCell="A5" activePane="bottomLeft" state="frozen"/>
      <selection pane="bottomLeft" activeCell="A1" sqref="A1"/>
    </sheetView>
  </sheetViews>
  <sheetFormatPr baseColWidth="8" defaultRowHeight="15"/>
  <cols>
    <col width="4" customWidth="1" min="1" max="1"/>
    <col width="6" customWidth="1" min="2" max="2"/>
    <col width="30" customWidth="1" min="3" max="3"/>
    <col width="14" customWidth="1" min="4" max="4"/>
    <col width="30" customWidth="1" min="5" max="5"/>
    <col width="34" customWidth="1" min="6" max="6"/>
    <col width="80" customWidth="1" min="7" max="7"/>
  </cols>
  <sheetData>
    <row r="1">
      <c r="A1" s="1" t="inlineStr">
        <is>
          <t>Register rows with no account to create</t>
        </is>
      </c>
    </row>
    <row r="2">
      <c r="A2" s="2" t="inlineStr">
        <is>
          <t>Kept so the 81 large market register rows reconcile: everything not on the Create tab is here, with the reason.</t>
        </is>
      </c>
    </row>
    <row r="4" ht="20" customHeight="1">
      <c r="A4" s="8" t="inlineStr">
        <is>
          <t>#</t>
        </is>
      </c>
      <c r="B4" s="8" t="inlineStr">
        <is>
          <t>State</t>
        </is>
      </c>
      <c r="C4" s="8" t="inlineStr">
        <is>
          <t>Location</t>
        </is>
      </c>
      <c r="D4" s="8" t="inlineStr">
        <is>
          <t>NMI</t>
        </is>
      </c>
      <c r="E4" s="8" t="inlineStr">
        <is>
          <t>Site</t>
        </is>
      </c>
      <c r="F4" s="8" t="inlineStr">
        <is>
          <t>Decision</t>
        </is>
      </c>
      <c r="G4" s="8" t="inlineStr">
        <is>
          <t>Why</t>
        </is>
      </c>
    </row>
    <row r="5" ht="28" customHeight="1">
      <c r="A5" s="20" t="n">
        <v>1</v>
      </c>
      <c r="B5" s="20" t="inlineStr">
        <is>
          <t>NT</t>
        </is>
      </c>
      <c r="C5" s="21" t="inlineStr">
        <is>
          <t>Asphalt Prod - Darwin (525)</t>
        </is>
      </c>
      <c r="D5" s="22" t="inlineStr">
        <is>
          <t>2500054287</t>
        </is>
      </c>
      <c r="E5" s="21" t="inlineStr">
        <is>
          <t>Roads - Asphalt Plant Tivendale</t>
        </is>
      </c>
      <c r="F5" s="21" t="inlineStr">
        <is>
          <t>Exclude - named site (NT / QTMP / Pakenham)</t>
        </is>
      </c>
      <c r="G5" s="23" t="inlineStr">
        <is>
          <t>Named exclusion - Northern Territory. Jacana Energy site; not green in the Site Register either.</t>
        </is>
      </c>
    </row>
    <row r="6" ht="28" customHeight="1">
      <c r="A6" s="20" t="n">
        <v>2</v>
      </c>
      <c r="B6" s="20" t="inlineStr">
        <is>
          <t>NT</t>
        </is>
      </c>
      <c r="C6" s="21" t="inlineStr">
        <is>
          <t>Katherine</t>
        </is>
      </c>
      <c r="D6" s="22" t="inlineStr">
        <is>
          <t>2500044629</t>
        </is>
      </c>
      <c r="E6" s="21" t="inlineStr">
        <is>
          <t>Roads - Katherine</t>
        </is>
      </c>
      <c r="F6" s="21" t="inlineStr">
        <is>
          <t>Exclude - named site (NT / QTMP / Pakenham)</t>
        </is>
      </c>
      <c r="G6" s="23" t="inlineStr">
        <is>
          <t>Named exclusion - Northern Territory. Jacana Energy site; not green in the Site Register either.</t>
        </is>
      </c>
    </row>
    <row r="7" ht="28" customHeight="1">
      <c r="A7" s="20" t="n">
        <v>3</v>
      </c>
      <c r="B7" s="20" t="inlineStr">
        <is>
          <t>NT</t>
        </is>
      </c>
      <c r="C7" s="21" t="inlineStr">
        <is>
          <t>Skilltech - Stuart Park</t>
        </is>
      </c>
      <c r="D7" s="22" t="inlineStr">
        <is>
          <t>2500033707</t>
        </is>
      </c>
      <c r="E7" s="21" t="inlineStr">
        <is>
          <t>SKILLTECH  DARWIN</t>
        </is>
      </c>
      <c r="F7" s="21" t="inlineStr">
        <is>
          <t>Exclude - named site (NT / QTMP / Pakenham)</t>
        </is>
      </c>
      <c r="G7" s="23" t="inlineStr">
        <is>
          <t>Named exclusion - Northern Territory. Jacana Energy site; not green in the Site Register either.</t>
        </is>
      </c>
    </row>
    <row r="8" ht="28" customHeight="1">
      <c r="A8" s="20" t="n">
        <v>4</v>
      </c>
      <c r="B8" s="20" t="inlineStr">
        <is>
          <t>QLD</t>
        </is>
      </c>
      <c r="C8" s="21" t="inlineStr">
        <is>
          <t>Torbanlea - QTMP</t>
        </is>
      </c>
      <c r="D8" s="22" t="inlineStr">
        <is>
          <t>3053253239</t>
        </is>
      </c>
      <c r="E8" s="21" t="inlineStr">
        <is>
          <t>Torbanlea</t>
        </is>
      </c>
      <c r="F8" s="21" t="inlineStr">
        <is>
          <t>Exclude - named site (NT / QTMP / Pakenham)</t>
        </is>
      </c>
      <c r="G8" s="23" t="inlineStr">
        <is>
          <t>Named exclusion - QTMP (Torbanlea). The account sits at 'Torbanlea - QTMP', which is also absent from the 26 Aug 26 locations extract.</t>
        </is>
      </c>
    </row>
    <row r="9" ht="28" customHeight="1">
      <c r="A9" s="20" t="n">
        <v>5</v>
      </c>
      <c r="B9" s="20" t="inlineStr">
        <is>
          <t>WA</t>
        </is>
      </c>
      <c r="C9" s="21" t="inlineStr">
        <is>
          <t>Asphalt Prod - Albany (601)</t>
        </is>
      </c>
      <c r="D9" s="22" t="inlineStr">
        <is>
          <t>8001016501</t>
        </is>
      </c>
      <c r="E9" s="21" t="inlineStr">
        <is>
          <t>Roads - Warrenup (Albany)</t>
        </is>
      </c>
      <c r="F9" s="21" t="inlineStr">
        <is>
          <t>Exclude - offset on account green component</t>
        </is>
      </c>
      <c r="G9" s="23" t="inlineStr">
        <is>
          <t>Alinta contract from 01 Jul 2026 already records green kWh on this account's own green component (Jul-Aug 26: 34,924 kWh, -17.5 tCO2e) - an offset is in place without a separate certificate account. Flip to Create if a certificate account is wanted as well.</t>
        </is>
      </c>
    </row>
    <row r="10" ht="28" customHeight="1">
      <c r="A10" s="20" t="n">
        <v>6</v>
      </c>
      <c r="B10" s="20" t="inlineStr">
        <is>
          <t>WA</t>
        </is>
      </c>
      <c r="C10" s="21" t="inlineStr">
        <is>
          <t>Asphalt Prod - Geraldton (602)</t>
        </is>
      </c>
      <c r="D10" s="22" t="inlineStr">
        <is>
          <t>8001356541</t>
        </is>
      </c>
      <c r="E10" s="21" t="inlineStr">
        <is>
          <t>Roads - Narngulu (Geraldton)</t>
        </is>
      </c>
      <c r="F10" s="21" t="inlineStr">
        <is>
          <t>Exclude - offset on account green component</t>
        </is>
      </c>
      <c r="G10" s="23" t="inlineStr">
        <is>
          <t>Alinta contract from 01 Jul 2026 already records green kWh on this account's own green component (Jul-Aug 26: 3,050 kWh, -1.5 tCO2e) - an offset is in place without a separate certificate account. Flip to Create if a certificate account is wanted as well.</t>
        </is>
      </c>
    </row>
    <row r="11" ht="28" customHeight="1">
      <c r="A11" s="20" t="n">
        <v>7</v>
      </c>
      <c r="B11" s="20" t="inlineStr">
        <is>
          <t>WA</t>
        </is>
      </c>
      <c r="C11" s="21" t="inlineStr">
        <is>
          <t>Asphalt Prod - Hope Valley (628)</t>
        </is>
      </c>
      <c r="D11" s="22" t="inlineStr">
        <is>
          <t>8002193716</t>
        </is>
      </c>
      <c r="E11" s="21" t="inlineStr">
        <is>
          <t>Roads - Hope Valley</t>
        </is>
      </c>
      <c r="F11" s="21" t="inlineStr">
        <is>
          <t>Exclude - offset on account green component</t>
        </is>
      </c>
      <c r="G11" s="23" t="inlineStr">
        <is>
          <t>Alinta contract from 01 Jul 2026 already records green kWh on this account's own green component (Jul-Aug 26: 86,626 kWh, -43.3 tCO2e) - an offset is in place without a separate certificate account. Flip to Create if a certificate account is wanted as well.</t>
        </is>
      </c>
    </row>
    <row r="12" ht="28" customHeight="1">
      <c r="A12" s="20" t="n">
        <v>8</v>
      </c>
      <c r="B12" s="20" t="inlineStr">
        <is>
          <t>WA</t>
        </is>
      </c>
      <c r="C12" s="21" t="inlineStr">
        <is>
          <t>Cannington Emulsion Plant</t>
        </is>
      </c>
      <c r="D12" s="22" t="inlineStr">
        <is>
          <t>8001010840</t>
        </is>
      </c>
      <c r="E12" s="21" t="inlineStr">
        <is>
          <t>Roads - Beckenham</t>
        </is>
      </c>
      <c r="F12" s="21" t="inlineStr">
        <is>
          <t>Exclude - offset on account green component</t>
        </is>
      </c>
      <c r="G12" s="23" t="inlineStr">
        <is>
          <t>Alinta contract from 01 Jul 2026 already records green kWh on this account's own green component (Jul-Aug 26: 75,916 kWh, -38.0 tCO2e) - an offset is in place without a separate certificate account. Flip to Create if a certificate account is wanted as well.</t>
        </is>
      </c>
    </row>
    <row r="13" ht="28" customHeight="1">
      <c r="A13" s="20" t="n">
        <v>9</v>
      </c>
      <c r="B13" s="20" t="inlineStr">
        <is>
          <t>WA</t>
        </is>
      </c>
      <c r="C13" s="21" t="inlineStr">
        <is>
          <t>LSE - Perth Convention &amp; Exhibition Centre (WA)</t>
        </is>
      </c>
      <c r="D13" s="22" t="inlineStr">
        <is>
          <t>8001000591</t>
        </is>
      </c>
      <c r="E13" s="21" t="inlineStr">
        <is>
          <t>Perth Convention &amp; Exhibition Centre</t>
        </is>
      </c>
      <c r="F13" s="21" t="inlineStr">
        <is>
          <t>Exclude - offset on account green component</t>
        </is>
      </c>
      <c r="G13" s="23" t="inlineStr">
        <is>
          <t>Alinta contract from 01 Jul 2026 already records green kWh on this account's own green component (Jul-Aug 26: 348,506 kWh, -174.3 tCO2e) - an offset is in place without a separate certificate account. Flip to Create if a certificate account is wanted as well.</t>
        </is>
      </c>
    </row>
    <row r="14" ht="28" customHeight="1">
      <c r="A14" s="20" t="n">
        <v>10</v>
      </c>
      <c r="B14" s="20" t="inlineStr">
        <is>
          <t>WA</t>
        </is>
      </c>
      <c r="C14" s="21" t="inlineStr">
        <is>
          <t>LSE - Perth Convention &amp; Exhibition Centre (WA)</t>
        </is>
      </c>
      <c r="D14" s="22" t="inlineStr">
        <is>
          <t>8001000592</t>
        </is>
      </c>
      <c r="E14" s="21" t="inlineStr">
        <is>
          <t>Perth Convention &amp; Exhibition Centre</t>
        </is>
      </c>
      <c r="F14" s="21" t="inlineStr">
        <is>
          <t>Exclude - offset on account green component</t>
        </is>
      </c>
      <c r="G14" s="23" t="inlineStr">
        <is>
          <t>Alinta contract from 01 Jul 2026 already records green kWh on this account's own green component (Jul-Aug 26: 286,600 kWh, -143.3 tCO2e) - an offset is in place without a separate certificate account. Flip to Create if a certificate account is wanted as well.</t>
        </is>
      </c>
    </row>
    <row r="15" ht="28" customHeight="1">
      <c r="A15" s="20" t="n">
        <v>11</v>
      </c>
      <c r="B15" s="20" t="inlineStr">
        <is>
          <t>WA</t>
        </is>
      </c>
      <c r="C15" s="21" t="inlineStr">
        <is>
          <t>Maddington - BIT</t>
        </is>
      </c>
      <c r="D15" s="22" t="inlineStr">
        <is>
          <t>8001015167</t>
        </is>
      </c>
      <c r="E15" s="21" t="inlineStr">
        <is>
          <t>Roads - Maddington</t>
        </is>
      </c>
      <c r="F15" s="21" t="inlineStr">
        <is>
          <t>Exclude - offset on account green component</t>
        </is>
      </c>
      <c r="G15" s="23" t="inlineStr">
        <is>
          <t>Alinta contract from 01 Jul 2026 already records green kWh on this account's own green component (Jul-Aug 26: 24,550 kWh, -12.3 tCO2e) - an offset is in place without a separate certificate account. Flip to Create if a certificate account is wanted as well.</t>
        </is>
      </c>
    </row>
    <row r="16" ht="28" customHeight="1">
      <c r="A16" s="20" t="n">
        <v>12</v>
      </c>
      <c r="B16" s="20" t="inlineStr">
        <is>
          <t>QLD</t>
        </is>
      </c>
      <c r="C16" s="21" t="inlineStr">
        <is>
          <t>Not found</t>
        </is>
      </c>
      <c r="D16" s="22" t="inlineStr">
        <is>
          <t>QGGG000320</t>
        </is>
      </c>
      <c r="E16" s="21" t="inlineStr">
        <is>
          <t>Rail - Maryborough</t>
        </is>
      </c>
      <c r="F16" s="21" t="inlineStr">
        <is>
          <t>Hold</t>
        </is>
      </c>
      <c r="G16" s="23" t="inlineStr">
        <is>
          <t>No active electricity account on this NMI in Envizi - check before loading.</t>
        </is>
      </c>
    </row>
  </sheetData>
  <autoFilter ref="A4:G16"/>
  <conditionalFormatting sqref="F5:F16">
    <cfRule type="cellIs" priority="1" operator="equal" dxfId="6">
      <formula>"Hold"</formula>
    </cfRule>
  </conditionalFormatting>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itle>LGC account creation - FY26-28 renewal</dc:title>
  <dc:description>Certificate accounts to create and duplicate accounts to close off, cut down from the FY26-28 contract spreadsheet.</dc:description>
  <dcterms:created xsi:type="dcterms:W3CDTF">2026-09-09T08:51:34Z</dcterms:created>
  <dcterms:modified xsi:type="dcterms:W3CDTF">2026-09-09T08:51:34Z</dcterms:modified>
  <cp:lastModifiedBy/>
</cp:coreProperties>
</file>