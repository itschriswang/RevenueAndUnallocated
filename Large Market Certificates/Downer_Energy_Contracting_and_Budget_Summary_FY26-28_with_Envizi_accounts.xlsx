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1" autoFilterDateGrouping="1"/>
  </bookViews>
  <sheets>
    <sheet name="Summary" sheetId="1" state="visible" r:id="rId1"/>
    <sheet name="Site Register" sheetId="2" state="visible" r:id="rId2"/>
    <sheet name="Budget FY26-28" sheetId="3" state="visible" r:id="rId3"/>
    <sheet name="Rate Inputs" sheetId="4" state="visible" r:id="rId4"/>
    <sheet name="Rates &amp; Source Data" sheetId="5" state="visible" r:id="rId5"/>
    <sheet name="Envizi mapping notes" sheetId="6" state="visible" r:id="rId6"/>
  </sheets>
  <definedNames>
    <definedName name="DoubleCount">'Envizi mapping notes'!$A$23:$A$36</definedName>
    <definedName name="_xlnm._FilterDatabase" localSheetId="1" hidden="1">'Site Register'!$A$2:$AE$343</definedName>
    <definedName name="_xlnm._FilterDatabase" localSheetId="2" hidden="1">'Budget FY26-28'!$A$2:$Q$343</definedName>
  </definedNames>
  <calcPr calcId="191029" fullCalcOnLoad="1"/>
  <pivotCaches>
    <pivotCache cacheId="0" r:id="rId7"/>
  </pivotCaches>
</workbook>
</file>

<file path=xl/styles.xml><?xml version="1.0" encoding="utf-8"?>
<styleSheet xmlns="http://schemas.openxmlformats.org/spreadsheetml/2006/main">
  <numFmts count="7">
    <numFmt numFmtId="164" formatCode="#,##0;[Red]\(#,##0\);\-"/>
    <numFmt numFmtId="165" formatCode="#,##0.0"/>
    <numFmt numFmtId="166" formatCode="0.0000"/>
    <numFmt numFmtId="167" formatCode="#,##0.00;[Red]\(#,##0.00\);\-"/>
    <numFmt numFmtId="168" formatCode="0.000000"/>
    <numFmt numFmtId="169" formatCode="yyyy\-mm\-dd"/>
    <numFmt numFmtId="170" formatCode="&quot;$&quot;#,##0"/>
  </numFmts>
  <fonts count="11">
    <font>
      <name val="Carlito"/>
      <sz val="11"/>
    </font>
    <font>
      <name val="Poppins"/>
      <b val="1"/>
      <color rgb="FFFFFFFF"/>
      <sz val="16"/>
    </font>
    <font>
      <name val="Poppins"/>
      <sz val="11"/>
    </font>
    <font>
      <name val="Poppins"/>
      <b val="1"/>
      <color rgb="FFFFFFFF"/>
      <sz val="11"/>
    </font>
    <font>
      <name val="Tahoma"/>
      <charset val="1"/>
      <color indexed="81"/>
      <sz val="9"/>
    </font>
    <font>
      <name val="Tahoma"/>
      <charset val="1"/>
      <b val="1"/>
      <color indexed="81"/>
      <sz val="9"/>
    </font>
    <font>
      <name val="Carlito"/>
      <family val="2"/>
      <b val="1"/>
      <sz val="11"/>
    </font>
    <font>
      <name val="Aptos Narrow"/>
      <b val="1"/>
      <color rgb="FFFFFFFF"/>
      <sz val="11"/>
    </font>
    <font>
      <name val="Aptos Narrow"/>
      <sz val="11"/>
    </font>
    <font>
      <name val="Aptos Narrow"/>
      <b val="1"/>
      <sz val="14"/>
    </font>
    <font>
      <name val="Aptos Narrow"/>
      <b val="1"/>
      <sz val="11"/>
    </font>
  </fonts>
  <fills count="10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theme="7"/>
      </patternFill>
    </fill>
    <fill>
      <patternFill patternType="solid">
        <fgColor theme="1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1F3864"/>
        <bgColor rgb="FF1F3864"/>
      </patternFill>
    </fill>
  </fills>
  <borders count="11">
    <border>
      <left/>
      <right/>
      <top/>
      <bottom/>
      <diagonal/>
    </border>
    <border>
      <left style="thin">
        <color rgb="FFD9E1F2"/>
      </left>
      <right style="thin">
        <color rgb="FFEDEDED"/>
      </right>
      <top style="thin">
        <color rgb="FFD9E1F2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D9E1F2"/>
      </top>
      <bottom style="thin">
        <color rgb="FFEDEDED"/>
      </bottom>
      <diagonal/>
    </border>
    <border>
      <left style="thin">
        <color rgb="FFEDEDED"/>
      </left>
      <right/>
      <top style="thin">
        <color rgb="FFD9E1F2"/>
      </top>
      <bottom style="thin">
        <color rgb="FFEDEDED"/>
      </bottom>
      <diagonal/>
    </border>
    <border>
      <left style="thin">
        <color rgb="FFD9E1F2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EDEDED"/>
      </bottom>
      <diagonal/>
    </border>
    <border>
      <left style="thin">
        <color rgb="FFEDEDED"/>
      </left>
      <right/>
      <top style="thin">
        <color rgb="FFEDEDED"/>
      </top>
      <bottom style="thin">
        <color rgb="FFEDEDED"/>
      </bottom>
      <diagonal/>
    </border>
    <border>
      <left style="thin">
        <color rgb="FFD9E1F2"/>
      </left>
      <right style="thin">
        <color rgb="FFEDEDED"/>
      </right>
      <top style="thin">
        <color rgb="FFEDEDED"/>
      </top>
      <bottom style="thin">
        <color rgb="FFD9E1F2"/>
      </bottom>
      <diagonal/>
    </border>
    <border>
      <left style="thin">
        <color rgb="FFEDEDED"/>
      </left>
      <right style="thin">
        <color rgb="FFEDEDED"/>
      </right>
      <top style="thin">
        <color rgb="FFEDEDED"/>
      </top>
      <bottom style="thin">
        <color rgb="FFD9E1F2"/>
      </bottom>
      <diagonal/>
    </border>
    <border>
      <left style="thin">
        <color rgb="FFEDEDED"/>
      </left>
      <right/>
      <top style="thin">
        <color rgb="FFEDEDED"/>
      </top>
      <bottom style="thin">
        <color rgb="FFD9E1F2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18">
    <xf numFmtId="0" fontId="0" fillId="0" borderId="0" pivotButton="0" quotePrefix="0" xfId="0"/>
    <xf numFmtId="0" fontId="2" fillId="0" borderId="0" pivotButton="0" quotePrefix="0" xfId="0"/>
    <xf numFmtId="0" fontId="2" fillId="0" borderId="4" pivotButton="0" quotePrefix="0" xfId="0"/>
    <xf numFmtId="164" fontId="2" fillId="0" borderId="5" pivotButton="0" quotePrefix="0" xfId="0"/>
    <xf numFmtId="0" fontId="2" fillId="0" borderId="6" pivotButton="0" quotePrefix="0" xfId="0"/>
    <xf numFmtId="0" fontId="2" fillId="0" borderId="7" pivotButton="0" quotePrefix="0" xfId="0"/>
    <xf numFmtId="164" fontId="2" fillId="0" borderId="8" pivotButton="0" quotePrefix="0" xfId="0"/>
    <xf numFmtId="0" fontId="2" fillId="0" borderId="9" pivotButton="0" quotePrefix="0" xfId="0"/>
    <xf numFmtId="0" fontId="2" fillId="0" borderId="5" pivotButton="0" quotePrefix="0" xfId="0"/>
    <xf numFmtId="0" fontId="2" fillId="0" borderId="8" pivotButton="0" quotePrefix="0" xfId="0"/>
    <xf numFmtId="0" fontId="2" fillId="0" borderId="4" applyAlignment="1" pivotButton="0" quotePrefix="0" xfId="0">
      <alignment wrapText="1"/>
    </xf>
    <xf numFmtId="0" fontId="2" fillId="0" borderId="5" applyAlignment="1" pivotButton="0" quotePrefix="0" xfId="0">
      <alignment wrapText="1"/>
    </xf>
    <xf numFmtId="0" fontId="2" fillId="0" borderId="6" applyAlignment="1" pivotButton="0" quotePrefix="0" xfId="0">
      <alignment wrapText="1"/>
    </xf>
    <xf numFmtId="0" fontId="2" fillId="0" borderId="7" applyAlignment="1" pivotButton="0" quotePrefix="0" xfId="0">
      <alignment wrapText="1"/>
    </xf>
    <xf numFmtId="0" fontId="2" fillId="0" borderId="8" applyAlignment="1" pivotButton="0" quotePrefix="0" xfId="0">
      <alignment wrapText="1"/>
    </xf>
    <xf numFmtId="0" fontId="2" fillId="0" borderId="9" applyAlignment="1" pivotButton="0" quotePrefix="0" xfId="0">
      <alignment wrapText="1"/>
    </xf>
    <xf numFmtId="165" fontId="2" fillId="0" borderId="5" pivotButton="0" quotePrefix="0" xfId="0"/>
    <xf numFmtId="166" fontId="2" fillId="2" borderId="5" pivotButton="0" quotePrefix="0" xfId="0"/>
    <xf numFmtId="167" fontId="2" fillId="2" borderId="5" pivotButton="0" quotePrefix="0" xfId="0"/>
    <xf numFmtId="167" fontId="2" fillId="0" borderId="5" pivotButton="0" quotePrefix="0" xfId="0"/>
    <xf numFmtId="0" fontId="2" fillId="2" borderId="5" pivotButton="0" quotePrefix="0" xfId="0"/>
    <xf numFmtId="167" fontId="2" fillId="0" borderId="6" pivotButton="0" quotePrefix="0" xfId="0"/>
    <xf numFmtId="165" fontId="2" fillId="0" borderId="8" pivotButton="0" quotePrefix="0" xfId="0"/>
    <xf numFmtId="166" fontId="2" fillId="2" borderId="8" pivotButton="0" quotePrefix="0" xfId="0"/>
    <xf numFmtId="167" fontId="2" fillId="2" borderId="8" pivotButton="0" quotePrefix="0" xfId="0"/>
    <xf numFmtId="167" fontId="2" fillId="0" borderId="8" pivotButton="0" quotePrefix="0" xfId="0"/>
    <xf numFmtId="0" fontId="2" fillId="2" borderId="8" pivotButton="0" quotePrefix="0" xfId="0"/>
    <xf numFmtId="167" fontId="2" fillId="0" borderId="9" pivotButton="0" quotePrefix="0" xfId="0"/>
    <xf numFmtId="167" fontId="2" fillId="3" borderId="5" pivotButton="0" quotePrefix="0" xfId="0"/>
    <xf numFmtId="168" fontId="2" fillId="0" borderId="5" pivotButton="0" quotePrefix="0" xfId="0"/>
    <xf numFmtId="167" fontId="2" fillId="3" borderId="8" pivotButton="0" quotePrefix="0" xfId="0"/>
    <xf numFmtId="168" fontId="2" fillId="0" borderId="8" pivotButton="0" quotePrefix="0" xfId="0"/>
    <xf numFmtId="169" fontId="2" fillId="0" borderId="5" pivotButton="0" quotePrefix="0" xfId="0"/>
    <xf numFmtId="169" fontId="2" fillId="0" borderId="8" pivotButton="0" quotePrefix="0" xfId="0"/>
    <xf numFmtId="0" fontId="1" fillId="4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4" borderId="3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3" fillId="5" borderId="3" applyAlignment="1" pivotButton="0" quotePrefix="0" xfId="0">
      <alignment horizontal="center" vertical="center" wrapText="1"/>
    </xf>
    <xf numFmtId="0" fontId="0" fillId="0" borderId="0" pivotButton="1" quotePrefix="0" xfId="0"/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left" indent="1"/>
    </xf>
    <xf numFmtId="0" fontId="0" fillId="0" borderId="0" applyAlignment="1" pivotButton="0" quotePrefix="0" xfId="0">
      <alignment horizontal="left" indent="2"/>
    </xf>
    <xf numFmtId="170" fontId="0" fillId="0" borderId="0" pivotButton="0" quotePrefix="0" xfId="0"/>
    <xf numFmtId="170" fontId="0" fillId="0" borderId="0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2" fillId="0" borderId="4" applyAlignment="1" pivotButton="0" quotePrefix="0" xfId="0">
      <alignment vertical="center"/>
    </xf>
    <xf numFmtId="0" fontId="2" fillId="0" borderId="5" applyAlignment="1" pivotButton="0" quotePrefix="0" xfId="0">
      <alignment vertical="center"/>
    </xf>
    <xf numFmtId="165" fontId="2" fillId="0" borderId="5" applyAlignment="1" pivotButton="0" quotePrefix="0" xfId="0">
      <alignment vertical="center"/>
    </xf>
    <xf numFmtId="169" fontId="2" fillId="0" borderId="5" applyAlignment="1" pivotButton="0" quotePrefix="0" xfId="0">
      <alignment vertical="center"/>
    </xf>
    <xf numFmtId="167" fontId="2" fillId="0" borderId="5" applyAlignment="1" pivotButton="0" quotePrefix="0" xfId="0">
      <alignment vertical="center"/>
    </xf>
    <xf numFmtId="0" fontId="2" fillId="0" borderId="6" applyAlignment="1" pivotButton="0" quotePrefix="0" xfId="0">
      <alignment vertical="center" wrapText="1"/>
    </xf>
    <xf numFmtId="0" fontId="2" fillId="0" borderId="7" applyAlignment="1" pivotButton="0" quotePrefix="0" xfId="0">
      <alignment vertical="center"/>
    </xf>
    <xf numFmtId="0" fontId="2" fillId="0" borderId="8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169" fontId="2" fillId="0" borderId="8" applyAlignment="1" pivotButton="0" quotePrefix="0" xfId="0">
      <alignment vertical="center"/>
    </xf>
    <xf numFmtId="167" fontId="2" fillId="0" borderId="8" applyAlignment="1" pivotButton="0" quotePrefix="0" xfId="0">
      <alignment vertical="center"/>
    </xf>
    <xf numFmtId="0" fontId="2" fillId="0" borderId="9" applyAlignment="1" pivotButton="0" quotePrefix="0" xfId="0">
      <alignment vertical="center" wrapText="1"/>
    </xf>
    <xf numFmtId="170" fontId="0" fillId="6" borderId="0" pivotButton="0" quotePrefix="0" xfId="0"/>
    <xf numFmtId="167" fontId="2" fillId="6" borderId="5" pivotButton="0" quotePrefix="0" xfId="0"/>
    <xf numFmtId="164" fontId="2" fillId="6" borderId="5" pivotButton="0" quotePrefix="0" xfId="0"/>
    <xf numFmtId="9" fontId="0" fillId="7" borderId="0" pivotButton="0" quotePrefix="0" xfId="0"/>
    <xf numFmtId="0" fontId="6" fillId="0" borderId="0" pivotButton="0" quotePrefix="0" xfId="0"/>
    <xf numFmtId="0" fontId="2" fillId="8" borderId="4" applyAlignment="1" pivotButton="0" quotePrefix="0" xfId="0">
      <alignment vertical="center"/>
    </xf>
    <xf numFmtId="0" fontId="2" fillId="8" borderId="5" applyAlignment="1" pivotButton="0" quotePrefix="0" xfId="0">
      <alignment vertical="center"/>
    </xf>
    <xf numFmtId="165" fontId="2" fillId="8" borderId="5" applyAlignment="1" pivotButton="0" quotePrefix="0" xfId="0">
      <alignment vertical="center"/>
    </xf>
    <xf numFmtId="169" fontId="2" fillId="8" borderId="5" applyAlignment="1" pivotButton="0" quotePrefix="0" xfId="0">
      <alignment vertical="center"/>
    </xf>
    <xf numFmtId="167" fontId="2" fillId="8" borderId="5" applyAlignment="1" pivotButton="0" quotePrefix="0" xfId="0">
      <alignment vertical="center"/>
    </xf>
    <xf numFmtId="0" fontId="2" fillId="8" borderId="6" applyAlignment="1" pivotButton="0" quotePrefix="0" xfId="0">
      <alignment vertical="center" wrapText="1"/>
    </xf>
    <xf numFmtId="0" fontId="2" fillId="8" borderId="0" applyAlignment="1" pivotButton="0" quotePrefix="0" xfId="0">
      <alignment vertical="center"/>
    </xf>
    <xf numFmtId="0" fontId="2" fillId="7" borderId="4" applyAlignment="1" pivotButton="0" quotePrefix="0" xfId="0">
      <alignment vertical="center"/>
    </xf>
    <xf numFmtId="0" fontId="2" fillId="7" borderId="5" applyAlignment="1" pivotButton="0" quotePrefix="0" xfId="0">
      <alignment vertical="center"/>
    </xf>
    <xf numFmtId="165" fontId="2" fillId="7" borderId="5" applyAlignment="1" pivotButton="0" quotePrefix="0" xfId="0">
      <alignment vertical="center"/>
    </xf>
    <xf numFmtId="169" fontId="2" fillId="7" borderId="5" applyAlignment="1" pivotButton="0" quotePrefix="0" xfId="0">
      <alignment vertical="center"/>
    </xf>
    <xf numFmtId="167" fontId="2" fillId="7" borderId="5" applyAlignment="1" pivotButton="0" quotePrefix="0" xfId="0">
      <alignment vertical="center"/>
    </xf>
    <xf numFmtId="0" fontId="2" fillId="7" borderId="6" applyAlignment="1" pivotButton="0" quotePrefix="0" xfId="0">
      <alignment vertical="center" wrapText="1"/>
    </xf>
    <xf numFmtId="0" fontId="2" fillId="7" borderId="0" applyAlignment="1" pivotButton="0" quotePrefix="0" xfId="0">
      <alignment vertical="center"/>
    </xf>
    <xf numFmtId="0" fontId="7" fillId="9" borderId="10" applyAlignment="1" pivotButton="0" quotePrefix="0" xfId="0">
      <alignment vertical="center" wrapText="1"/>
    </xf>
    <xf numFmtId="165" fontId="2" fillId="0" borderId="5" applyAlignment="1" pivotButton="0" quotePrefix="0" xfId="0">
      <alignment vertical="center"/>
    </xf>
    <xf numFmtId="169" fontId="2" fillId="0" borderId="5" applyAlignment="1" pivotButton="0" quotePrefix="0" xfId="0">
      <alignment vertical="center"/>
    </xf>
    <xf numFmtId="167" fontId="2" fillId="0" borderId="5" applyAlignment="1" pivotButton="0" quotePrefix="0" xfId="0">
      <alignment vertical="center"/>
    </xf>
    <xf numFmtId="0" fontId="8" fillId="0" borderId="10" applyAlignment="1" pivotButton="0" quotePrefix="0" xfId="0">
      <alignment vertical="top"/>
    </xf>
    <xf numFmtId="0" fontId="8" fillId="0" borderId="10" applyAlignment="1" pivotButton="0" quotePrefix="0" xfId="0">
      <alignment vertical="top" wrapText="1"/>
    </xf>
    <xf numFmtId="165" fontId="2" fillId="8" borderId="5" applyAlignment="1" pivotButton="0" quotePrefix="0" xfId="0">
      <alignment vertical="center"/>
    </xf>
    <xf numFmtId="169" fontId="2" fillId="8" borderId="5" applyAlignment="1" pivotButton="0" quotePrefix="0" xfId="0">
      <alignment vertical="center"/>
    </xf>
    <xf numFmtId="167" fontId="2" fillId="8" borderId="5" applyAlignment="1" pivotButton="0" quotePrefix="0" xfId="0">
      <alignment vertical="center"/>
    </xf>
    <xf numFmtId="165" fontId="2" fillId="7" borderId="5" applyAlignment="1" pivotButton="0" quotePrefix="0" xfId="0">
      <alignment vertical="center"/>
    </xf>
    <xf numFmtId="169" fontId="2" fillId="7" borderId="5" applyAlignment="1" pivotButton="0" quotePrefix="0" xfId="0">
      <alignment vertical="center"/>
    </xf>
    <xf numFmtId="167" fontId="2" fillId="7" borderId="5" applyAlignment="1" pivotButton="0" quotePrefix="0" xfId="0">
      <alignment vertical="center"/>
    </xf>
    <xf numFmtId="165" fontId="2" fillId="0" borderId="8" applyAlignment="1" pivotButton="0" quotePrefix="0" xfId="0">
      <alignment vertical="center"/>
    </xf>
    <xf numFmtId="169" fontId="2" fillId="0" borderId="8" applyAlignment="1" pivotButton="0" quotePrefix="0" xfId="0">
      <alignment vertical="center"/>
    </xf>
    <xf numFmtId="167" fontId="2" fillId="0" borderId="8" applyAlignment="1" pivotButton="0" quotePrefix="0" xfId="0">
      <alignment vertical="center"/>
    </xf>
    <xf numFmtId="165" fontId="2" fillId="0" borderId="5" pivotButton="0" quotePrefix="0" xfId="0"/>
    <xf numFmtId="169" fontId="2" fillId="0" borderId="5" pivotButton="0" quotePrefix="0" xfId="0"/>
    <xf numFmtId="167" fontId="2" fillId="0" borderId="5" pivotButton="0" quotePrefix="0" xfId="0"/>
    <xf numFmtId="164" fontId="2" fillId="0" borderId="5" pivotButton="0" quotePrefix="0" xfId="0"/>
    <xf numFmtId="167" fontId="2" fillId="6" borderId="5" pivotButton="0" quotePrefix="0" xfId="0"/>
    <xf numFmtId="164" fontId="2" fillId="6" borderId="5" pivotButton="0" quotePrefix="0" xfId="0"/>
    <xf numFmtId="165" fontId="2" fillId="0" borderId="8" pivotButton="0" quotePrefix="0" xfId="0"/>
    <xf numFmtId="169" fontId="2" fillId="0" borderId="8" pivotButton="0" quotePrefix="0" xfId="0"/>
    <xf numFmtId="167" fontId="2" fillId="0" borderId="8" pivotButton="0" quotePrefix="0" xfId="0"/>
    <xf numFmtId="164" fontId="2" fillId="0" borderId="8" pivotButton="0" quotePrefix="0" xfId="0"/>
    <xf numFmtId="167" fontId="2" fillId="3" borderId="5" pivotButton="0" quotePrefix="0" xfId="0"/>
    <xf numFmtId="168" fontId="2" fillId="0" borderId="5" pivotButton="0" quotePrefix="0" xfId="0"/>
    <xf numFmtId="167" fontId="2" fillId="0" borderId="6" pivotButton="0" quotePrefix="0" xfId="0"/>
    <xf numFmtId="167" fontId="2" fillId="3" borderId="8" pivotButton="0" quotePrefix="0" xfId="0"/>
    <xf numFmtId="168" fontId="2" fillId="0" borderId="8" pivotButton="0" quotePrefix="0" xfId="0"/>
    <xf numFmtId="167" fontId="2" fillId="0" borderId="9" pivotButton="0" quotePrefix="0" xfId="0"/>
    <xf numFmtId="166" fontId="2" fillId="2" borderId="5" pivotButton="0" quotePrefix="0" xfId="0"/>
    <xf numFmtId="167" fontId="2" fillId="2" borderId="5" pivotButton="0" quotePrefix="0" xfId="0"/>
    <xf numFmtId="166" fontId="2" fillId="2" borderId="8" pivotButton="0" quotePrefix="0" xfId="0"/>
    <xf numFmtId="167" fontId="2" fillId="2" borderId="8" pivotButton="0" quotePrefix="0" xfId="0"/>
    <xf numFmtId="0" fontId="9" fillId="0" borderId="0" pivotButton="0" quotePrefix="0" xfId="0"/>
    <xf numFmtId="0" fontId="8" fillId="0" borderId="0" pivotButton="0" quotePrefix="0" xfId="0"/>
    <xf numFmtId="0" fontId="10" fillId="0" borderId="0" pivotButton="0" quotePrefix="0" xfId="0"/>
  </cellXfs>
  <cellStyles count="1">
    <cellStyle name="Normal" xfId="0" builtinId="0"/>
  </cellStyles>
  <dxfs count="21">
    <dxf>
      <font>
        <color rgb="FF9C5700"/>
      </font>
      <fill>
        <patternFill>
          <bgColor rgb="FFFCE4D6"/>
        </patternFill>
      </fill>
    </dxf>
    <dxf>
      <font>
        <color rgb="FF375623"/>
      </font>
      <fill>
        <patternFill>
          <bgColor rgb="FFE2F0D9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9C5700"/>
      </font>
      <fill>
        <patternFill>
          <bgColor rgb="FFFCE4D6"/>
        </patternFill>
      </fill>
    </dxf>
    <dxf>
      <font>
        <color rgb="FF9C5700"/>
      </font>
      <fill>
        <patternFill>
          <bgColor rgb="FFFCE4D6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0" formatCode="General"/>
    </dxf>
    <dxf>
      <numFmt numFmtId="0" formatCode="General"/>
    </dxf>
    <dxf>
      <alignment horizontal="right"/>
    </dxf>
    <dxf>
      <numFmt numFmtId="170" formatCode="&quot;$&quot;#,##0"/>
    </dxf>
    <dxf>
      <numFmt numFmtId="170" formatCode="&quot;$&quot;#,##0"/>
    </dxf>
    <dxf>
      <numFmt numFmtId="0" formatCode="General"/>
    </dxf>
    <dxf>
      <numFmt numFmtId="0" formatCode="General"/>
    </dxf>
    <dxf>
      <alignment horizontal="right"/>
    </dxf>
    <dxf>
      <numFmt numFmtId="170" formatCode="&quot;$&quot;#,##0"/>
    </dxf>
    <dxf>
      <numFmt numFmtId="170" formatCode="&quot;$&quot;#,##0"/>
    </dxf>
    <dxf>
      <fill>
        <patternFill patternType="solid">
          <fgColor rgb="FFF8CBAD"/>
          <bgColor rgb="FFF8CBAD"/>
        </patternFill>
      </fill>
    </dxf>
    <dxf>
      <fill>
        <patternFill patternType="solid">
          <fgColor rgb="FFFFF2CC"/>
          <bgColor rgb="FFFFF2CC"/>
        </patternFill>
      </fill>
    </dxf>
    <dxf>
      <fill>
        <patternFill patternType="solid">
          <fgColor rgb="FFFCE4D6"/>
          <bgColor rgb="FFFCE4D6"/>
        </patternFill>
      </fill>
    </dxf>
    <dxf>
      <fill>
        <patternFill patternType="solid">
          <fgColor rgb="FFE2EFDA"/>
          <bgColor rgb="FFE2EFDA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pivotCacheDefinition" Target="/xl/pivotCache/pivotCacheDefinition1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omments/comment1.xml><?xml version="1.0" encoding="utf-8"?>
<comments xmlns="http://schemas.openxmlformats.org/spreadsheetml/2006/main">
  <authors>
    <author>Cohen Robinson</author>
  </authors>
  <commentList>
    <comment ref="L10" authorId="0" shapeId="0">
      <text>
        <t>Cohen Robinson:
Estimate</t>
      </text>
    </comment>
  </commentList>
</comments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 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refreshedBy="Cohen Robinson" refreshedDate="46226.57593148148" createdVersion="8" refreshedVersion="8" minRefreshableVersion="3" recordCount="341" r:id="rId1">
  <cacheSource type="worksheet">
    <worksheetSource ref="A2:U343" sheet="Site Register"/>
  </cacheSource>
  <cacheFields count="21">
    <cacheField name="Connection ID" uniqueList="1" numFmtId="0" sqlType="0" hierarchy="0" level="0" databaseField="1">
      <sharedItems count="0" containsInteger="1" containsMixedTypes="1" containsNumber="1" minValue="2001130961" maxValue="8002193716"/>
    </cacheField>
    <cacheField name="Commodity" uniqueList="1" numFmtId="0" sqlType="0" hierarchy="0" level="0" databaseField="1">
      <sharedItems count="2">
        <s v="Natural Gas"/>
        <s v="Electricity"/>
      </sharedItems>
    </cacheField>
    <cacheField name="Country" uniqueList="1" numFmtId="0" sqlType="0" hierarchy="0" level="0" databaseField="1">
      <sharedItems count="2">
        <s v="Australia"/>
        <s v="New Zealand"/>
      </sharedItems>
    </cacheField>
    <cacheField name="State / Region" uniqueList="1" numFmtId="0" sqlType="0" hierarchy="0" level="0" databaseField="1">
      <sharedItems count="10">
        <s v="ACT"/>
        <s v="NSW"/>
        <s v="SA"/>
        <s v="TAS"/>
        <s v="VIC"/>
        <s v="WA"/>
        <s v="QLD"/>
        <s v="NT"/>
        <s v="South Island"/>
        <s v="North Island"/>
      </sharedItems>
    </cacheField>
    <cacheField name="Portfolio Group" uniqueList="1" numFmtId="0" sqlType="0" hierarchy="0" level="0" databaseField="1">
      <sharedItems count="19">
        <s v="AU Large Natural Gas"/>
        <s v="AU Large Electricity"/>
        <s v="AU Small Energy"/>
        <s v="NZ NTOU Electricity"/>
        <s v="NZ NTOU Natural Gas"/>
        <s v="NZ TOU Electricity"/>
        <s v="NZ TOU Natural Gas"/>
        <s v="AU C&amp;I Gas" u="1"/>
        <s v="AU SME" u="1"/>
        <s v="NSW, VIC, ACT Large Electricity" u="1"/>
        <s v="NT Large Electricity" u="1"/>
        <s v="QLD Large Electricity" u="1"/>
        <s v="SA Large Electricity" u="1"/>
        <s v="TAS Large Electricity" u="1"/>
        <s v="WA Large Electricity" u="1"/>
        <s v="NTOU Electricity" u="1"/>
        <s v="NTOU Natural Gas" u="1"/>
        <s v="TOU Electricity" u="1"/>
        <s v="TOU Natural Gas" u="1"/>
      </sharedItems>
    </cacheField>
    <cacheField name="Site Name" uniqueList="1" numFmtId="0" sqlType="0" hierarchy="0" level="0" databaseField="1">
      <sharedItems count="0" containsBlank="1"/>
    </cacheField>
    <cacheField name="Address" uniqueList="1" numFmtId="0" sqlType="0" hierarchy="0" level="0" databaseField="1">
      <sharedItems count="0"/>
    </cacheField>
    <cacheField name="Entity" uniqueList="1" numFmtId="0" sqlType="0" hierarchy="0" level="0" databaseField="1">
      <sharedItems count="0"/>
    </cacheField>
    <cacheField name="Business Unit" uniqueList="1" numFmtId="0" sqlType="0" hierarchy="0" level="0" databaseField="1">
      <sharedItems count="0" containsBlank="1"/>
    </cacheField>
    <cacheField name="Units" uniqueList="1" numFmtId="0" sqlType="0" hierarchy="0" level="0" databaseField="1">
      <sharedItems count="0"/>
    </cacheField>
    <cacheField name="Annual Consumption" uniqueList="1" numFmtId="164" sqlType="0" hierarchy="0" level="0" databaseField="1">
      <sharedItems count="0" containsNumber="1" containsSemiMixedTypes="0" containsString="0" minValue="0" maxValue="10268531.8"/>
    </cacheField>
    <cacheField name="Retailer at Tender" uniqueList="1" numFmtId="0" sqlType="0" hierarchy="0" level="0" databaseField="1">
      <sharedItems count="0"/>
    </cacheField>
    <cacheField name="Contracted Retailer" uniqueList="1" numFmtId="165" sqlType="0" hierarchy="0" level="0" databaseField="1">
      <sharedItems count="0"/>
    </cacheField>
    <cacheField name="New Contract Start" uniqueList="1" numFmtId="165" sqlType="0" hierarchy="0" level="0" databaseField="1">
      <sharedItems count="0" containsBlank="1" containsDate="1" containsNonDate="0" containsString="0" minDate="2025-01-01T00:00:00" maxDate="2027-01-02T00:00:00"/>
    </cacheField>
    <cacheField name="New Contract End" uniqueList="1" numFmtId="165" sqlType="0" hierarchy="0" level="0" databaseField="1">
      <sharedItems count="0" containsBlank="1" containsDate="1" containsNonDate="0" containsString="0" minDate="2026-12-31T00:00:00" maxDate="2030-10-01T00:00:00"/>
    </cacheField>
    <cacheField name="Term" uniqueList="1" numFmtId="0" sqlType="0" hierarchy="0" level="0" databaseField="1">
      <sharedItems count="0" containsBlank="1"/>
    </cacheField>
    <cacheField name="FY26 Budget" uniqueList="1" numFmtId="166" sqlType="0" hierarchy="0" level="0" databaseField="1">
      <sharedItems count="0" containsInteger="1" containsMixedTypes="1" containsNumber="1" minValue="500" maxValue="2564800"/>
    </cacheField>
    <cacheField name="FY27 Budget" uniqueList="1" numFmtId="166" sqlType="0" hierarchy="0" level="0" databaseField="1">
      <sharedItems count="0" containsInteger="1" containsNumber="1" containsSemiMixedTypes="0" containsString="0" minValue="0" maxValue="2465100"/>
    </cacheField>
    <cacheField name="FY28 Budget" uniqueList="1" numFmtId="166" sqlType="0" hierarchy="0" level="0" databaseField="1">
      <sharedItems count="0" containsInteger="1" containsNumber="1" containsSemiMixedTypes="0" containsString="0" minValue="0" maxValue="2532500"/>
    </cacheField>
    <cacheField name="Budget Status" uniqueList="1" numFmtId="0" sqlType="0" hierarchy="0" level="0" databaseField="1">
      <sharedItems count="0"/>
    </cacheField>
    <cacheField name="Notes" uniqueList="1" numFmtId="0" sqlType="0" hierarchy="0" level="0" databaseField="1">
      <sharedItems count="0" containsBlank="1"/>
    </cacheField>
  </cacheFields>
</pivotCacheDefinition>
</file>

<file path=xl/pivotCache/pivotCacheRecords1.xml><?xml version="1.0" encoding="utf-8"?>
<pivotCacheRecords xmlns="http://schemas.openxmlformats.org/spreadsheetml/2006/main" count="341">
  <r>
    <n v="5265773931"/>
    <x v="0"/>
    <x v="0"/>
    <x v="0"/>
    <x v="0"/>
    <m/>
    <s v="7 Tralee Street, Hume ACT 2620"/>
    <s v="DOWNER EDI WORKS PTY LTD (ABN: 66 008 709 608)"/>
    <s v="T&amp;I"/>
    <s v="GJ"/>
    <n v="30729.026"/>
    <s v="Origin"/>
    <s v="Origin"/>
    <d v="2027-01-01T00:00:00"/>
    <d v="2029-12-31T00:00:00"/>
    <s v="36 months"/>
    <n v="1015100"/>
    <n v="982100"/>
    <n v="975800"/>
    <s v="Ready"/>
    <m/>
  </r>
  <r>
    <n v="5242077399"/>
    <x v="0"/>
    <x v="0"/>
    <x v="1"/>
    <x v="0"/>
    <m/>
    <s v="ICC Darling Drive, Darling Harbour NSW 2000"/>
    <s v="SPOTLESS FACILITY SERVICES PTY LTD (ABN: 83 072 293 880)"/>
    <s v="SICS"/>
    <s v="GJ"/>
    <n v="19847.41099999998"/>
    <s v="ShellEnergyAU"/>
    <s v="Shell"/>
    <d v="2026-01-01T00:00:00"/>
    <d v="2027-12-31T00:00:00"/>
    <s v="12 months"/>
    <n v="600100"/>
    <n v="580400"/>
    <n v="589800"/>
    <s v="Ready"/>
    <m/>
  </r>
  <r>
    <n v="5247064745"/>
    <x v="0"/>
    <x v="0"/>
    <x v="1"/>
    <x v="0"/>
    <m/>
    <s v="460 Main Road, Glendale NSW 2285"/>
    <s v="DOWNER EDI RAIL PTY LTD (ABN: 92 000 002 031)"/>
    <s v="RAIL"/>
    <s v="GJ"/>
    <n v="2500"/>
    <s v="Origin"/>
    <s v="Origin"/>
    <d v="2027-01-01T00:00:00"/>
    <d v="2029-12-31T00:00:00"/>
    <s v="36 months"/>
    <n v="64500"/>
    <n v="64000"/>
    <n v="65700"/>
    <s v="Ready"/>
    <m/>
  </r>
  <r>
    <n v="5248353654"/>
    <x v="0"/>
    <x v="0"/>
    <x v="1"/>
    <x v="0"/>
    <m/>
    <s v="9 Devon St, Rosehill NSW 2142"/>
    <s v="DOWNER EDI SERVICES PTY LTD (ABN: 71 137 732 042)"/>
    <s v="T&amp;I"/>
    <s v="GJ"/>
    <n v="108015.3710000001"/>
    <s v="ShellEnergyAU"/>
    <s v="Shell"/>
    <d v="2026-01-01T00:00:00"/>
    <d v="2027-12-31T00:00:00"/>
    <s v="12 months"/>
    <n v="2564800"/>
    <n v="2465100"/>
    <n v="2532500"/>
    <s v="Ready"/>
    <m/>
  </r>
  <r>
    <n v="5265761108"/>
    <x v="0"/>
    <x v="0"/>
    <x v="1"/>
    <x v="0"/>
    <m/>
    <s v="5800 Kings Highway, Bungendore NSW 2621"/>
    <s v="SPOTLESS FACILITY SERVICES PTY LTD (ABN: 83 072 293 880)"/>
    <s v="SICS"/>
    <s v="GJ"/>
    <n v="1300"/>
    <s v="Origin"/>
    <s v="Origin"/>
    <d v="2027-01-01T00:00:00"/>
    <d v="2027-12-31T00:00:00"/>
    <s v="12 months"/>
    <n v="80900"/>
    <n v="63500"/>
    <n v="0"/>
    <s v="Ready"/>
    <m/>
  </r>
  <r>
    <n v="5510072233"/>
    <x v="0"/>
    <x v="0"/>
    <x v="2"/>
    <x v="0"/>
    <m/>
    <s v="557 Grand Junction Road, Wingfield SA 5013"/>
    <s v="DOWNER EDI SERVICES PTY LTD (ABN: 71 137 732 042)"/>
    <s v="T&amp;I"/>
    <s v="GJ"/>
    <n v="92565.36000000002"/>
    <s v="ShellEnergyAU"/>
    <s v="Shell"/>
    <d v="2026-01-01T00:00:00"/>
    <d v="2027-12-31T00:00:00"/>
    <s v="12 months"/>
    <n v="2463200"/>
    <n v="2403600"/>
    <n v="2449300"/>
    <s v="Ready"/>
    <m/>
  </r>
  <r>
    <n v="5510485000"/>
    <x v="0"/>
    <x v="0"/>
    <x v="2"/>
    <x v="0"/>
    <m/>
    <s v="Wills Street, Largs Bay SA 5016"/>
    <s v="DOWNER EDI SERVICES PTY LTD (ABN: 71 137 732 042)"/>
    <s v="T&amp;I"/>
    <s v="GJ"/>
    <n v="13214.10399999999"/>
    <s v="ShellEnergyAU"/>
    <s v="Shell"/>
    <d v="2026-01-01T00:00:00"/>
    <d v="2027-12-31T00:00:00"/>
    <s v="12 months"/>
    <n v="357600"/>
    <n v="346700"/>
    <n v="348300"/>
    <s v="Ready"/>
    <m/>
  </r>
  <r>
    <n v="5762711908"/>
    <x v="0"/>
    <x v="0"/>
    <x v="3"/>
    <x v="0"/>
    <m/>
    <s v="59 Remount Road, Mowbray TAS 7248"/>
    <s v="DOWNER EDI WORKS PTY LTD (ABN: 66 008 709 608)"/>
    <s v="T&amp;I"/>
    <s v="GJ"/>
    <n v="15621.56412"/>
    <s v="Solstice"/>
    <s v="Solstice Energy"/>
    <d v="2025-01-01T00:00:00"/>
    <d v="2026-12-31T00:00:00"/>
    <s v="Existing term to 31-Dec-2026"/>
    <n v="283000"/>
    <n v="283000"/>
    <n v="283000"/>
    <s v="FY26 secured"/>
    <s v="No further term secured"/>
  </r>
  <r>
    <n v="5310000243"/>
    <x v="0"/>
    <x v="0"/>
    <x v="4"/>
    <x v="0"/>
    <m/>
    <s v="18 Jersey Road, Bayswater VIC 3153"/>
    <s v="DOWNER EDI SERVICES PTY LTD (ABN: 71 137 732 042)"/>
    <s v="T&amp;I"/>
    <s v="GJ"/>
    <n v="57783.717189303"/>
    <s v="ShellEnergyAU"/>
    <s v="Shell"/>
    <d v="2026-01-01T00:00:00"/>
    <d v="2027-12-31T00:00:00"/>
    <s v="12 months"/>
    <n v="1264100"/>
    <n v="1132200"/>
    <n v="1134900"/>
    <s v="Ready"/>
    <m/>
  </r>
  <r>
    <n v="5320000943"/>
    <x v="0"/>
    <x v="0"/>
    <x v="4"/>
    <x v="0"/>
    <m/>
    <s v="Apollo Drive, Shepparton VIC 3630"/>
    <s v="DOWNER EDI SERVICES PTY LTD (ABN: 71 137 732 042)"/>
    <s v="T&amp;I"/>
    <s v="GJ"/>
    <n v="23114.486190759"/>
    <s v="ShellEnergyAU"/>
    <s v="Shell"/>
    <d v="2026-01-01T00:00:00"/>
    <d v="2027-12-31T00:00:00"/>
    <s v="12 months"/>
    <n v="533900"/>
    <n v="481500"/>
    <n v="483200"/>
    <s v="Ready"/>
    <m/>
  </r>
  <r>
    <n v="5330662312"/>
    <x v="0"/>
    <x v="0"/>
    <x v="4"/>
    <x v="0"/>
    <m/>
    <s v="125 Somerton Road, Somerton VIC 3062"/>
    <s v="DOWNER EDI SERVICES PTY LTD (ABN: 71 137 732 042)"/>
    <s v="T&amp;I"/>
    <s v="GJ"/>
    <n v="103871.24325094"/>
    <s v="ShellEnergyAU"/>
    <s v="Shell"/>
    <d v="2026-01-01T00:00:00"/>
    <d v="2027-12-31T00:00:00"/>
    <s v="12 months"/>
    <n v="2178100"/>
    <n v="1939400"/>
    <n v="1941300"/>
    <s v="Ready"/>
    <m/>
  </r>
  <r>
    <n v="5600405263"/>
    <x v="0"/>
    <x v="0"/>
    <x v="5"/>
    <x v="0"/>
    <m/>
    <s v="73 Bickley Road, Beckenham WA 6107"/>
    <s v="DOWNER EDI SERVICES PTY LTD (ABN: 71 137 732 042)"/>
    <s v="T&amp;I"/>
    <s v="GJ"/>
    <n v="590"/>
    <s v="Perth Energy"/>
    <s v="Kleenheat"/>
    <d v="2026-01-01T00:00:00"/>
    <d v="2027-12-31T00:00:00"/>
    <s v="To 31-Dec-2027"/>
    <n v="11900"/>
    <n v="12000"/>
    <n v="12000"/>
    <s v="Ready"/>
    <m/>
  </r>
  <r>
    <n v="5600436929"/>
    <x v="0"/>
    <x v="0"/>
    <x v="5"/>
    <x v="0"/>
    <m/>
    <s v="95 Cockram Road, Martin WA 6110"/>
    <s v="DOWNER EDI SERVICES PTY LTD (ABN: 71 137 732 042)"/>
    <s v="T&amp;I"/>
    <s v="GJ"/>
    <n v="23242.13673913043"/>
    <s v="Perth Energy"/>
    <s v="Kleenheat"/>
    <d v="2026-01-01T00:00:00"/>
    <d v="2027-12-31T00:00:00"/>
    <s v="To 31-Dec-2027"/>
    <n v="335700"/>
    <n v="326700"/>
    <n v="326700"/>
    <s v="Ready"/>
    <m/>
  </r>
  <r>
    <n v="5600604830"/>
    <x v="0"/>
    <x v="0"/>
    <x v="5"/>
    <x v="0"/>
    <m/>
    <s v="Unit 1, 5 Mounts Bay Road, Perth WA 6000"/>
    <s v="SPOTLESS FACILITY SERVICES PTY LTD (ABN: 83 072 293 880)"/>
    <s v="SICS"/>
    <s v="GJ"/>
    <n v="9471.607275641016"/>
    <s v="Perth Energy"/>
    <s v="Kleenheat"/>
    <d v="2026-01-01T00:00:00"/>
    <d v="2027-12-31T00:00:00"/>
    <s v="To 31-Dec-2027"/>
    <n v="160000"/>
    <n v="156500"/>
    <n v="156500"/>
    <s v="Ready"/>
    <m/>
  </r>
  <r>
    <n v="5600945901"/>
    <x v="0"/>
    <x v="0"/>
    <x v="5"/>
    <x v="0"/>
    <m/>
    <s v="Lot 106 Corner Hoyle &amp; Conway Road, Hope Valley WA 6165"/>
    <s v="DOWNER EDI SERVICES PTY LTD (ABN: 71 137 732 042)"/>
    <s v="T&amp;I"/>
    <s v="GJ"/>
    <n v="34066.92792410716"/>
    <s v="Perth Energy"/>
    <s v="Kleenheat"/>
    <d v="2026-01-01T00:00:00"/>
    <d v="2027-12-31T00:00:00"/>
    <s v="To 31-Dec-2027"/>
    <n v="477600"/>
    <n v="464000"/>
    <n v="464000"/>
    <s v="Ready"/>
    <m/>
  </r>
  <r>
    <n v="3053253239"/>
    <x v="1"/>
    <x v="0"/>
    <x v="6"/>
    <x v="1"/>
    <s v="Torbanlea"/>
    <s v="TRAIN FACILTY BRUCE HWY TORBANLEA 35 QLD 4662"/>
    <s v="DOWNER EDI SERVICES PTY LTD (ABN: 71 137 732 042)"/>
    <s v="RAIL"/>
    <s v="kWh"/>
    <n v="6208798"/>
    <s v="CS Energy"/>
    <s v="Engie"/>
    <d v="2026-07-01T00:00:00"/>
    <d v="2028-06-30T00:00:00"/>
    <s v="24 months"/>
    <n v="1270700"/>
    <n v="1165400"/>
    <n v="1174900"/>
    <s v="Ready"/>
    <m/>
  </r>
  <r>
    <n v="6305885252"/>
    <x v="1"/>
    <x v="0"/>
    <x v="4"/>
    <x v="1"/>
    <m/>
    <s v="81 MCMILLAN STREET LUCKNOW VIC 3875 LUCKNOW VIC"/>
    <s v="DOWNER EDI SERVICES PTY LTD (ABN: 71 137 732 042)"/>
    <m/>
    <s v="kWh"/>
    <n v="201844"/>
    <s v="Origin"/>
    <s v="Engie"/>
    <d v="2026-07-01T00:00:00"/>
    <d v="2028-06-30T00:00:00"/>
    <s v="24 months"/>
    <n v="58400"/>
    <n v="57800"/>
    <n v="58100"/>
    <s v="Ready"/>
    <m/>
  </r>
  <r>
    <n v="4001050448"/>
    <x v="1"/>
    <x v="0"/>
    <x v="1"/>
    <x v="2"/>
    <s v="Roads - Forbes"/>
    <s v="SAM STREET FORBES NSW 2871"/>
    <s v="DOWNER EDI WORKS PTY LTD (ABN: 66 008 709 608)"/>
    <s v="ROAD SERVICES"/>
    <s v="kWh"/>
    <n v="28354"/>
    <s v="Origin"/>
    <s v="Origin"/>
    <d v="2026-07-01T00:00:00"/>
    <d v="2028-06-30T00:00:00"/>
    <s v="24 months"/>
    <n v="11800"/>
    <n v="9400"/>
    <n v="9400"/>
    <s v="Ready"/>
    <m/>
  </r>
  <r>
    <n v="4001128707"/>
    <x v="1"/>
    <x v="0"/>
    <x v="1"/>
    <x v="2"/>
    <s v="Roads - Westdale (Tamworth)"/>
    <s v="15 ARMSTRONG STREET WESTDALE NSW 2340"/>
    <s v="DOWNER EDI WORKS PTY LTD (ABN: 66 008 709 608)"/>
    <s v="ROAD SERVICES"/>
    <s v="kWh"/>
    <n v="0"/>
    <s v="Origin"/>
    <s v="Origin"/>
    <d v="2026-07-01T00:00:00"/>
    <d v="2028-06-30T00:00:00"/>
    <s v="24 months"/>
    <s v=""/>
    <n v="0"/>
    <n v="0"/>
    <s v="Review required"/>
    <s v="No consumption reported"/>
  </r>
  <r>
    <n v="4001174306"/>
    <x v="1"/>
    <x v="0"/>
    <x v="1"/>
    <x v="2"/>
    <s v="Roads - Westdale (Tamworth)"/>
    <s v="23 ARMSTRONG STREET WESTDALE NSW 2340"/>
    <s v="DOWNER EDI WORKS PTY LTD (ABN: 66 008 709 608)"/>
    <s v="ROAD SERVICES"/>
    <s v="kWh"/>
    <n v="254401"/>
    <s v="Origin"/>
    <s v="Origin"/>
    <d v="2026-07-01T00:00:00"/>
    <d v="2028-06-30T00:00:00"/>
    <s v="24 months"/>
    <n v="101000"/>
    <n v="74700"/>
    <n v="74700"/>
    <s v="Ready"/>
    <m/>
  </r>
  <r>
    <n v="4001231357"/>
    <x v="1"/>
    <x v="0"/>
    <x v="1"/>
    <x v="2"/>
    <s v="Surfacing Lismore"/>
    <s v="64 Lancaster Drive Goonellabah NSW 2480"/>
    <s v="DOWNER EDI WORKS PTY LTD (ABN: 66 008 709 608)"/>
    <s v="Roads"/>
    <s v="kWh"/>
    <n v="30776"/>
    <s v="Origin"/>
    <s v="Origin"/>
    <d v="2026-07-01T00:00:00"/>
    <d v="2028-06-30T00:00:00"/>
    <s v="24 months"/>
    <n v="11500"/>
    <n v="13200"/>
    <n v="13200"/>
    <s v="Ready"/>
    <m/>
  </r>
  <r>
    <n v="4001277522"/>
    <x v="1"/>
    <x v="0"/>
    <x v="1"/>
    <x v="2"/>
    <s v="RPQ South Grafton"/>
    <s v="Lot 42 Tyson St, , South Grafton NSW 2460"/>
    <s v="RPQ PTY LTD (ABN: 53 010 760 826)"/>
    <s v="RPQ"/>
    <s v="kWh"/>
    <n v="9299"/>
    <s v="Origin"/>
    <s v="Origin"/>
    <d v="2026-07-01T00:00:00"/>
    <d v="2028-06-30T00:00:00"/>
    <s v="24 months"/>
    <n v="4400"/>
    <n v="3800"/>
    <n v="3800"/>
    <s v="Ready"/>
    <m/>
  </r>
  <r>
    <n v="4103512903"/>
    <x v="1"/>
    <x v="0"/>
    <x v="1"/>
    <x v="2"/>
    <s v="Rail Hornsby"/>
    <s v="29 Leighton Place Hornsby NSW 2077"/>
    <s v="DOWNER EDI RAIL PTY LTD (ABN: 92 000 002 031)"/>
    <s v="RAIL"/>
    <s v="kWh"/>
    <n v="15039"/>
    <s v="AGL"/>
    <s v="Origin"/>
    <d v="2026-07-01T00:00:00"/>
    <d v="2028-06-30T00:00:00"/>
    <s v="24 months"/>
    <n v="6600"/>
    <n v="4100"/>
    <n v="4100"/>
    <s v="Ready"/>
    <m/>
  </r>
  <r>
    <n v="4104037195"/>
    <x v="1"/>
    <x v="0"/>
    <x v="1"/>
    <x v="2"/>
    <s v="Whole of Government -Riverwood"/>
    <s v="5-7 Littleton St Riverwood NSW 2190"/>
    <s v="SPOTLESS FACILITY SERVICES PTY LTD (ABN: 83 072 293 880)"/>
    <s v="Spotless"/>
    <s v="kWh"/>
    <n v="2938"/>
    <s v="Origin"/>
    <s v="Origin"/>
    <d v="2026-07-01T00:00:00"/>
    <d v="2028-06-30T00:00:00"/>
    <s v="24 months"/>
    <n v="2100"/>
    <n v="1500"/>
    <n v="1500"/>
    <s v="Ready"/>
    <m/>
  </r>
  <r>
    <n v="4204234430"/>
    <x v="1"/>
    <x v="0"/>
    <x v="1"/>
    <x v="2"/>
    <s v="Roads - Narrandera"/>
    <s v="1 DRISCOLL DRIVE NARRANDERA NSW 2700"/>
    <s v="DOWNER EDI WORKS PTY LTD (ABN: 66 008 709 608)"/>
    <s v="ROAD SERVICES"/>
    <s v="kWh"/>
    <n v="16709"/>
    <s v="Origin"/>
    <s v="Origin"/>
    <d v="2026-07-01T00:00:00"/>
    <d v="2028-06-30T00:00:00"/>
    <s v="24 months"/>
    <n v="6700"/>
    <n v="6600"/>
    <n v="6600"/>
    <s v="Ready"/>
    <m/>
  </r>
  <r>
    <n v="4310027807"/>
    <x v="1"/>
    <x v="0"/>
    <x v="1"/>
    <x v="2"/>
    <s v="Skilltech - Rydalmere"/>
    <s v="U S 16 SOUTH ST RYDALMERE NSW 2116"/>
    <s v="SKILLTECH CONSULTING SERVICES PTY. LTD. (ABN: 14 007 162 647)"/>
    <s v="Spotless"/>
    <s v="kWh"/>
    <n v="65379"/>
    <s v="EnergyAustralia"/>
    <s v="Origin"/>
    <d v="2026-07-01T00:00:00"/>
    <d v="2028-06-30T00:00:00"/>
    <s v="24 months"/>
    <n v="29100"/>
    <n v="16800"/>
    <n v="16800"/>
    <s v="Ready"/>
    <m/>
  </r>
  <r>
    <n v="4311422527"/>
    <x v="1"/>
    <x v="0"/>
    <x v="1"/>
    <x v="2"/>
    <s v="5 Edney Lane"/>
    <s v="Unit 1, 5 Edney Lane Spring Hill, NSW 2500"/>
    <s v="DOWNER EDI SERVICES PTY LTD (ABN: 71 137 732 042)"/>
    <s v="Downer EDI Services Pty"/>
    <s v="kWh"/>
    <n v="33060"/>
    <s v="Origin"/>
    <s v="Origin"/>
    <d v="2026-07-01T00:00:00"/>
    <d v="2028-06-30T00:00:00"/>
    <s v="24 months"/>
    <n v="10800"/>
    <n v="8900"/>
    <n v="8900"/>
    <s v="Ready"/>
    <m/>
  </r>
  <r>
    <n v="4407159044"/>
    <x v="1"/>
    <x v="0"/>
    <x v="1"/>
    <x v="2"/>
    <s v="RPQ -Chinderah - NSW Spray Seal"/>
    <s v="24A Ozone St Chinderah NSW 2487"/>
    <s v="RPQ PTY LTD (ABN: 53 010 760 826)"/>
    <s v="ROAD SERVICES"/>
    <s v="kWh"/>
    <n v="33872"/>
    <s v="Origin"/>
    <s v="Origin"/>
    <d v="2026-07-01T00:00:00"/>
    <d v="2028-06-30T00:00:00"/>
    <s v="24 months"/>
    <n v="14000"/>
    <n v="11000"/>
    <n v="11000"/>
    <s v="Ready"/>
    <m/>
  </r>
  <r>
    <n v="3038502933"/>
    <x v="1"/>
    <x v="0"/>
    <x v="6"/>
    <x v="2"/>
    <s v="Engineering Power Gladstone"/>
    <s v="7 ROOKSBY ST GLADSTONE CENTRAL QLD 4680"/>
    <s v="DOWNER EDI ENGINEERING POWER PTY LTD (ABN: 53 000 983 700)"/>
    <m/>
    <s v="kWh"/>
    <n v="38380"/>
    <s v="Ergon"/>
    <s v="Origin"/>
    <d v="2026-07-01T00:00:00"/>
    <d v="2028-06-30T00:00:00"/>
    <s v="24 months"/>
    <n v="11900"/>
    <n v="11800"/>
    <n v="11800"/>
    <s v="Ready"/>
    <m/>
  </r>
  <r>
    <n v="3039040879"/>
    <x v="1"/>
    <x v="0"/>
    <x v="6"/>
    <x v="2"/>
    <s v="Engineering Power - Gladstone"/>
    <s v="LOT 145 ROOKSBY ST GLADSTONE CENTRAL QLD 4680"/>
    <s v="DOWNER EDI ENGINEERING POWER PTY LTD (ABN: 53 000 983 700)"/>
    <s v="ENGINEERING POWER"/>
    <s v="kWh"/>
    <n v="70195"/>
    <s v="Ergon"/>
    <s v="Origin"/>
    <d v="2026-07-01T00:00:00"/>
    <d v="2028-06-30T00:00:00"/>
    <s v="24 months"/>
    <n v="21800"/>
    <n v="20900"/>
    <n v="20900"/>
    <s v="Ready"/>
    <m/>
  </r>
  <r>
    <n v="3041781236"/>
    <x v="1"/>
    <x v="0"/>
    <x v="6"/>
    <x v="2"/>
    <s v="Rail - Maryborough"/>
    <s v="3 Ellena Street MARYBOROUGH QLD 4650"/>
    <s v="DOWNER EDI RAIL PTY LTD (ABN: 92 000 002 031)"/>
    <s v="ROLLING STOCK"/>
    <s v="kWh"/>
    <n v="53331"/>
    <s v="Ergon"/>
    <s v="Origin"/>
    <d v="2026-07-01T00:00:00"/>
    <d v="2028-06-30T00:00:00"/>
    <s v="24 months"/>
    <n v="15900"/>
    <n v="16100"/>
    <n v="16100"/>
    <s v="Ready"/>
    <m/>
  </r>
  <r>
    <s v="QB07736452"/>
    <x v="1"/>
    <x v="0"/>
    <x v="6"/>
    <x v="2"/>
    <s v="Utilities - Kunda Park"/>
    <s v="32 PAGE STREET KUNDA PARK QLD 4556"/>
    <s v="DOWNER EDI SERVICES PTY LTD (ABN: 71 137 732 042)"/>
    <s v="Utilities"/>
    <s v="kWh"/>
    <n v="24596"/>
    <s v="AGL"/>
    <s v="Origin"/>
    <d v="2026-07-01T00:00:00"/>
    <d v="2028-06-30T00:00:00"/>
    <s v="24 months"/>
    <n v="7400"/>
    <n v="8100"/>
    <n v="8100"/>
    <s v="Ready"/>
    <m/>
  </r>
  <r>
    <s v="QB13869604"/>
    <x v="1"/>
    <x v="0"/>
    <x v="6"/>
    <x v="2"/>
    <s v="UAM Office - Molendinar"/>
    <s v="Unit 2, 24 Export Drive Molendinar QLD 4214"/>
    <s v="Utilities Asset Management Pty Ltd (ABN: TBC)"/>
    <s v="Spotless"/>
    <s v="kWh"/>
    <n v="16289"/>
    <s v="AGL"/>
    <s v="Origin"/>
    <d v="2026-07-01T00:00:00"/>
    <d v="2028-06-30T00:00:00"/>
    <s v="24 months"/>
    <n v="5400"/>
    <n v="4600"/>
    <n v="4600"/>
    <s v="Ready"/>
    <m/>
  </r>
  <r>
    <n v="2001130961"/>
    <x v="1"/>
    <x v="0"/>
    <x v="2"/>
    <x v="2"/>
    <s v="Utilities - Gepps Cross"/>
    <s v="535 PROSPECT ROAD GEPPS CROSS SA 5094"/>
    <s v="DOWNER EDI SERVICES PTY LTD (ABN: 71 137 732 042)"/>
    <s v="Utilities"/>
    <s v="kWh"/>
    <n v="22458"/>
    <s v="AGL"/>
    <s v="Origin"/>
    <d v="2026-07-01T00:00:00"/>
    <d v="2028-06-30T00:00:00"/>
    <s v="24 months"/>
    <n v="11100"/>
    <n v="9200"/>
    <n v="9200"/>
    <s v="Ready"/>
    <m/>
  </r>
  <r>
    <n v="2001160686"/>
    <x v="1"/>
    <x v="0"/>
    <x v="2"/>
    <x v="2"/>
    <s v="Roads Workshop Wingfield"/>
    <s v="553-557 GRAND JUNCTION ROAD WINGFIELD SA 5013"/>
    <s v="DOWNER EDI SERVICES PTY LTD (ABN: 71 137 732 042)"/>
    <s v="ROAD SERVICES"/>
    <s v="kWh"/>
    <n v="36782"/>
    <s v="AGL"/>
    <s v="Origin"/>
    <d v="2026-07-01T00:00:00"/>
    <d v="2028-06-30T00:00:00"/>
    <s v="24 months"/>
    <n v="15300"/>
    <n v="14000"/>
    <n v="14000"/>
    <s v="Ready"/>
    <m/>
  </r>
  <r>
    <n v="2001223248"/>
    <x v="1"/>
    <x v="0"/>
    <x v="2"/>
    <x v="2"/>
    <s v="326 Kidman Park, SA"/>
    <s v="326 GRANGE RD KIDMAN PARK SA"/>
    <s v="DOWNER UTILITIES AUSTRALIA PTY LTD (ABN: 65 075 194 857)"/>
    <s v="E&amp;U"/>
    <s v="kWh"/>
    <n v="5840"/>
    <s v="AGL"/>
    <s v="Origin"/>
    <d v="2026-07-01T00:00:00"/>
    <d v="2028-06-30T00:00:00"/>
    <s v="24 months"/>
    <n v="3300"/>
    <n v="2900"/>
    <n v="2900"/>
    <s v="Ready"/>
    <m/>
  </r>
  <r>
    <n v="2001341166"/>
    <x v="1"/>
    <x v="0"/>
    <x v="2"/>
    <x v="2"/>
    <s v="DM Roads -Sturt Depot"/>
    <s v="Lot 100 / 78 Sturt Rd Bedford Park SA 5042"/>
    <s v="DOWNER EDI WORKS PTY LTD (ABN: 66 008 709 608)"/>
    <s v="ROAD SERVICES"/>
    <s v="kWh"/>
    <n v="3902"/>
    <s v="AGL"/>
    <s v="Origin"/>
    <d v="2026-07-01T00:00:00"/>
    <d v="2028-06-30T00:00:00"/>
    <s v="24 months"/>
    <n v="2000"/>
    <n v="2000"/>
    <n v="2000"/>
    <s v="Ready"/>
    <m/>
  </r>
  <r>
    <n v="2001341167"/>
    <x v="1"/>
    <x v="0"/>
    <x v="2"/>
    <x v="2"/>
    <s v="DM Roads- Sturt Depot"/>
    <s v="331 Sturt Rd Bedford Park SA 5042"/>
    <s v="DOWNER EDI WORKS PTY LTD (ABN: 66 008 709 608)"/>
    <s v="ROAD SERVICES"/>
    <s v="kWh"/>
    <n v="21166"/>
    <s v="AGL"/>
    <s v="Origin"/>
    <d v="2026-07-01T00:00:00"/>
    <d v="2028-06-30T00:00:00"/>
    <s v="24 months"/>
    <n v="9000"/>
    <n v="8000"/>
    <n v="8000"/>
    <s v="Ready"/>
    <m/>
  </r>
  <r>
    <n v="2001515449"/>
    <x v="1"/>
    <x v="0"/>
    <x v="2"/>
    <x v="2"/>
    <s v="Roads - Port Lincoln"/>
    <s v="9 DUBLIN STREET PORT LINCOLN SA 5606"/>
    <s v="DOWNER EDI WORKS PTY LTD (ABN: 66 008 709 608)"/>
    <s v="ROAD SERVICES"/>
    <s v="kWh"/>
    <n v="10660"/>
    <s v="AGL"/>
    <s v="Origin"/>
    <d v="2026-07-01T00:00:00"/>
    <d v="2028-06-30T00:00:00"/>
    <s v="24 months"/>
    <n v="4800"/>
    <n v="4400"/>
    <n v="4400"/>
    <s v="Ready"/>
    <m/>
  </r>
  <r>
    <n v="2001600008"/>
    <x v="1"/>
    <x v="0"/>
    <x v="2"/>
    <x v="2"/>
    <s v="Roads - Ceduna"/>
    <s v="8 EYRE HIGHWAY CEDUNA SA 5690"/>
    <s v="DOWNER EDI WORKS PTY LTD (ABN: 66 008 709 608)"/>
    <s v="ROAD SERVICES"/>
    <s v="kWh"/>
    <n v="3495"/>
    <s v="AGL"/>
    <s v="Origin"/>
    <d v="2026-07-01T00:00:00"/>
    <d v="2028-06-30T00:00:00"/>
    <s v="24 months"/>
    <n v="1800"/>
    <n v="1800"/>
    <n v="1800"/>
    <s v="Ready"/>
    <m/>
  </r>
  <r>
    <n v="2001676115"/>
    <x v="1"/>
    <x v="0"/>
    <x v="2"/>
    <x v="2"/>
    <s v="Roads - Port Pirie"/>
    <s v="5 COPINGER ROAD SOLOMONTOWN SA 5540"/>
    <s v="DOWNER EDI WORKS PTY LTD (ABN: 66 008 709 608)"/>
    <s v="ROAD SERVICES"/>
    <s v="kWh"/>
    <n v="28791"/>
    <s v="AGL"/>
    <s v="Origin"/>
    <d v="2026-07-01T00:00:00"/>
    <d v="2028-06-30T00:00:00"/>
    <s v="24 months"/>
    <n v="12100"/>
    <n v="10800"/>
    <n v="10800"/>
    <s v="Ready"/>
    <m/>
  </r>
  <r>
    <n v="2002190876"/>
    <x v="1"/>
    <x v="0"/>
    <x v="2"/>
    <x v="2"/>
    <s v="Roads - Port Augusta"/>
    <s v="VICTORIA  PARADE PORT AUGUSTA SA 5700"/>
    <s v="DOWNER EDI WORKS PTY LTD (ABN: 66 008 709 608)"/>
    <s v="ROAD SERVICES"/>
    <s v="kWh"/>
    <n v="29818"/>
    <s v="AGL"/>
    <s v="Origin"/>
    <d v="2026-07-01T00:00:00"/>
    <d v="2028-06-30T00:00:00"/>
    <s v="24 months"/>
    <n v="12500"/>
    <n v="11100"/>
    <n v="11100"/>
    <s v="Ready"/>
    <m/>
  </r>
  <r>
    <n v="2002601115"/>
    <x v="1"/>
    <x v="0"/>
    <x v="2"/>
    <x v="2"/>
    <s v="North South Corridor Site Office - SA"/>
    <s v="BTS 21 SIR DONALD BRADMAN DR MILE END SOUTH SA"/>
    <s v="DOWNER EDI WORKS PTY LTD (ABN: 66 008 709 608)"/>
    <s v="24170357"/>
    <s v="kWh"/>
    <n v="4380"/>
    <s v="AGL"/>
    <s v="Origin"/>
    <d v="2026-07-01T00:00:00"/>
    <d v="2028-06-30T00:00:00"/>
    <s v="24 months"/>
    <n v="2700"/>
    <n v="2300"/>
    <n v="2300"/>
    <s v="Ready"/>
    <m/>
  </r>
  <r>
    <n v="6001295311"/>
    <x v="1"/>
    <x v="0"/>
    <x v="4"/>
    <x v="2"/>
    <s v="Water Pipelines - Campbellfield"/>
    <s v="41 FORDSON ROAD CAMPBELLFIELD VIC 3061"/>
    <s v="DOWNER EDI WORKS PTY LTD (ABN: 66 008 709 608)"/>
    <s v="ROAD SERVICES"/>
    <s v="kWh"/>
    <n v="22391"/>
    <s v="AGL"/>
    <s v="Origin"/>
    <d v="2026-07-01T00:00:00"/>
    <d v="2028-06-30T00:00:00"/>
    <s v="24 months"/>
    <n v="7300"/>
    <n v="5500"/>
    <n v="5500"/>
    <s v="Ready"/>
    <m/>
  </r>
  <r>
    <n v="6001399332"/>
    <x v="1"/>
    <x v="0"/>
    <x v="4"/>
    <x v="2"/>
    <s v="Spotless - Melb Street sweeping"/>
    <s v="FY 2 41-45 HOBSONS RD KENSINGTON KENSINGTON VIC 3031"/>
    <s v="SPOTLESS FACILITY SERVICES PTY LTD (ABN: 83 072 293 880)"/>
    <s v="Spotless"/>
    <s v="kWh"/>
    <n v="58945"/>
    <s v="AGL"/>
    <s v="Origin"/>
    <d v="2026-07-01T00:00:00"/>
    <d v="2028-06-30T00:00:00"/>
    <s v="24 months"/>
    <n v="18900"/>
    <n v="14300"/>
    <n v="14300"/>
    <s v="Ready"/>
    <m/>
  </r>
  <r>
    <n v="6103034554"/>
    <x v="1"/>
    <x v="0"/>
    <x v="4"/>
    <x v="2"/>
    <s v="Corporate  - 567 Collins St"/>
    <s v="567 COLLINS STREET MELBOURNE VIC 3000"/>
    <s v="DOWNER EDI SERVICES PTY LTD (ABN: 71 137 732 042)"/>
    <s v="CORPORATE"/>
    <s v="kWh"/>
    <n v="30794"/>
    <s v="AGL"/>
    <s v="Origin"/>
    <d v="2026-07-01T00:00:00"/>
    <d v="2028-06-30T00:00:00"/>
    <s v="24 months"/>
    <n v="8700"/>
    <n v="6800"/>
    <n v="6800"/>
    <s v="Ready"/>
    <m/>
  </r>
  <r>
    <n v="6103034564"/>
    <x v="1"/>
    <x v="0"/>
    <x v="4"/>
    <x v="2"/>
    <s v="Corporate - 567 Collins St LEV 10"/>
    <s v="567 COLLINS STREET MELBOURNE VIC 3000"/>
    <s v="DOWNER EDI SERVICES PTY LTD (ABN: 71 137 732 042)"/>
    <s v="CORPORATE"/>
    <s v="kWh"/>
    <n v="37745"/>
    <s v="AGL"/>
    <s v="Origin"/>
    <d v="2026-07-01T00:00:00"/>
    <d v="2028-06-30T00:00:00"/>
    <s v="24 months"/>
    <n v="10500"/>
    <n v="8100"/>
    <n v="8100"/>
    <s v="Ready"/>
    <m/>
  </r>
  <r>
    <n v="6103034565"/>
    <x v="1"/>
    <x v="0"/>
    <x v="4"/>
    <x v="2"/>
    <s v="Corporate - 567 Collins St LEV 10"/>
    <s v="567 COLLINS STREET MELBOURNE VIC 3000"/>
    <s v="DOWNER EDI SERVICES PTY LTD (ABN: 71 137 732 042)"/>
    <s v="CORPORATE"/>
    <s v="kWh"/>
    <n v="56975"/>
    <s v="AGL"/>
    <s v="Origin"/>
    <d v="2026-07-01T00:00:00"/>
    <d v="2028-06-30T00:00:00"/>
    <s v="24 months"/>
    <n v="15600"/>
    <n v="12000"/>
    <n v="12000"/>
    <s v="Ready"/>
    <m/>
  </r>
  <r>
    <n v="6103066712"/>
    <x v="1"/>
    <x v="0"/>
    <x v="4"/>
    <x v="2"/>
    <s v="Spotless Abbotsford site Rehab"/>
    <s v="12 - 18 VICTORIA CRES ABBOTSFORD VIC 3067"/>
    <s v="SPOTLESS FACILITY SERVICES PTY LTD (ABN: 83 072 293 880)"/>
    <s v="Spotless"/>
    <s v="kWh"/>
    <n v="376"/>
    <s v="AGL"/>
    <s v="Origin"/>
    <d v="2026-07-01T00:00:00"/>
    <d v="2028-06-30T00:00:00"/>
    <s v="24 months"/>
    <n v="700"/>
    <n v="700"/>
    <n v="700"/>
    <s v="Ready"/>
    <m/>
  </r>
  <r>
    <n v="6203155353"/>
    <x v="1"/>
    <x v="0"/>
    <x v="4"/>
    <x v="2"/>
    <s v="Utilities - Geelong"/>
    <s v="31 Leather Street Geelong East VIC 3219"/>
    <s v="DOWNER UTILITIES AUSTRALIA PTY LTD (ABN: 65 075 194 857)"/>
    <s v="Utilities"/>
    <s v="kWh"/>
    <n v="27942"/>
    <s v="AGL"/>
    <s v="Origin"/>
    <d v="2026-07-01T00:00:00"/>
    <d v="2028-06-30T00:00:00"/>
    <s v="24 months"/>
    <n v="8800"/>
    <n v="6800"/>
    <n v="6800"/>
    <s v="Ready"/>
    <m/>
  </r>
  <r>
    <n v="6203245874"/>
    <x v="1"/>
    <x v="0"/>
    <x v="4"/>
    <x v="2"/>
    <s v="Utilities - Wendouree"/>
    <s v="352 DOWLING STREET WENDOUREE VIC 3355"/>
    <s v="DOWNER UTILITIES AUSTRALIA PTY LTD (ABN: 65 075 194 857)"/>
    <s v="Utilities"/>
    <s v="kWh"/>
    <n v="11909"/>
    <s v="AGL"/>
    <s v="Origin"/>
    <d v="2026-07-01T00:00:00"/>
    <d v="2028-06-30T00:00:00"/>
    <s v="24 months"/>
    <n v="4100"/>
    <n v="3200"/>
    <n v="3200"/>
    <s v="Ready"/>
    <m/>
  </r>
  <r>
    <n v="6203409239"/>
    <x v="1"/>
    <x v="0"/>
    <x v="4"/>
    <x v="2"/>
    <s v="Roads Shepparton"/>
    <s v="12-28 Apollo Dve Shepparton VIC 3630"/>
    <s v="DOWNER EDI WORKS PTY LTD (ABN: 66 008 709 608)"/>
    <s v="Roads"/>
    <s v="kWh"/>
    <n v="3824"/>
    <s v="AGL"/>
    <s v="Origin"/>
    <d v="2026-07-01T00:00:00"/>
    <d v="2028-06-30T00:00:00"/>
    <s v="24 months"/>
    <n v="1800"/>
    <n v="1500"/>
    <n v="1500"/>
    <s v="Ready"/>
    <m/>
  </r>
  <r>
    <n v="6203409240"/>
    <x v="1"/>
    <x v="0"/>
    <x v="4"/>
    <x v="2"/>
    <s v="Roads Shepparton 3"/>
    <s v="12-28 Apollo Dve Shepparton VIC 3630"/>
    <s v="DOWNER EDI WORKS PTY LTD (ABN: 66 008 709 608)"/>
    <s v="Roads"/>
    <s v="kWh"/>
    <n v="21695"/>
    <s v="AGL"/>
    <s v="Origin"/>
    <d v="2026-07-01T00:00:00"/>
    <d v="2028-06-30T00:00:00"/>
    <s v="24 months"/>
    <n v="7000"/>
    <n v="5400"/>
    <n v="5400"/>
    <s v="Ready"/>
    <m/>
  </r>
  <r>
    <n v="6203424291"/>
    <x v="1"/>
    <x v="0"/>
    <x v="4"/>
    <x v="2"/>
    <s v="Utilities - Bendigo"/>
    <s v="116-118 HOLMES ROAD NORTH BENDIGO VIC 3550"/>
    <s v="DOWNER UTILITIES AUSTRALIA PTY LTD (ABN: 65 075 194 857)"/>
    <s v="Utilities"/>
    <s v="kWh"/>
    <n v="5946"/>
    <s v="AGL"/>
    <s v="Origin"/>
    <d v="2026-07-01T00:00:00"/>
    <d v="2028-06-30T00:00:00"/>
    <s v="24 months"/>
    <n v="2400"/>
    <n v="1900"/>
    <n v="1900"/>
    <s v="Ready"/>
    <m/>
  </r>
  <r>
    <n v="6203424292"/>
    <x v="1"/>
    <x v="0"/>
    <x v="4"/>
    <x v="2"/>
    <s v="Utilities - Bendigo"/>
    <s v="116-118 HOLMES ROAD NORTH BENDIGO VIC 3550"/>
    <s v="DOWNER UTILITIES AUSTRALIA PTY LTD (ABN: 65 075 194 857)"/>
    <s v="Utilities"/>
    <s v="kWh"/>
    <n v="8591"/>
    <s v="AGL"/>
    <s v="Origin"/>
    <d v="2026-07-01T00:00:00"/>
    <d v="2028-06-30T00:00:00"/>
    <s v="24 months"/>
    <n v="3200"/>
    <n v="2500"/>
    <n v="2500"/>
    <s v="Ready"/>
    <m/>
  </r>
  <r>
    <n v="6203606598"/>
    <x v="1"/>
    <x v="0"/>
    <x v="4"/>
    <x v="2"/>
    <s v="Shepparton DM Roads Workshop"/>
    <s v="12-28 Apollo Drive Shepparton VIC 3630"/>
    <s v="DOWNER EDI WORKS PTY LTD (ABN: 66 008 709 608)"/>
    <s v="Roads"/>
    <s v="kWh"/>
    <n v="33744"/>
    <s v="AGL"/>
    <s v="Origin"/>
    <d v="2026-07-01T00:00:00"/>
    <d v="2028-06-30T00:00:00"/>
    <s v="24 months"/>
    <n v="11300"/>
    <n v="8700"/>
    <n v="8700"/>
    <s v="Ready"/>
    <m/>
  </r>
  <r>
    <n v="6203613570"/>
    <x v="1"/>
    <x v="0"/>
    <x v="4"/>
    <x v="2"/>
    <s v="Ausnet Gas Portland"/>
    <s v="102 Browning St Portland VIC 3305"/>
    <s v="DOWNER UTILITIES AUSTRALIA PTY LTD (ABN: 65 075 194 857)"/>
    <s v="Utilities"/>
    <s v="kWh"/>
    <n v="2010"/>
    <s v="Origin"/>
    <s v="Origin"/>
    <d v="2026-07-01T00:00:00"/>
    <d v="2028-06-30T00:00:00"/>
    <s v="24 months"/>
    <n v="1300"/>
    <n v="1100"/>
    <n v="1100"/>
    <s v="Ready"/>
    <m/>
  </r>
  <r>
    <n v="6203616394"/>
    <x v="1"/>
    <x v="0"/>
    <x v="4"/>
    <x v="2"/>
    <s v="Utilities - Warrambool"/>
    <s v="13 DICKSON STREET WARRNAMBOOL VIC 3280"/>
    <s v="DOWNER UTILITIES AUSTRALIA PTY LTD (ABN: 65 075 194 857)"/>
    <s v="Utilities"/>
    <s v="kWh"/>
    <n v="4760"/>
    <s v="AGL"/>
    <s v="Origin"/>
    <d v="2026-07-01T00:00:00"/>
    <d v="2028-06-30T00:00:00"/>
    <s v="24 months"/>
    <n v="2100"/>
    <n v="1700"/>
    <n v="1700"/>
    <s v="Ready"/>
    <m/>
  </r>
  <r>
    <n v="6203723433"/>
    <x v="1"/>
    <x v="0"/>
    <x v="4"/>
    <x v="2"/>
    <s v="Utilities - Colac"/>
    <s v="49 ROSSMOYNE ROAD COLAC WEST VIC 3250"/>
    <s v="DOWNER UTILITIES AUSTRALIA PTY LTD (ABN: 65 075 194 857)"/>
    <s v="Utilities"/>
    <s v="kWh"/>
    <n v="1966"/>
    <s v="AGL"/>
    <s v="Origin"/>
    <d v="2026-07-01T00:00:00"/>
    <d v="2028-06-30T00:00:00"/>
    <s v="24 months"/>
    <n v="1300"/>
    <n v="1100"/>
    <n v="1100"/>
    <s v="Ready"/>
    <m/>
  </r>
  <r>
    <n v="6203834591"/>
    <x v="1"/>
    <x v="0"/>
    <x v="4"/>
    <x v="2"/>
    <s v="DM Roads -Melton"/>
    <s v="90 High Street Melton VIC 3337"/>
    <s v="DOWNER EDI WORKS PTY LTD (ABN: 66 008 709 608)"/>
    <s v="DM Roads"/>
    <s v="kWh"/>
    <n v="14148"/>
    <s v="AGL"/>
    <s v="Origin"/>
    <d v="2026-07-01T00:00:00"/>
    <d v="2028-06-30T00:00:00"/>
    <s v="24 months"/>
    <n v="5100"/>
    <n v="3900"/>
    <n v="3900"/>
    <s v="Ready"/>
    <m/>
  </r>
  <r>
    <n v="6203842158"/>
    <x v="1"/>
    <x v="0"/>
    <x v="4"/>
    <x v="2"/>
    <s v="Utilities - Horsham"/>
    <s v="10 BALLINGER STREET HORSHAM VIC 3400"/>
    <s v="DOWNER UTILITIES AUSTRALIA PTY LTD (ABN: 65 075 194 857)"/>
    <s v="Utilities"/>
    <s v="kWh"/>
    <n v="6286"/>
    <s v="AGL"/>
    <s v="Origin"/>
    <d v="2026-07-01T00:00:00"/>
    <d v="2028-06-30T00:00:00"/>
    <s v="24 months"/>
    <n v="2700"/>
    <n v="2100"/>
    <n v="2100"/>
    <s v="Ready"/>
    <m/>
  </r>
  <r>
    <n v="6305487004"/>
    <x v="1"/>
    <x v="0"/>
    <x v="4"/>
    <x v="2"/>
    <s v="Property Lease - Broadford"/>
    <s v="10 CAMERON PDE BROADFORD VIC"/>
    <s v="DOWNER EDI WORKS PTY LTD (ABN: 66 008 709 608)"/>
    <s v="DM Roads"/>
    <s v="kWh"/>
    <n v="11315"/>
    <s v="AGL"/>
    <s v="Origin"/>
    <d v="2026-07-01T00:00:00"/>
    <d v="2028-06-30T00:00:00"/>
    <s v="24 months"/>
    <n v="4600"/>
    <n v="3300"/>
    <n v="3300"/>
    <s v="Ready"/>
    <m/>
  </r>
  <r>
    <n v="6305812613"/>
    <x v="1"/>
    <x v="0"/>
    <x v="4"/>
    <x v="2"/>
    <s v="Roads - Wangaratta"/>
    <s v="51 BUCKLER ROAD NORTH WANGARATTA VIC 3677"/>
    <s v="DOWNER EDI WORKS PTY LTD (ABN: 66 008 709 608)"/>
    <s v="ROAD SERVICES"/>
    <s v="kWh"/>
    <n v="33004"/>
    <s v="AGL"/>
    <s v="Origin"/>
    <d v="2026-07-01T00:00:00"/>
    <d v="2028-06-30T00:00:00"/>
    <s v="24 months"/>
    <n v="11400"/>
    <n v="8700"/>
    <n v="8700"/>
    <s v="Ready"/>
    <m/>
  </r>
  <r>
    <n v="6305983844"/>
    <x v="1"/>
    <x v="0"/>
    <x v="4"/>
    <x v="2"/>
    <s v="Fowlers Asphalt - Bairnsdale"/>
    <s v="15 Rovan Pl Bairnsdale VIC 3875"/>
    <s v="FOWLERS ASPHALTING PTY. LIMITED (ABN: 86 007 406 386)"/>
    <s v="ROAD SERVICES"/>
    <s v="kWh"/>
    <n v="18825"/>
    <s v="AGL"/>
    <s v="Origin"/>
    <d v="2026-07-01T00:00:00"/>
    <d v="2028-06-30T00:00:00"/>
    <s v="24 months"/>
    <n v="7200"/>
    <n v="5200"/>
    <n v="5200"/>
    <s v="Ready"/>
    <m/>
  </r>
  <r>
    <n v="6407387461"/>
    <x v="1"/>
    <x v="0"/>
    <x v="4"/>
    <x v="2"/>
    <s v="Spotless UAM - Manufacturing Plant"/>
    <s v="2 MURRA STREET BENTLEIGH EAST VIC 3165"/>
    <s v="Utilities Asset Management Pty Ltd (ABN: TBC)"/>
    <s v="Spotless"/>
    <s v="kWh"/>
    <n v="25187"/>
    <s v="AGL"/>
    <s v="Origin"/>
    <d v="2026-07-01T00:00:00"/>
    <d v="2028-06-30T00:00:00"/>
    <s v="24 months"/>
    <n v="7800"/>
    <n v="5900"/>
    <n v="5900"/>
    <s v="Ready"/>
    <m/>
  </r>
  <r>
    <n v="6407695648"/>
    <x v="1"/>
    <x v="0"/>
    <x v="4"/>
    <x v="2"/>
    <s v="Spotless - Skilltech"/>
    <s v="Factory U2/ 200 WELLINGTON ROAD MULGRAVE VIC 3170"/>
    <s v="SKILLTECH CONSULTING SERVICES PTY. LTD. (ABN: 14 007 162 647)"/>
    <s v="Spotless"/>
    <s v="kWh"/>
    <n v="13969"/>
    <s v="AGL"/>
    <s v="Origin"/>
    <d v="2026-07-01T00:00:00"/>
    <d v="2028-06-30T00:00:00"/>
    <s v="24 months"/>
    <n v="4500"/>
    <n v="3400"/>
    <n v="3400"/>
    <s v="Ready"/>
    <m/>
  </r>
  <r>
    <n v="6408293833"/>
    <x v="1"/>
    <x v="0"/>
    <x v="4"/>
    <x v="2"/>
    <s v="Downer Utilites Substations"/>
    <s v="71 NAXOS WAY KEYSBOROUGH VIC"/>
    <s v="DOWNER UTILITIES AUSTRALIA PTY LTD (ABN: 65 075 194 857)"/>
    <s v="241908"/>
    <s v="kWh"/>
    <n v="13140"/>
    <s v="AGL"/>
    <s v="Origin"/>
    <d v="2026-07-01T00:00:00"/>
    <d v="2028-06-30T00:00:00"/>
    <s v="24 months"/>
    <n v="4200"/>
    <n v="3300"/>
    <n v="3300"/>
    <s v="Ready"/>
    <m/>
  </r>
  <r>
    <n v="5240431343"/>
    <x v="0"/>
    <x v="0"/>
    <x v="1"/>
    <x v="2"/>
    <s v="NSW Schools 2 -Kelso"/>
    <s v="88 BOYD ST KELSO NSW"/>
    <s v="SPOTLESS FACILITY SERVICES PTY LTD (ABN: 83 072 293 880)"/>
    <s v="Spotless"/>
    <s v="MJ"/>
    <n v="1000"/>
    <s v="AGL"/>
    <s v="Origin"/>
    <d v="2026-07-01T00:00:00"/>
    <d v="2028-06-30T00:00:00"/>
    <s v="24 months"/>
    <n v="600"/>
    <n v="500"/>
    <n v="500"/>
    <s v="Ready"/>
    <m/>
  </r>
  <r>
    <n v="5243917108"/>
    <x v="0"/>
    <x v="0"/>
    <x v="1"/>
    <x v="2"/>
    <s v="NSW Schools 2 - Kariong"/>
    <s v="10 FESTIVAL DR KARIONG NSW"/>
    <s v="SPOTLESS FACILITY SERVICES PTY LTD (ABN: 83 072 293 880)"/>
    <s v="Spotless"/>
    <s v="MJ"/>
    <n v="1000"/>
    <s v="AGL"/>
    <s v="Origin"/>
    <d v="2026-07-01T00:00:00"/>
    <d v="2028-06-30T00:00:00"/>
    <s v="24 months"/>
    <n v="600"/>
    <n v="500"/>
    <n v="500"/>
    <s v="Ready"/>
    <m/>
  </r>
  <r>
    <n v="5246209066"/>
    <x v="0"/>
    <x v="0"/>
    <x v="1"/>
    <x v="2"/>
    <s v="Spotless NSW Schools 2 - Elderslie PS"/>
    <s v="170 LODGES ST ELDERSLIE NSW"/>
    <s v="SPOTLESS FACILITY SERVICES PTY LTD (ABN: 83 072 293 880)"/>
    <s v="Spotless"/>
    <s v="MJ"/>
    <n v="1000"/>
    <s v="AGL"/>
    <s v="Origin"/>
    <d v="2026-07-01T00:00:00"/>
    <d v="2028-06-30T00:00:00"/>
    <s v="24 months"/>
    <n v="600"/>
    <n v="500"/>
    <n v="500"/>
    <s v="Ready"/>
    <m/>
  </r>
  <r>
    <n v="5247058378"/>
    <x v="0"/>
    <x v="0"/>
    <x v="1"/>
    <x v="2"/>
    <s v="NSW Schools 2 -Ashtonfield"/>
    <s v="1 NORFOLK ST ASHTONFIELD NSW"/>
    <s v="SPOTLESS FACILITY SERVICES PTY LTD (ABN: 83 072 293 880)"/>
    <s v="Spotless"/>
    <s v="MJ"/>
    <n v="1000"/>
    <s v="AGL"/>
    <s v="Origin"/>
    <d v="2026-07-01T00:00:00"/>
    <d v="2028-06-30T00:00:00"/>
    <s v="24 months"/>
    <n v="600"/>
    <n v="500"/>
    <n v="500"/>
    <s v="Ready"/>
    <m/>
  </r>
  <r>
    <n v="5247063334"/>
    <x v="0"/>
    <x v="0"/>
    <x v="1"/>
    <x v="2"/>
    <s v="Spotless NSW Schools 2 - Halinda HS"/>
    <s v="LUXFORD RD WHALAN NSW"/>
    <s v="SPOTLESS FACILITY SERVICES PTY LTD (ABN: 83 072 293 880)"/>
    <s v="Spotless"/>
    <s v="MJ"/>
    <n v="1000"/>
    <s v="AGL"/>
    <s v="Origin"/>
    <d v="2026-07-01T00:00:00"/>
    <d v="2028-06-30T00:00:00"/>
    <s v="24 months"/>
    <n v="600"/>
    <n v="500"/>
    <n v="500"/>
    <s v="Ready"/>
    <m/>
  </r>
  <r>
    <n v="5247072812"/>
    <x v="0"/>
    <x v="0"/>
    <x v="1"/>
    <x v="2"/>
    <s v="NSW Schools 2 - Ropes Crossing"/>
    <s v="LOT 17 PULLEY DR ROPES CROSSING NSW"/>
    <s v="SPOTLESS FACILITY SERVICES PTY LTD (ABN: 83 072 293 880)"/>
    <s v="Spotless"/>
    <s v="MJ"/>
    <n v="1000"/>
    <s v="AGL"/>
    <s v="Origin"/>
    <d v="2026-07-01T00:00:00"/>
    <d v="2028-06-30T00:00:00"/>
    <s v="24 months"/>
    <n v="600"/>
    <n v="500"/>
    <n v="500"/>
    <s v="Ready"/>
    <m/>
  </r>
  <r>
    <n v="5247072833"/>
    <x v="0"/>
    <x v="0"/>
    <x v="1"/>
    <x v="2"/>
    <s v="NSW Schools John Palmer PS"/>
    <s v="85 THE PONDS BVD THE PONDS NSW"/>
    <s v="SPOTLESS FACILITY SERVICES PTY LTD (ABN: 83 072 293 880)"/>
    <s v="Spotless"/>
    <s v="MJ"/>
    <n v="1000"/>
    <s v="AGL"/>
    <s v="Origin"/>
    <d v="2026-07-01T00:00:00"/>
    <d v="2028-06-30T00:00:00"/>
    <s v="24 months"/>
    <n v="600"/>
    <n v="500"/>
    <n v="500"/>
    <s v="Ready"/>
    <m/>
  </r>
  <r>
    <n v="5247074005"/>
    <x v="0"/>
    <x v="0"/>
    <x v="1"/>
    <x v="2"/>
    <s v="NSW Schools 2  - Tullimbar"/>
    <s v="EDEN PL TULLIMBAR NSW"/>
    <s v="SPOTLESS FACILITY SERVICES PTY LTD (ABN: 83 072 293 880)"/>
    <s v="Spotless"/>
    <s v="MJ"/>
    <n v="1000"/>
    <s v="AGL"/>
    <s v="Origin"/>
    <d v="2026-07-01T00:00:00"/>
    <d v="2028-06-30T00:00:00"/>
    <s v="24 months"/>
    <n v="600"/>
    <n v="500"/>
    <n v="500"/>
    <s v="Ready"/>
    <m/>
  </r>
  <r>
    <n v="5247082981"/>
    <x v="0"/>
    <x v="0"/>
    <x v="1"/>
    <x v="2"/>
    <s v="NSW Schools 2 - Warnervale"/>
    <s v="179-201 WARNERVALE RD HAMLYN TERRACE NSW"/>
    <s v="SPOTLESS FACILITY SERVICES PTY LTD (ABN: 83 072 293 880)"/>
    <s v="Spotless"/>
    <s v="MJ"/>
    <n v="1000"/>
    <s v="AGL"/>
    <s v="Origin"/>
    <d v="2026-07-01T00:00:00"/>
    <d v="2028-06-30T00:00:00"/>
    <s v="24 months"/>
    <n v="600"/>
    <n v="500"/>
    <n v="500"/>
    <s v="Ready"/>
    <m/>
  </r>
  <r>
    <n v="5247083098"/>
    <x v="0"/>
    <x v="0"/>
    <x v="1"/>
    <x v="2"/>
    <s v="NSW Schools 2  -Rouse Hill"/>
    <s v="240 WITHERS RD KELLYVILLE NSW"/>
    <s v="SPOTLESS FACILITY SERVICES PTY LTD (ABN: 83 072 293 880)"/>
    <s v="Spotless"/>
    <s v="MJ"/>
    <n v="1000"/>
    <s v="AGL"/>
    <s v="Origin"/>
    <d v="2026-07-01T00:00:00"/>
    <d v="2028-06-30T00:00:00"/>
    <s v="24 months"/>
    <n v="600"/>
    <n v="500"/>
    <n v="500"/>
    <s v="Ready"/>
    <m/>
  </r>
  <r>
    <n v="5270000035"/>
    <x v="0"/>
    <x v="0"/>
    <x v="1"/>
    <x v="2"/>
    <s v="Roads - Tamworth"/>
    <s v="18 ARMSTRONG STREET WESTDALE NSW 2340"/>
    <s v="DOWNER EDI WORKS PTY LTD (ABN: 66 008 709 608)"/>
    <s v="ROAD SERVICES"/>
    <s v="MJ"/>
    <n v="0"/>
    <s v="Origin"/>
    <s v="Origin"/>
    <d v="2026-07-01T00:00:00"/>
    <d v="2028-06-30T00:00:00"/>
    <s v="24 months"/>
    <n v="500"/>
    <n v="500"/>
    <n v="500"/>
    <s v="Ready"/>
    <m/>
  </r>
  <r>
    <n v="5410075384"/>
    <x v="0"/>
    <x v="0"/>
    <x v="6"/>
    <x v="2"/>
    <s v="Mineral Tech - Carrara"/>
    <s v="11 ELYSIUM ROAD CARRARA QLD 4211"/>
    <s v="MINERAL TECHNOLOGIES PTY LTD (ABN: 52 105 309 260)"/>
    <s v="Mineral Tech"/>
    <s v="MJ"/>
    <n v="27439"/>
    <s v="Origin"/>
    <s v="Origin"/>
    <d v="2026-07-01T00:00:00"/>
    <d v="2028-06-30T00:00:00"/>
    <s v="24 months"/>
    <n v="1700"/>
    <n v="1700"/>
    <n v="1700"/>
    <s v="Ready"/>
    <m/>
  </r>
  <r>
    <n v="5410078053"/>
    <x v="0"/>
    <x v="0"/>
    <x v="6"/>
    <x v="2"/>
    <s v="SPOTLESS SOUTHBANK TAFE"/>
    <s v="16 GLEBELG STREET SOUTH BRISBANE QLD 4101"/>
    <s v="SPOTLESS FACILITY SERVICES PTY LTD (ABN: 83 072 293 880)"/>
    <s v="Spotless"/>
    <s v="MJ"/>
    <n v="153318"/>
    <s v="Origin"/>
    <s v="Origin"/>
    <d v="2026-07-01T00:00:00"/>
    <d v="2028-06-30T00:00:00"/>
    <s v="24 months"/>
    <n v="6800"/>
    <n v="7000"/>
    <n v="7000"/>
    <s v="Ready"/>
    <m/>
  </r>
  <r>
    <n v="5410086500"/>
    <x v="0"/>
    <x v="0"/>
    <x v="6"/>
    <x v="2"/>
    <s v="SPOTLESS SOUTHBANK TAFE"/>
    <s v="BUILDING D 0 COLCHESTER STREET SOUTH BRISBANE QLD 4101"/>
    <s v="SPOTLESS FACILITY SERVICES PTY LTD (ABN: 83 072 293 880)"/>
    <s v="Spotless"/>
    <s v="MJ"/>
    <n v="504905"/>
    <s v="Origin"/>
    <s v="Origin"/>
    <d v="2026-07-01T00:00:00"/>
    <d v="2028-06-30T00:00:00"/>
    <s v="24 months"/>
    <n v="18700"/>
    <n v="19700"/>
    <n v="19700"/>
    <s v="Ready"/>
    <m/>
  </r>
  <r>
    <n v="5420000032"/>
    <x v="0"/>
    <x v="0"/>
    <x v="6"/>
    <x v="2"/>
    <s v="Rail - Maryborough"/>
    <s v="23 Bowen Street Maryborough QLD 4650"/>
    <s v="DOWNER EDI RAIL PTY LTD (ABN: 92 000 002 031)"/>
    <s v="ROLLING STOCK"/>
    <s v="MJ"/>
    <n v="888078"/>
    <s v="Origin"/>
    <s v="Origin"/>
    <d v="2026-07-01T00:00:00"/>
    <d v="2028-06-30T00:00:00"/>
    <s v="24 months"/>
    <n v="40500"/>
    <n v="41300"/>
    <n v="41300"/>
    <s v="Ready"/>
    <m/>
  </r>
  <r>
    <n v="5510484999"/>
    <x v="0"/>
    <x v="0"/>
    <x v="2"/>
    <x v="2"/>
    <s v="Roads - Largs Bay"/>
    <s v="188 Jetty Road Largs Bay SA 5016"/>
    <s v="DOWNER EDI WORKS PTY LTD (ABN: 66 008 709 608)"/>
    <s v="ROAD SERVICES"/>
    <s v="MJ"/>
    <n v="766606"/>
    <s v="EnergyAustralia"/>
    <s v="Origin"/>
    <d v="2026-07-01T00:00:00"/>
    <d v="2028-06-30T00:00:00"/>
    <s v="24 months"/>
    <n v="22800"/>
    <n v="26500"/>
    <n v="26500"/>
    <s v="Ready"/>
    <m/>
  </r>
  <r>
    <n v="5321918308"/>
    <x v="0"/>
    <x v="0"/>
    <x v="4"/>
    <x v="2"/>
    <s v="Fowlers Asphalting Trafalgar (Contour Road)"/>
    <s v="100 Contour Road Trafalgar VIC 3824"/>
    <s v="FOWLERS ASPHALTING PTY. LIMITED (ABN: 86 007 406 386)"/>
    <s v="ROAD SERVICES"/>
    <s v="MJ"/>
    <n v="0"/>
    <s v="Origin"/>
    <s v="Origin"/>
    <d v="2026-07-01T00:00:00"/>
    <d v="2028-06-30T00:00:00"/>
    <s v="24 months"/>
    <n v="500"/>
    <n v="500"/>
    <n v="500"/>
    <s v="Ready"/>
    <m/>
  </r>
  <r>
    <n v="7001184714"/>
    <x v="1"/>
    <x v="0"/>
    <x v="0"/>
    <x v="1"/>
    <s v="Roads - Hume"/>
    <s v="36 Sawmill Circuit"/>
    <s v="DOWNER EDI SERVICES PTY LTD (ABN: 71 137 732 042)"/>
    <s v="T&amp;I"/>
    <s v="kWh"/>
    <n v="928827.6759999999"/>
    <s v="Origin"/>
    <s v="Origin"/>
    <d v="2026-07-01T00:00:00"/>
    <d v="2028-06-30T00:00:00"/>
    <s v="24 months"/>
    <n v="250500"/>
    <n v="194100"/>
    <n v="192500"/>
    <s v="Ready"/>
    <m/>
  </r>
  <r>
    <n v="4001127731"/>
    <x v="1"/>
    <x v="0"/>
    <x v="1"/>
    <x v="1"/>
    <s v="Roads - Jerramadra (Mogo)"/>
    <s v="55 Princes Highway"/>
    <s v="DOWNER EDI WORKS PTY LTD (ABN: 66 008 709 608)"/>
    <s v="T&amp;I"/>
    <s v="kWh"/>
    <n v="44278.31"/>
    <s v="Origin"/>
    <s v="Origin"/>
    <d v="2026-07-01T00:00:00"/>
    <d v="2028-06-30T00:00:00"/>
    <s v="24 months"/>
    <n v="23700"/>
    <n v="22100"/>
    <n v="22100"/>
    <s v="Ready"/>
    <m/>
  </r>
  <r>
    <n v="4001158058"/>
    <x v="1"/>
    <x v="0"/>
    <x v="1"/>
    <x v="1"/>
    <s v="Roads - Tamworth"/>
    <s v="15 Armstrong Street"/>
    <s v="DOWNER EDI SERVICES PTY LTD (ABN: 71 137 732 042)"/>
    <s v="T&amp;I"/>
    <s v="kWh"/>
    <n v="0"/>
    <s v="Origin"/>
    <s v="Origin"/>
    <d v="2026-07-01T00:00:00"/>
    <d v="2028-06-30T00:00:00"/>
    <s v="24 months"/>
    <s v=""/>
    <n v="0"/>
    <n v="0"/>
    <s v="Review required"/>
    <s v="No consumption reported"/>
  </r>
  <r>
    <n v="4001198085"/>
    <x v="1"/>
    <x v="0"/>
    <x v="1"/>
    <x v="1"/>
    <s v="NSW Schools 2 - Kelso HS"/>
    <s v="88 Boyd St"/>
    <s v="SPOTLESS FACILITY SERVICES PTY LTD (ABN: 83 072 293 880)"/>
    <s v="SICS"/>
    <s v="kWh"/>
    <n v="399092.86"/>
    <s v="Origin"/>
    <s v="Origin"/>
    <d v="2026-07-01T00:00:00"/>
    <d v="2028-06-30T00:00:00"/>
    <s v="24 months"/>
    <n v="137500"/>
    <n v="119700"/>
    <n v="118900"/>
    <s v="Ready"/>
    <m/>
  </r>
  <r>
    <n v="4001200751"/>
    <x v="1"/>
    <x v="0"/>
    <x v="1"/>
    <x v="1"/>
    <s v="Defence - HQJOC"/>
    <s v="5835 Kings Hwy"/>
    <s v="SPOTLESS FACILITY SERVICES PTY LTD (ABN: 83 072 293 880)"/>
    <s v="SICS"/>
    <s v="kWh"/>
    <n v="10268531.8"/>
    <s v="Origin"/>
    <s v="Origin"/>
    <d v="2026-07-01T00:00:00"/>
    <d v="2028-06-30T00:00:00"/>
    <s v="24 months"/>
    <n v="2265000"/>
    <n v="1916900"/>
    <n v="1906600"/>
    <s v="Ready"/>
    <m/>
  </r>
  <r>
    <n v="4001287259"/>
    <x v="1"/>
    <x v="0"/>
    <x v="1"/>
    <x v="1"/>
    <s v="RPQ SPRAYSEAL"/>
    <s v="Lot 12 122 Gwydir St"/>
    <s v="RPQ PTY LTD (ABN: 53 010 760 826)"/>
    <s v="T&amp;I"/>
    <s v="kWh"/>
    <n v="171810.509"/>
    <s v="Origin"/>
    <s v="Origin"/>
    <d v="2026-07-01T00:00:00"/>
    <d v="2028-06-30T00:00:00"/>
    <s v="24 months"/>
    <n v="47500"/>
    <n v="41600"/>
    <n v="41500"/>
    <s v="Ready"/>
    <m/>
  </r>
  <r>
    <n v="4103689689"/>
    <x v="1"/>
    <x v="0"/>
    <x v="1"/>
    <x v="1"/>
    <s v="NSW Schools 2-  Ashtonfield"/>
    <s v="4642 Norfolk Street"/>
    <s v="SPOTLESS FACILITY SERVICES PTY LTD (ABN: 83 072 293 880)"/>
    <s v="SICS"/>
    <s v="kWh"/>
    <n v="143552.12"/>
    <s v="Origin"/>
    <s v="Origin"/>
    <d v="2026-07-01T00:00:00"/>
    <d v="2028-06-30T00:00:00"/>
    <s v="24 months"/>
    <n v="42600"/>
    <n v="36800"/>
    <n v="36600"/>
    <s v="Ready"/>
    <m/>
  </r>
  <r>
    <n v="4103705443"/>
    <x v="1"/>
    <x v="0"/>
    <x v="1"/>
    <x v="1"/>
    <s v="NSW Schools 2- Warnervale PS"/>
    <s v="Warnervale Rd"/>
    <s v="SPOTLESS FACILITY SERVICES PTY LTD (ABN: 83 072 293 880)"/>
    <s v="SICS"/>
    <s v="kWh"/>
    <n v="106397.96"/>
    <s v="Origin"/>
    <s v="Origin"/>
    <d v="2026-07-01T00:00:00"/>
    <d v="2028-06-30T00:00:00"/>
    <s v="24 months"/>
    <n v="31400"/>
    <n v="26900"/>
    <n v="26700"/>
    <s v="Ready"/>
    <m/>
  </r>
  <r>
    <n v="4103711576"/>
    <x v="1"/>
    <x v="0"/>
    <x v="1"/>
    <x v="1"/>
    <s v="Rail - Auburn"/>
    <s v="Manchester Road"/>
    <s v="DOWNER EDI SERVICES PTY LTD (ABN: 71 137 732 042)"/>
    <s v="RAIL"/>
    <s v="kWh"/>
    <n v="2405011.6"/>
    <s v="Origin"/>
    <s v="Origin"/>
    <d v="2026-07-01T00:00:00"/>
    <d v="2028-06-30T00:00:00"/>
    <s v="24 months"/>
    <n v="493400"/>
    <n v="409100"/>
    <n v="406500"/>
    <s v="Ready"/>
    <m/>
  </r>
  <r>
    <n v="4103713125"/>
    <x v="1"/>
    <x v="0"/>
    <x v="1"/>
    <x v="1"/>
    <s v="Rail - Auburn"/>
    <s v="Manchester Road"/>
    <s v="DOWNER EDI SERVICES PTY LTD (ABN: 71 137 732 042)"/>
    <s v="RAIL"/>
    <s v="kWh"/>
    <n v="1251891.6"/>
    <s v="Origin"/>
    <s v="Origin"/>
    <d v="2026-07-01T00:00:00"/>
    <d v="2028-06-30T00:00:00"/>
    <s v="24 months"/>
    <n v="301500"/>
    <n v="257800"/>
    <n v="256500"/>
    <s v="Ready"/>
    <m/>
  </r>
  <r>
    <n v="4103737079"/>
    <x v="1"/>
    <x v="0"/>
    <x v="1"/>
    <x v="1"/>
    <s v="Corporate Office - North Ryde"/>
    <s v="Floor 2 - Trinity Bus Campus Bldg A, 39 Delphi Road"/>
    <s v="DOWNER EDI SERVICES PTY LTD (ABN: 71 137 732 042)"/>
    <s v="CORPORATE"/>
    <s v="kWh"/>
    <n v="19241.4"/>
    <s v="Origin"/>
    <s v="Origin"/>
    <d v="2026-07-01T00:00:00"/>
    <d v="2028-06-30T00:00:00"/>
    <s v="24 months"/>
    <n v="11400"/>
    <n v="10800"/>
    <n v="10800"/>
    <s v="Ready"/>
    <m/>
  </r>
  <r>
    <n v="4103737729"/>
    <x v="1"/>
    <x v="0"/>
    <x v="1"/>
    <x v="1"/>
    <s v="Corporate Office - North Ryde"/>
    <s v="Floor 1 - Trinity Bus Campus Bldg A, 39 Delphi Road"/>
    <s v="DOWNER EDI SERVICES PTY LTD (ABN: 71 137 732 042)"/>
    <s v="CORPORATE"/>
    <s v="kWh"/>
    <n v="13618.63"/>
    <s v="Origin"/>
    <s v="Origin"/>
    <d v="2026-07-01T00:00:00"/>
    <d v="2028-06-30T00:00:00"/>
    <s v="24 months"/>
    <n v="4500"/>
    <n v="3900"/>
    <n v="3900"/>
    <s v="Ready"/>
    <m/>
  </r>
  <r>
    <n v="4103742938"/>
    <x v="1"/>
    <x v="0"/>
    <x v="1"/>
    <x v="1"/>
    <s v="Corporate Office - North Ryde"/>
    <s v="Triniti 1, Level 3, 39 Delhi Road (Trinity Business Campus)"/>
    <s v="DOWNER EDI SERVICES PTY LTD (ABN: 71 137 732 042)"/>
    <s v="CORPORATE"/>
    <s v="kWh"/>
    <n v="105623.45"/>
    <s v="Origin"/>
    <s v="Origin"/>
    <d v="2026-07-01T00:00:00"/>
    <d v="2028-06-30T00:00:00"/>
    <s v="24 months"/>
    <n v="54300"/>
    <n v="50300"/>
    <n v="50100"/>
    <s v="Ready"/>
    <m/>
  </r>
  <r>
    <n v="4103742939"/>
    <x v="1"/>
    <x v="0"/>
    <x v="1"/>
    <x v="1"/>
    <s v="Corporate Office - North Ryde"/>
    <s v="Trinity Business Campus Bld A Level 3 Tenant Server Room Tenacy Fl 3, 39 Delhi Road"/>
    <s v="DOWNER EDI SERVICES PTY LTD (ABN: 71 137 732 042)"/>
    <s v="CORPORATE"/>
    <s v="kWh"/>
    <n v="81857.79999999999"/>
    <s v="Origin"/>
    <s v="Origin"/>
    <d v="2026-07-01T00:00:00"/>
    <d v="2028-06-30T00:00:00"/>
    <s v="24 months"/>
    <n v="41500"/>
    <n v="38800"/>
    <n v="38800"/>
    <s v="Ready"/>
    <m/>
  </r>
  <r>
    <n v="4103742940"/>
    <x v="1"/>
    <x v="0"/>
    <x v="1"/>
    <x v="1"/>
    <s v="Corporate Office - North Ryde"/>
    <s v="Triniti 1, Level 4, 39 Delhi Road (Trinity Business Campus)"/>
    <s v="DOWNER EDI SERVICES PTY LTD (ABN: 71 137 732 042)"/>
    <s v="CORPORATE"/>
    <s v="kWh"/>
    <n v="90701.86"/>
    <s v="Origin"/>
    <s v="Origin"/>
    <d v="2026-07-01T00:00:00"/>
    <d v="2028-06-30T00:00:00"/>
    <s v="24 months"/>
    <n v="47500"/>
    <n v="43800"/>
    <n v="43700"/>
    <s v="Ready"/>
    <m/>
  </r>
  <r>
    <n v="4103759848"/>
    <x v="1"/>
    <x v="0"/>
    <x v="1"/>
    <x v="1"/>
    <s v="Corporate Office - North Ryde"/>
    <s v="Level 2 - Trinity Bus Campus Bldg T1, 39 Dephi Road"/>
    <s v="DOWNER EDI SERVICES PTY LTD (ABN: 71 137 732 042)"/>
    <s v="CORPORATE"/>
    <s v="kWh"/>
    <n v="102767.91"/>
    <s v="Origin"/>
    <s v="Origin"/>
    <d v="2026-07-01T00:00:00"/>
    <d v="2028-06-30T00:00:00"/>
    <s v="24 months"/>
    <n v="26400"/>
    <n v="22200"/>
    <n v="22100"/>
    <s v="Ready"/>
    <m/>
  </r>
  <r>
    <n v="4103759849"/>
    <x v="1"/>
    <x v="0"/>
    <x v="1"/>
    <x v="1"/>
    <s v="Corporate Office - North Ryde"/>
    <s v="Level 3 - Trinity Bus Campus Bldg T1, 39 Dephi Road"/>
    <s v="DOWNER EDI SERVICES PTY LTD (ABN: 71 137 732 042)"/>
    <s v="CORPORATE"/>
    <s v="kWh"/>
    <n v="94304.33000000002"/>
    <s v="Origin"/>
    <s v="Origin"/>
    <d v="2026-07-01T00:00:00"/>
    <d v="2028-06-30T00:00:00"/>
    <s v="24 months"/>
    <n v="49500"/>
    <n v="45600"/>
    <n v="45400"/>
    <s v="Ready"/>
    <m/>
  </r>
  <r>
    <n v="4103766552"/>
    <x v="1"/>
    <x v="0"/>
    <x v="1"/>
    <x v="1"/>
    <s v="NSW Schools 2 - Kariong HS"/>
    <s v="Kariong High School, Festival Drive"/>
    <s v="SPOTLESS FACILITY SERVICES PTY LTD (ABN: 83 072 293 880)"/>
    <s v="SICS"/>
    <s v="kWh"/>
    <n v="224019.81"/>
    <s v="Origin"/>
    <s v="Origin"/>
    <d v="2026-07-01T00:00:00"/>
    <d v="2028-06-30T00:00:00"/>
    <s v="24 months"/>
    <n v="63000"/>
    <n v="54000"/>
    <n v="53600"/>
    <s v="Ready"/>
    <m/>
  </r>
  <r>
    <n v="4103803680"/>
    <x v="1"/>
    <x v="0"/>
    <x v="1"/>
    <x v="1"/>
    <s v="Corporate Office - Hexham"/>
    <s v="16 Galleghan Road"/>
    <s v="DOWNER EDI SERVICES PTY LTD (ABN: 71 137 732 042)"/>
    <s v="E&amp;U"/>
    <s v="kWh"/>
    <n v="346471.81"/>
    <s v="Origin"/>
    <s v="Origin"/>
    <d v="2026-07-01T00:00:00"/>
    <d v="2028-06-30T00:00:00"/>
    <s v="24 months"/>
    <n v="82500"/>
    <n v="69300"/>
    <n v="68800"/>
    <s v="Ready"/>
    <m/>
  </r>
  <r>
    <n v="4103927804"/>
    <x v="1"/>
    <x v="0"/>
    <x v="1"/>
    <x v="1"/>
    <s v="Sydney Entertainment Centre"/>
    <s v="Siceep Bayside Building Gate A 1 Darling Drive"/>
    <s v="SPOTLESS FACILITY SERVICES PTY LTD (ABN: 83 072 293 880)"/>
    <s v="SICS"/>
    <s v="kWh"/>
    <n v="3094734.32"/>
    <s v="Origin"/>
    <s v="Origin"/>
    <d v="2026-07-01T00:00:00"/>
    <d v="2028-06-30T00:00:00"/>
    <s v="24 months"/>
    <n v="836000"/>
    <n v="721700"/>
    <n v="717800"/>
    <s v="Ready"/>
    <m/>
  </r>
  <r>
    <n v="4103927806"/>
    <x v="1"/>
    <x v="0"/>
    <x v="1"/>
    <x v="1"/>
    <s v="Sydney Entertainment Centre"/>
    <s v="Siceep Parkside Building Gate A 1 Darling Drive"/>
    <s v="SPOTLESS FACILITY SERVICES PTY LTD (ABN: 83 072 293 880)"/>
    <s v="SICS"/>
    <s v="kWh"/>
    <n v="4948634.311999999"/>
    <s v="Origin"/>
    <s v="Origin"/>
    <d v="2026-07-01T00:00:00"/>
    <d v="2028-06-30T00:00:00"/>
    <s v="24 months"/>
    <n v="1256600"/>
    <n v="1070100"/>
    <n v="1063400"/>
    <s v="Ready"/>
    <m/>
  </r>
  <r>
    <n v="4103927808"/>
    <x v="1"/>
    <x v="0"/>
    <x v="1"/>
    <x v="1"/>
    <s v="Sydney Entertainment Centre"/>
    <s v="Siceep Exhibition Building Gate A 1 Darling Drive"/>
    <s v="SPOTLESS FACILITY SERVICES PTY LTD (ABN: 83 072 293 880)"/>
    <s v="SICS"/>
    <s v="kWh"/>
    <n v="2401931.455"/>
    <s v="Origin"/>
    <s v="Origin"/>
    <d v="2026-07-01T00:00:00"/>
    <d v="2028-06-30T00:00:00"/>
    <s v="24 months"/>
    <n v="667100"/>
    <n v="578500"/>
    <n v="575600"/>
    <s v="Ready"/>
    <m/>
  </r>
  <r>
    <n v="4103927809"/>
    <x v="1"/>
    <x v="0"/>
    <x v="1"/>
    <x v="1"/>
    <s v="Sydney Entertainment Centre"/>
    <s v="Siceep Theatre Exhibition Building  Gate A 1 Darling Drive"/>
    <s v="SPOTLESS FACILITY SERVICES PTY LTD (ABN: 83 072 293 880)"/>
    <s v="SICS"/>
    <s v="kWh"/>
    <n v="2847633.482000001"/>
    <s v="Origin"/>
    <s v="Origin"/>
    <d v="2026-07-01T00:00:00"/>
    <d v="2028-06-30T00:00:00"/>
    <s v="24 months"/>
    <n v="664800"/>
    <n v="563000"/>
    <n v="559800"/>
    <s v="Ready"/>
    <m/>
  </r>
  <r>
    <n v="4104030101"/>
    <x v="1"/>
    <x v="0"/>
    <x v="1"/>
    <x v="1"/>
    <s v="Roads - Teralba"/>
    <s v="2 Lot 1 Rhondda Rd Teralba"/>
    <s v="DOWNER EDI SERVICES PTY LTD (ABN: 71 137 732 042)"/>
    <s v="T&amp;I"/>
    <s v="kWh"/>
    <n v="687204.96"/>
    <s v="Origin"/>
    <s v="Origin"/>
    <d v="2026-07-01T00:00:00"/>
    <d v="2028-06-30T00:00:00"/>
    <s v="24 months"/>
    <n v="182600"/>
    <n v="158900"/>
    <n v="158200"/>
    <s v="Ready"/>
    <m/>
  </r>
  <r>
    <n v="4204072845"/>
    <x v="1"/>
    <x v="0"/>
    <x v="1"/>
    <x v="1"/>
    <s v="Roads - Mogo"/>
    <s v="84 Princes Highway"/>
    <s v="DOWNER EDI SERVICES PTY LTD (ABN: 71 137 732 042)"/>
    <s v="T&amp;I"/>
    <s v="kWh"/>
    <n v="377879.64"/>
    <s v="Origin"/>
    <s v="Origin"/>
    <d v="2026-07-01T00:00:00"/>
    <d v="2028-06-30T00:00:00"/>
    <s v="24 months"/>
    <n v="140100"/>
    <n v="126900"/>
    <n v="126500"/>
    <s v="Ready"/>
    <m/>
  </r>
  <r>
    <n v="4310934278"/>
    <x v="1"/>
    <x v="0"/>
    <x v="1"/>
    <x v="1"/>
    <s v="NSW Schools 2 - Halinda HS"/>
    <s v="Samarai Rd Whalan"/>
    <s v="SPOTLESS FACILITY SERVICES PTY LTD (ABN: 83 072 293 880)"/>
    <s v="SICS"/>
    <s v="kWh"/>
    <n v="210805.16"/>
    <s v="Origin"/>
    <s v="Origin"/>
    <d v="2026-07-01T00:00:00"/>
    <d v="2028-06-30T00:00:00"/>
    <s v="24 months"/>
    <n v="55900"/>
    <n v="47200"/>
    <n v="46800"/>
    <s v="Ready"/>
    <m/>
  </r>
  <r>
    <n v="4310938258"/>
    <x v="1"/>
    <x v="0"/>
    <x v="1"/>
    <x v="1"/>
    <s v="NSW Schools 2 - Ropes Crossing PS"/>
    <s v="Pulley  Drive Ropes Crossing"/>
    <s v="SPOTLESS FACILITY SERVICES PTY LTD (ABN: 83 072 293 880)"/>
    <s v="SICS"/>
    <s v="kWh"/>
    <n v="147736.15"/>
    <s v="Origin"/>
    <s v="Origin"/>
    <d v="2026-07-01T00:00:00"/>
    <d v="2028-06-30T00:00:00"/>
    <s v="24 months"/>
    <n v="41700"/>
    <n v="35000"/>
    <n v="34600"/>
    <s v="Ready"/>
    <m/>
  </r>
  <r>
    <n v="4310955386"/>
    <x v="1"/>
    <x v="0"/>
    <x v="1"/>
    <x v="1"/>
    <s v="NSW Schools 2 - Tullimbar"/>
    <s v="4649 Exeter Place"/>
    <s v="SPOTLESS FACILITY SERVICES PTY LTD (ABN: 83 072 293 880)"/>
    <s v="SICS"/>
    <s v="kWh"/>
    <n v="110678.1"/>
    <s v="Origin"/>
    <s v="Origin"/>
    <d v="2026-07-01T00:00:00"/>
    <d v="2028-06-30T00:00:00"/>
    <s v="24 months"/>
    <n v="30400"/>
    <n v="25800"/>
    <n v="25600"/>
    <s v="Ready"/>
    <m/>
  </r>
  <r>
    <n v="4310957406"/>
    <x v="1"/>
    <x v="0"/>
    <x v="1"/>
    <x v="1"/>
    <s v="NSW Schools 2 - John Palmer PS"/>
    <s v="Lt 1077 The Ponds Blvd"/>
    <s v="SPOTLESS FACILITY SERVICES PTY LTD (ABN: 83 072 293 880)"/>
    <s v="SICS"/>
    <s v="kWh"/>
    <n v="26836.14"/>
    <s v="Origin"/>
    <s v="Origin"/>
    <d v="2026-07-01T00:00:00"/>
    <d v="2028-06-30T00:00:00"/>
    <s v="24 months"/>
    <n v="15600"/>
    <n v="14500"/>
    <n v="14400"/>
    <s v="Ready"/>
    <m/>
  </r>
  <r>
    <n v="4310984436"/>
    <x v="1"/>
    <x v="0"/>
    <x v="1"/>
    <x v="1"/>
    <s v="NSW Schools 2 - Rouse Hill HS"/>
    <s v="105 Withers Rd"/>
    <s v="SPOTLESS FACILITY SERVICES PTY LTD (ABN: 83 072 293 880)"/>
    <s v="SICS"/>
    <s v="kWh"/>
    <n v="238859.85"/>
    <s v="Origin"/>
    <s v="Origin"/>
    <d v="2026-07-01T00:00:00"/>
    <d v="2028-06-30T00:00:00"/>
    <s v="24 months"/>
    <n v="67000"/>
    <n v="56900"/>
    <n v="56400"/>
    <s v="Ready"/>
    <m/>
  </r>
  <r>
    <n v="4311006154"/>
    <x v="1"/>
    <x v="0"/>
    <x v="1"/>
    <x v="1"/>
    <s v="NSW Schools 2 - Elderslie PS"/>
    <s v="170 Lodges Rd"/>
    <s v="SPOTLESS FACILITY SERVICES PTY LTD (ABN: 83 072 293 880)"/>
    <s v="SICS"/>
    <s v="kWh"/>
    <n v="141294.49"/>
    <s v="Origin"/>
    <s v="Origin"/>
    <d v="2026-07-01T00:00:00"/>
    <d v="2028-06-30T00:00:00"/>
    <s v="24 months"/>
    <n v="40200"/>
    <n v="33600"/>
    <n v="33300"/>
    <s v="Ready"/>
    <m/>
  </r>
  <r>
    <n v="4311006155"/>
    <x v="1"/>
    <x v="0"/>
    <x v="1"/>
    <x v="1"/>
    <s v="NSW Schools 2 - Middleton Grange PS"/>
    <s v="50 Seventeenth Ave West Hoxton Nsw"/>
    <s v="SPOTLESS FACILITY SERVICES PTY LTD (ABN: 83 072 293 880)"/>
    <s v="SICS"/>
    <s v="kWh"/>
    <n v="125233.95"/>
    <s v="Origin"/>
    <s v="Origin"/>
    <d v="2026-07-01T00:00:00"/>
    <d v="2028-06-30T00:00:00"/>
    <s v="24 months"/>
    <n v="35700"/>
    <n v="30300"/>
    <n v="30000"/>
    <s v="Ready"/>
    <m/>
  </r>
  <r>
    <n v="4311006315"/>
    <x v="1"/>
    <x v="0"/>
    <x v="1"/>
    <x v="1"/>
    <s v="Roads Workshops Eastern Creek"/>
    <s v="50 Eastern Creek Drive"/>
    <s v="DOWNER EDI WORKS PTY LTD (ABN: 66 008 709 608)"/>
    <s v="T&amp;I"/>
    <s v="kWh"/>
    <n v="631132.89"/>
    <s v="Origin"/>
    <s v="Origin"/>
    <d v="2026-07-01T00:00:00"/>
    <d v="2028-06-30T00:00:00"/>
    <s v="24 months"/>
    <n v="146100"/>
    <n v="123200"/>
    <n v="122500"/>
    <s v="Ready"/>
    <m/>
  </r>
  <r>
    <n v="4311396021"/>
    <x v="1"/>
    <x v="0"/>
    <x v="1"/>
    <x v="1"/>
    <s v="New Asphalt Plant - Rose Hill"/>
    <s v="Building A Dp1168951 Lot 100/9 Devon Street"/>
    <s v="DOWNER EDI WORKS PTY LTD (ABN: 66 008 709 608)"/>
    <s v="T&amp;I"/>
    <s v="kWh"/>
    <n v="1537138.97"/>
    <s v="Origin"/>
    <s v="Origin"/>
    <d v="2026-07-01T00:00:00"/>
    <d v="2028-06-30T00:00:00"/>
    <s v="24 months"/>
    <n v="383100"/>
    <n v="326900"/>
    <n v="325200"/>
    <s v="Ready"/>
    <m/>
  </r>
  <r>
    <n v="4311396022"/>
    <x v="1"/>
    <x v="0"/>
    <x v="1"/>
    <x v="1"/>
    <s v="New Asphalt Plant  Rose Hill"/>
    <s v="Building B Dp1168951 Lot 100/9 Devon Street"/>
    <s v="DOWNER EDI WORKS PTY LTD (ABN: 66 008 709 608)"/>
    <s v="T&amp;I"/>
    <s v="kWh"/>
    <n v="553695.01"/>
    <s v="Origin"/>
    <s v="Origin"/>
    <d v="2026-07-01T00:00:00"/>
    <d v="2028-06-30T00:00:00"/>
    <s v="24 months"/>
    <n v="142400"/>
    <n v="121700"/>
    <n v="121100"/>
    <s v="Ready"/>
    <m/>
  </r>
  <r>
    <n v="4407159054"/>
    <x v="1"/>
    <x v="0"/>
    <x v="1"/>
    <x v="1"/>
    <s v="RPQ Chinderra"/>
    <s v="24A Ozone St"/>
    <s v="RPQ PTY LTD (ABN: 53 010 760 826)"/>
    <s v="T&amp;I"/>
    <s v="kWh"/>
    <n v="379736.789"/>
    <s v="Origin"/>
    <s v="Origin"/>
    <d v="2026-07-01T00:00:00"/>
    <d v="2028-06-30T00:00:00"/>
    <s v="24 months"/>
    <n v="94700"/>
    <n v="82200"/>
    <n v="81800"/>
    <s v="Ready"/>
    <m/>
  </r>
  <r>
    <s v="NAAA00AC25"/>
    <x v="1"/>
    <x v="0"/>
    <x v="1"/>
    <x v="1"/>
    <s v="Roads - Kelso"/>
    <s v="Zagreb Place"/>
    <s v="DOWNER EDI SERVICES PTY LTD (ABN: 71 137 732 042)"/>
    <s v="T&amp;I"/>
    <s v="kWh"/>
    <n v="468259.76"/>
    <s v="Origin"/>
    <s v="Origin"/>
    <d v="2026-07-01T00:00:00"/>
    <d v="2028-06-30T00:00:00"/>
    <s v="24 months"/>
    <n v="174500"/>
    <n v="157200"/>
    <n v="156700"/>
    <s v="Ready"/>
    <m/>
  </r>
  <r>
    <n v="6001311036"/>
    <x v="1"/>
    <x v="0"/>
    <x v="4"/>
    <x v="1"/>
    <s v="Roads - Somerton"/>
    <s v="125 Somerton Road"/>
    <s v="DOWNER EDI SERVICES PTY LTD (ABN: 71 137 732 042)"/>
    <s v="T&amp;I"/>
    <s v="kWh"/>
    <n v="1016001.512"/>
    <s v="Origin"/>
    <s v="Engie"/>
    <d v="2026-07-01T00:00:00"/>
    <d v="2028-06-30T00:00:00"/>
    <s v="24 months"/>
    <n v="219000"/>
    <n v="213000"/>
    <n v="213900"/>
    <s v="Ready"/>
    <m/>
  </r>
  <r>
    <n v="6203753676"/>
    <x v="1"/>
    <x v="0"/>
    <x v="4"/>
    <x v="1"/>
    <s v="Utilties - Derrimut"/>
    <s v="1 Westpark Drive"/>
    <s v="DOWNER EDI SERVICES PTY LTD (ABN: 71 137 732 042)"/>
    <s v="E&amp;U"/>
    <s v="kWh"/>
    <n v="298507.32"/>
    <s v="Origin"/>
    <s v="Engie"/>
    <d v="2026-07-01T00:00:00"/>
    <d v="2028-06-30T00:00:00"/>
    <s v="24 months"/>
    <n v="71700"/>
    <n v="69100"/>
    <n v="69100"/>
    <s v="Ready"/>
    <m/>
  </r>
  <r>
    <n v="6204134328"/>
    <x v="1"/>
    <x v="0"/>
    <x v="4"/>
    <x v="1"/>
    <s v="Roads Shepparton"/>
    <s v="32 Apollo Drive"/>
    <s v="DOWNER EDI SERVICES PTY LTD (ABN: 71 137 732 042)"/>
    <s v="T&amp;I"/>
    <s v="kWh"/>
    <n v="475562.1800000001"/>
    <s v="Origin"/>
    <s v="Engie"/>
    <d v="2026-07-01T00:00:00"/>
    <d v="2028-06-30T00:00:00"/>
    <s v="24 months"/>
    <n v="128000"/>
    <n v="126000"/>
    <n v="126800"/>
    <s v="Ready"/>
    <m/>
  </r>
  <r>
    <n v="6305920528"/>
    <x v="1"/>
    <x v="0"/>
    <x v="4"/>
    <x v="1"/>
    <s v="Roads - Asphalt Plant Bayswater"/>
    <s v="Bsp 18 Jersey Road"/>
    <s v="DOWNER EDI SERVICES PTY LTD (ABN: 71 137 732 042)"/>
    <s v="T&amp;I"/>
    <s v="kWh"/>
    <n v="800264.6200000001"/>
    <s v="Origin"/>
    <s v="Engie"/>
    <d v="2026-07-01T00:00:00"/>
    <d v="2028-06-30T00:00:00"/>
    <s v="24 months"/>
    <n v="216500"/>
    <n v="212100"/>
    <n v="213100"/>
    <s v="Ready"/>
    <m/>
  </r>
  <r>
    <n v="6306009124"/>
    <x v="1"/>
    <x v="0"/>
    <x v="4"/>
    <x v="1"/>
    <s v="Fowlers Asphalting - Traralgon"/>
    <s v="24-44 Rocla Road"/>
    <s v="FOWLERS ASPHALTING PTY. LIMITED (ABN: 86 007 406 386)"/>
    <s v="T&amp;I"/>
    <s v="kWh"/>
    <n v="361392.4600000001"/>
    <s v="Origin"/>
    <s v="Engie"/>
    <d v="2026-07-01T00:00:00"/>
    <d v="2028-06-30T00:00:00"/>
    <s v="24 months"/>
    <n v="85400"/>
    <n v="83400"/>
    <n v="83700"/>
    <s v="Ready"/>
    <m/>
  </r>
  <r>
    <n v="6407100027"/>
    <x v="1"/>
    <x v="0"/>
    <x v="4"/>
    <x v="1"/>
    <s v="Roads - Dandenong"/>
    <s v="434 South Gippsland Hwy"/>
    <s v="DOWNER EDI SERVICES PTY LTD (ABN: 71 137 732 042)"/>
    <s v="T&amp;I"/>
    <s v="kWh"/>
    <n v="118037.096"/>
    <s v="Origin"/>
    <s v="Engie"/>
    <d v="2026-07-01T00:00:00"/>
    <d v="2028-06-30T00:00:00"/>
    <s v="24 months"/>
    <n v="26500"/>
    <n v="25600"/>
    <n v="25600"/>
    <s v="Ready"/>
    <m/>
  </r>
  <r>
    <n v="6407695655"/>
    <x v="1"/>
    <x v="0"/>
    <x v="4"/>
    <x v="1"/>
    <s v="Spotless - Skilltech"/>
    <s v="Factory 2A/200 Wellington Road"/>
    <s v="SKILLTECH CONSULTING SERVICES PTY. LTD. (ABN: 14 007 162 647)"/>
    <s v="SICS"/>
    <s v="kWh"/>
    <n v="28429.415"/>
    <s v="Origin"/>
    <s v="Engie"/>
    <d v="2026-07-01T00:00:00"/>
    <d v="2028-06-30T00:00:00"/>
    <s v="24 months"/>
    <n v="10100"/>
    <n v="9900"/>
    <n v="9900"/>
    <s v="Ready"/>
    <m/>
  </r>
  <r>
    <s v="VBBB002698"/>
    <x v="1"/>
    <x v="0"/>
    <x v="4"/>
    <x v="1"/>
    <s v="Roads - Wodonga"/>
    <s v="25 Moloney Dr"/>
    <s v="DOWNER EDI SERVICES PTY LTD (ABN: 71 137 732 042)"/>
    <s v="T&amp;I"/>
    <s v="kWh"/>
    <n v="435696.23"/>
    <s v="Origin"/>
    <s v="Engie"/>
    <d v="2026-07-01T00:00:00"/>
    <d v="2028-06-30T00:00:00"/>
    <s v="24 months"/>
    <n v="101400"/>
    <n v="98700"/>
    <n v="99100"/>
    <s v="Ready"/>
    <m/>
  </r>
  <r>
    <s v="VDDD001226"/>
    <x v="1"/>
    <x v="0"/>
    <x v="4"/>
    <x v="1"/>
    <s v="Roads - Somerton"/>
    <s v="125 - 129 Somerton Rd"/>
    <s v="DOWNER EDI SERVICES PTY LTD (ABN: 71 137 732 042)"/>
    <s v="T&amp;I"/>
    <s v="kWh"/>
    <n v="906577.55"/>
    <s v="Origin"/>
    <s v="Engie"/>
    <d v="2026-07-01T00:00:00"/>
    <d v="2028-06-30T00:00:00"/>
    <s v="24 months"/>
    <n v="165100"/>
    <n v="161000"/>
    <n v="162200"/>
    <s v="Ready"/>
    <m/>
  </r>
  <r>
    <n v="2500033707"/>
    <x v="1"/>
    <x v="0"/>
    <x v="7"/>
    <x v="1"/>
    <s v="SKILLTECH  DARWIN"/>
    <s v="Lot 6866, 23 A/90 Frances Bay Drive"/>
    <s v="SKILLTECH CONSULTING SERVICES PTY. LTD. (ABN: 14 007 162 647)"/>
    <s v="SICS"/>
    <s v="kWh"/>
    <n v="0"/>
    <s v="Jacana"/>
    <s v="Jacana Energy (Standing)"/>
    <m/>
    <m/>
    <m/>
    <s v=""/>
    <n v="0"/>
    <n v="0"/>
    <s v="Review required"/>
    <s v="No consumption reported"/>
  </r>
  <r>
    <n v="2500044629"/>
    <x v="1"/>
    <x v="0"/>
    <x v="7"/>
    <x v="1"/>
    <s v="Roads - Katherine"/>
    <s v="Lot 2378, 5 Emungalan Road"/>
    <s v="DOWNER EDI WORKS PTY LTD (ABN: 66 008 709 608)"/>
    <s v="T&amp;I"/>
    <s v="kWh"/>
    <n v="0"/>
    <s v="Jacana"/>
    <s v="Jacana Energy (Standing)"/>
    <m/>
    <m/>
    <m/>
    <s v=""/>
    <n v="0"/>
    <n v="0"/>
    <s v="Review required"/>
    <s v="No consumption reported"/>
  </r>
  <r>
    <n v="2500054287"/>
    <x v="1"/>
    <x v="0"/>
    <x v="7"/>
    <x v="1"/>
    <s v="Roads - Asphalt Plant Tivendale"/>
    <s v="37 Syrimi Road"/>
    <s v="DOWNER EDI WORKS PTY LTD (ABN: 66 008 709 608)"/>
    <s v="T&amp;I"/>
    <s v="kWh"/>
    <n v="2347683.89"/>
    <s v="Jacana"/>
    <s v="Jacana Energy"/>
    <d v="2026-07-01T00:00:00"/>
    <d v="2027-06-30T00:00:00"/>
    <s v="12 months"/>
    <n v="718000"/>
    <n v="822300"/>
    <n v="822300"/>
    <s v="Ready"/>
    <m/>
  </r>
  <r>
    <n v="3030075637"/>
    <x v="1"/>
    <x v="0"/>
    <x v="6"/>
    <x v="1"/>
    <s v="Office - Spotless Cairns"/>
    <s v="89 Cook Street"/>
    <s v="SPOTLESS FACILITY SERVICES PTY LTD (ABN: 83 072 293 880)"/>
    <s v="SICS"/>
    <s v="kWh"/>
    <n v="66273.91"/>
    <s v="CS Energy"/>
    <s v="Engie"/>
    <d v="2026-07-01T00:00:00"/>
    <d v="2028-06-30T00:00:00"/>
    <s v="24 months"/>
    <n v="15600"/>
    <n v="13300"/>
    <n v="13400"/>
    <s v="Ready"/>
    <m/>
  </r>
  <r>
    <n v="3051770385"/>
    <x v="1"/>
    <x v="0"/>
    <x v="6"/>
    <x v="1"/>
    <s v="RPQ SPRAY SEAL"/>
    <s v="Lot 7 Commodity Ct"/>
    <s v="RPQ PTY LTD (ABN: 53 010 760 826)"/>
    <s v="T&amp;I"/>
    <s v="kWh"/>
    <n v="208479.476"/>
    <s v="CS Energy"/>
    <s v="Engie"/>
    <d v="2026-07-01T00:00:00"/>
    <d v="2028-06-30T00:00:00"/>
    <s v="24 months"/>
    <n v="56900"/>
    <n v="52200"/>
    <n v="52500"/>
    <s v="Ready"/>
    <m/>
  </r>
  <r>
    <n v="3116382269"/>
    <x v="1"/>
    <x v="0"/>
    <x v="6"/>
    <x v="1"/>
    <s v="Southbank Tafe PPP"/>
    <s v="Lot 21, Southbank Tafe, Colchester St"/>
    <s v="SPOTLESS FACILITY SERVICES PTY LTD (ABN: 83 072 293 880)"/>
    <s v="SICS"/>
    <s v="kWh"/>
    <n v="8005232.9"/>
    <s v="CS Energy"/>
    <s v="Engie"/>
    <d v="2026-07-01T00:00:00"/>
    <d v="2028-06-30T00:00:00"/>
    <s v="24 months"/>
    <n v="1243200"/>
    <n v="1115100"/>
    <n v="1124600"/>
    <s v="Ready"/>
    <m/>
  </r>
  <r>
    <n v="3116600011"/>
    <x v="1"/>
    <x v="0"/>
    <x v="6"/>
    <x v="1"/>
    <s v="Engineering - Archerfield"/>
    <s v="U 4 Lot 1 145 Archerfield Rd"/>
    <s v="DOWNER EDI SERVICES PTY LTD (ABN: 71 137 732 042)"/>
    <s v="E&amp;U"/>
    <s v="kWh"/>
    <n v="49553.7"/>
    <s v="CS Energy"/>
    <s v="Engie"/>
    <d v="2026-07-01T00:00:00"/>
    <d v="2028-06-30T00:00:00"/>
    <s v="24 months"/>
    <n v="11200"/>
    <n v="9300"/>
    <n v="9300"/>
    <s v="Ready"/>
    <m/>
  </r>
  <r>
    <n v="3117134943"/>
    <x v="1"/>
    <x v="0"/>
    <x v="6"/>
    <x v="1"/>
    <s v="Corporate Office - Brisbane"/>
    <s v="Lot 5, 49 Doggett Street"/>
    <s v="DOWNER EDI SERVICES PTY LTD (ABN: 71 137 732 042)"/>
    <s v="CORPORATE"/>
    <s v="kWh"/>
    <n v="189990.46"/>
    <s v="CS Energy"/>
    <s v="Engie"/>
    <d v="2026-07-01T00:00:00"/>
    <d v="2028-06-30T00:00:00"/>
    <s v="24 months"/>
    <n v="38900"/>
    <n v="34700"/>
    <n v="35000"/>
    <s v="Ready"/>
    <m/>
  </r>
  <r>
    <n v="3120014382"/>
    <x v="1"/>
    <x v="0"/>
    <x v="6"/>
    <x v="1"/>
    <s v="RPQ SPRAYSEAL"/>
    <s v="66 Hugh Street"/>
    <s v="RPQ PTY LTD (ABN: 53 010 760 826)"/>
    <s v="T&amp;I"/>
    <s v="kWh"/>
    <n v="344623.504"/>
    <s v="CS Energy"/>
    <s v="Engie"/>
    <d v="2026-07-01T00:00:00"/>
    <d v="2028-06-30T00:00:00"/>
    <s v="24 months"/>
    <n v="64900"/>
    <n v="58200"/>
    <n v="58600"/>
    <s v="Ready"/>
    <m/>
  </r>
  <r>
    <n v="3120070486"/>
    <x v="1"/>
    <x v="0"/>
    <x v="6"/>
    <x v="1"/>
    <s v="RPQ SPRAYSEAL"/>
    <s v="Asphalt Plant 206 Swanbank Road"/>
    <s v="RPQ PTY LTD (ABN: 53 010 760 826)"/>
    <s v="T&amp;I"/>
    <s v="kWh"/>
    <n v="260263.44"/>
    <s v="CS Energy"/>
    <s v="Engie"/>
    <d v="2026-07-01T00:00:00"/>
    <d v="2028-06-30T00:00:00"/>
    <s v="24 months"/>
    <n v="48300"/>
    <n v="43100"/>
    <n v="43400"/>
    <s v="Ready"/>
    <m/>
  </r>
  <r>
    <n v="3120103988"/>
    <x v="1"/>
    <x v="0"/>
    <x v="6"/>
    <x v="1"/>
    <s v="Roads - Bli Bli"/>
    <s v="66 Cooney Road"/>
    <s v="DOWNER EDI SERVICES PTY LTD (ABN: 71 137 732 042)"/>
    <s v="T&amp;I"/>
    <s v="kWh"/>
    <n v="747633.8"/>
    <s v="CS Energy"/>
    <s v="Engie"/>
    <d v="2026-07-01T00:00:00"/>
    <d v="2028-06-30T00:00:00"/>
    <s v="24 months"/>
    <n v="175200"/>
    <n v="161700"/>
    <n v="162700"/>
    <s v="Ready"/>
    <m/>
  </r>
  <r>
    <n v="3120129028"/>
    <x v="1"/>
    <x v="0"/>
    <x v="6"/>
    <x v="1"/>
    <s v="Roads - Gympie"/>
    <s v="Rafter Road"/>
    <s v="DOWNER EDI SERVICES PTY LTD (ABN: 71 137 732 042)"/>
    <s v="T&amp;I"/>
    <s v="kWh"/>
    <n v="207140.699999999"/>
    <s v="CS Energy"/>
    <s v="Engie"/>
    <d v="2026-07-01T00:00:00"/>
    <d v="2028-06-30T00:00:00"/>
    <s v="24 months"/>
    <n v="39000"/>
    <n v="34600"/>
    <n v="34800"/>
    <s v="Ready"/>
    <m/>
  </r>
  <r>
    <n v="3120143385"/>
    <x v="1"/>
    <x v="0"/>
    <x v="6"/>
    <x v="1"/>
    <s v="Spotless -Sunsh Coast Hosp Car Park"/>
    <s v="Lot 5, Car Park 2, Gate 4, 5 Kawana Way"/>
    <s v="SPOTLESS FACILITY SERVICES PTY LTD (ABN: 83 072 293 880)"/>
    <s v="SICS"/>
    <s v="kWh"/>
    <n v="225934.4146"/>
    <s v="CS Energy"/>
    <s v="Engie"/>
    <d v="2026-07-01T00:00:00"/>
    <d v="2028-06-30T00:00:00"/>
    <s v="24 months"/>
    <n v="39400"/>
    <n v="34600"/>
    <n v="34900"/>
    <s v="Ready"/>
    <m/>
  </r>
  <r>
    <n v="3120725958"/>
    <x v="1"/>
    <x v="0"/>
    <x v="6"/>
    <x v="1"/>
    <s v="New Brendale Asphalt plant"/>
    <s v="Downer Edi Factory 1/Leitchs Road"/>
    <s v="DOWNER EDI SERVICES PTY LTD (ABN: 71 137 732 042)"/>
    <s v="T&amp;I"/>
    <s v="kWh"/>
    <n v="1047801.85"/>
    <s v="CS Energy"/>
    <s v="Engie"/>
    <d v="2026-07-01T00:00:00"/>
    <d v="2028-06-30T00:00:00"/>
    <s v="24 months"/>
    <n v="215600"/>
    <n v="197400"/>
    <n v="198700"/>
    <s v="Ready"/>
    <m/>
  </r>
  <r>
    <s v="QB05383854"/>
    <x v="1"/>
    <x v="0"/>
    <x v="6"/>
    <x v="1"/>
    <s v="Roads - Archerfield"/>
    <s v="150 Boniface Street"/>
    <s v="DOWNER EDI SERVICES PTY LTD (ABN: 71 137 732 042)"/>
    <s v="T&amp;I"/>
    <s v="kWh"/>
    <n v="876582.28"/>
    <s v="CS Energy"/>
    <s v="Engie"/>
    <d v="2026-07-01T00:00:00"/>
    <d v="2028-06-30T00:00:00"/>
    <s v="24 months"/>
    <n v="193900"/>
    <n v="178500"/>
    <n v="179600"/>
    <s v="Ready"/>
    <m/>
  </r>
  <r>
    <s v="QB06081428"/>
    <x v="1"/>
    <x v="0"/>
    <x v="6"/>
    <x v="1"/>
    <s v="Mineral Tech - Carrara"/>
    <s v="11 Elysium Road"/>
    <s v="DOWNER EDI SERVICES PTY LTD (ABN: 71 137 732 042)"/>
    <s v="E&amp;U"/>
    <s v="kWh"/>
    <n v="1044289.84"/>
    <s v="CS Energy"/>
    <s v="Engie"/>
    <d v="2026-07-01T00:00:00"/>
    <d v="2028-06-30T00:00:00"/>
    <s v="24 months"/>
    <n v="190100"/>
    <n v="171900"/>
    <n v="173200"/>
    <s v="Ready"/>
    <m/>
  </r>
  <r>
    <s v="QB06082220"/>
    <x v="1"/>
    <x v="0"/>
    <x v="6"/>
    <x v="1"/>
    <s v="Mineral Tech - Carrara"/>
    <s v="2-8 Keller Crescent"/>
    <s v="DOWNER EDI SERVICES PTY LTD (ABN: 71 137 732 042)"/>
    <s v="E&amp;U"/>
    <s v="kWh"/>
    <n v="80526.60000000001"/>
    <s v="CS Energy"/>
    <s v="Engie"/>
    <d v="2026-07-01T00:00:00"/>
    <d v="2028-06-30T00:00:00"/>
    <s v="24 months"/>
    <n v="17500"/>
    <n v="15100"/>
    <n v="15200"/>
    <s v="Ready"/>
    <m/>
  </r>
  <r>
    <s v="QGGG000010"/>
    <x v="1"/>
    <x v="0"/>
    <x v="6"/>
    <x v="1"/>
    <s v="Rail - Maryborough"/>
    <s v="23 Bowen Street"/>
    <s v="DOWNER EDI SERVICES PTY LTD (ABN: 71 137 732 042)"/>
    <s v="RAIL"/>
    <s v="kWh"/>
    <n v="3994276.89999999"/>
    <s v="CS Energy"/>
    <s v="Engie"/>
    <d v="2026-07-01T00:00:00"/>
    <d v="2028-06-30T00:00:00"/>
    <s v="24 months"/>
    <n v="747900"/>
    <n v="684300"/>
    <n v="689000"/>
    <s v="Ready"/>
    <m/>
  </r>
  <r>
    <s v="QGGG000320"/>
    <x v="1"/>
    <x v="0"/>
    <x v="6"/>
    <x v="1"/>
    <s v="Rail - Maryborough"/>
    <s v="2 Ellena Street"/>
    <s v="DOWNER EDI RAIL PTY LTD (ABN: 92 000 002 031)"/>
    <s v="RAIL"/>
    <s v="kWh"/>
    <n v="165144.29"/>
    <s v="CS Energy"/>
    <s v="Engie"/>
    <d v="2026-07-01T00:00:00"/>
    <d v="2028-06-30T00:00:00"/>
    <s v="24 months"/>
    <n v="65700"/>
    <n v="61800"/>
    <n v="62000"/>
    <s v="Ready"/>
    <m/>
  </r>
  <r>
    <n v="2001160742"/>
    <x v="1"/>
    <x v="0"/>
    <x v="2"/>
    <x v="1"/>
    <s v="Roads - Gillman"/>
    <s v="Lot 6 Matson Court"/>
    <s v="DOWNER EDI SERVICES PTY LTD (ABN: 71 137 732 042)"/>
    <s v="T&amp;I"/>
    <s v="kWh"/>
    <n v="119987.46"/>
    <s v="Origin"/>
    <s v="Engie"/>
    <d v="2026-07-01T00:00:00"/>
    <d v="2028-06-30T00:00:00"/>
    <s v="24 months"/>
    <n v="41200"/>
    <n v="31300"/>
    <n v="31100"/>
    <s v="Ready"/>
    <m/>
  </r>
  <r>
    <n v="2002254877"/>
    <x v="1"/>
    <x v="0"/>
    <x v="2"/>
    <x v="1"/>
    <s v="Roads Ashalt Pant Wingfield"/>
    <s v="Lot 43 Rosberg Road"/>
    <s v="DOWNER EDI SERVICES PTY LTD (ABN: 71 137 732 042)"/>
    <s v="T&amp;I"/>
    <s v="kWh"/>
    <n v="1255064.06"/>
    <s v="Origin"/>
    <s v="Engie"/>
    <d v="2026-07-01T00:00:00"/>
    <d v="2028-06-30T00:00:00"/>
    <s v="24 months"/>
    <n v="357600"/>
    <n v="292100"/>
    <n v="293800"/>
    <s v="Ready"/>
    <m/>
  </r>
  <r>
    <s v="SAAAAAB023"/>
    <x v="1"/>
    <x v="0"/>
    <x v="2"/>
    <x v="1"/>
    <s v="Roads - Largs Bay"/>
    <s v="100513/1 Jetty Road"/>
    <s v="DOWNER EDI SERVICES PTY LTD (ABN: 71 137 732 042)"/>
    <s v="T&amp;I"/>
    <s v="kWh"/>
    <n v="384392.53"/>
    <s v="Origin"/>
    <s v="Engie"/>
    <d v="2026-07-01T00:00:00"/>
    <d v="2028-06-30T00:00:00"/>
    <s v="24 months"/>
    <n v="111800"/>
    <n v="92000"/>
    <n v="92200"/>
    <s v="Ready"/>
    <m/>
  </r>
  <r>
    <s v="SAAAAAC481"/>
    <x v="1"/>
    <x v="0"/>
    <x v="2"/>
    <x v="1"/>
    <s v="Roads - Largs Bay"/>
    <s v="188 Jetty Road"/>
    <s v="DOWNER EDI SERVICES PTY LTD (ABN: 71 137 732 042)"/>
    <s v="T&amp;I"/>
    <s v="kWh"/>
    <n v="154241.09"/>
    <s v="Origin"/>
    <s v="Engie"/>
    <d v="2026-07-01T00:00:00"/>
    <d v="2028-06-30T00:00:00"/>
    <s v="24 months"/>
    <n v="45600"/>
    <n v="37500"/>
    <n v="37800"/>
    <s v="Ready"/>
    <m/>
  </r>
  <r>
    <n v="8000002117"/>
    <x v="1"/>
    <x v="0"/>
    <x v="3"/>
    <x v="1"/>
    <s v="Roads - Lindisfarne"/>
    <s v="Flagstaff Gully Road"/>
    <s v="DOWNER EDI SERVICES PTY LTD (ABN: 71 137 732 042)"/>
    <s v="T&amp;I"/>
    <s v="kWh"/>
    <n v="448303.491"/>
    <s v="Aurora"/>
    <s v="Shell"/>
    <d v="2026-07-01T00:00:00"/>
    <d v="2030-06-30T00:00:00"/>
    <s v="48 months"/>
    <n v="170400"/>
    <n v="135900"/>
    <n v="135700"/>
    <s v="Ready"/>
    <m/>
  </r>
  <r>
    <n v="8000002963"/>
    <x v="1"/>
    <x v="0"/>
    <x v="3"/>
    <x v="1"/>
    <s v="Roads - Granton"/>
    <s v="3 Whitestone Drive"/>
    <s v="DOWNER EDI SERVICES PTY LTD (ABN: 71 137 732 042)"/>
    <s v="T&amp;I"/>
    <s v="kWh"/>
    <n v="122988.745"/>
    <s v="Aurora"/>
    <s v="Shell"/>
    <d v="2026-07-01T00:00:00"/>
    <d v="2030-06-30T00:00:00"/>
    <s v="48 months"/>
    <n v="46100"/>
    <n v="37300"/>
    <n v="37300"/>
    <s v="Ready"/>
    <m/>
  </r>
  <r>
    <n v="8000326927"/>
    <x v="1"/>
    <x v="0"/>
    <x v="3"/>
    <x v="1"/>
    <s v="New Roads Mowbray"/>
    <s v="59 Remount Rd"/>
    <s v="DOWNER EDI SERVICES PTY LTD (ABN: 71 137 732 042)"/>
    <s v="T&amp;I"/>
    <s v="kWh"/>
    <n v="489994.031"/>
    <s v="Aurora"/>
    <s v="Shell"/>
    <d v="2026-07-01T00:00:00"/>
    <d v="2030-06-30T00:00:00"/>
    <s v="48 months"/>
    <n v="186400"/>
    <n v="148500"/>
    <n v="148300"/>
    <s v="Ready"/>
    <m/>
  </r>
  <r>
    <n v="8001000591"/>
    <x v="1"/>
    <x v="0"/>
    <x v="5"/>
    <x v="1"/>
    <s v="Perth Convention &amp; Exhibition Centre"/>
    <s v="Ua Lot 2 1 Mounts Bay Rd Perth Wa"/>
    <s v="DOWNER EDI SERVICES PTY LTD (ABN: 71 137 732 042)"/>
    <s v="SICS"/>
    <s v="kWh"/>
    <n v="2400959.8"/>
    <s v="Alinta"/>
    <s v="Alinta"/>
    <d v="2026-07-01T00:00:00"/>
    <d v="2028-06-30T00:00:00"/>
    <s v="24 months"/>
    <n v="835600"/>
    <n v="786100"/>
    <n v="786100"/>
    <s v="Ready"/>
    <m/>
  </r>
  <r>
    <n v="8001000592"/>
    <x v="1"/>
    <x v="0"/>
    <x v="5"/>
    <x v="1"/>
    <s v="Perth Convention &amp; Exhibition Centre"/>
    <s v="Ua Lot 2 1 Mounts Bay Rd Perth Wa"/>
    <s v="DOWNER EDI SERVICES PTY LTD (ABN: 71 137 732 042)"/>
    <s v="SICS"/>
    <s v="kWh"/>
    <n v="2066442.3"/>
    <s v="Alinta"/>
    <s v="Alinta"/>
    <d v="2026-07-01T00:00:00"/>
    <d v="2028-06-30T00:00:00"/>
    <s v="24 months"/>
    <n v="714600"/>
    <n v="676600"/>
    <n v="676600"/>
    <s v="Ready"/>
    <m/>
  </r>
  <r>
    <n v="8001010840"/>
    <x v="1"/>
    <x v="0"/>
    <x v="5"/>
    <x v="1"/>
    <s v="Roads - Beckenham"/>
    <s v="Lot 27, 53 Bickley Rd Beckenham"/>
    <s v="DOWNER EDI SERVICES PTY LTD (ABN: 71 137 732 042)"/>
    <s v="T&amp;I"/>
    <s v="kWh"/>
    <n v="485627.715"/>
    <s v="Alinta"/>
    <s v="Alinta"/>
    <d v="2026-07-01T00:00:00"/>
    <d v="2028-06-30T00:00:00"/>
    <s v="24 months"/>
    <n v="160700"/>
    <n v="159000"/>
    <n v="159000"/>
    <s v="Ready"/>
    <m/>
  </r>
  <r>
    <n v="8001015167"/>
    <x v="1"/>
    <x v="0"/>
    <x v="5"/>
    <x v="1"/>
    <s v="Roads - Maddington"/>
    <s v="Lot 24 5 Marion Rd Maddington"/>
    <s v="DOWNER EDI SERVICES PTY LTD (ABN: 71 137 732 042)"/>
    <s v="T&amp;I"/>
    <s v="kWh"/>
    <n v="170522.252"/>
    <s v="Alinta"/>
    <s v="Alinta"/>
    <d v="2026-07-01T00:00:00"/>
    <d v="2028-06-30T00:00:00"/>
    <s v="24 months"/>
    <n v="57400"/>
    <n v="55900"/>
    <n v="55900"/>
    <s v="Ready"/>
    <m/>
  </r>
  <r>
    <n v="8001016501"/>
    <x v="1"/>
    <x v="0"/>
    <x v="5"/>
    <x v="1"/>
    <s v="Roads - Warrenup (Albany)"/>
    <s v="Lot 6, 385 Rocky Crossing Rd Warrenup"/>
    <s v="DOWNER EDI SERVICES PTY LTD (ABN: 71 137 732 042)"/>
    <s v="T&amp;I"/>
    <s v="kWh"/>
    <n v="203319.864"/>
    <s v="Alinta"/>
    <s v="Alinta"/>
    <d v="2026-07-01T00:00:00"/>
    <d v="2028-06-30T00:00:00"/>
    <s v="24 months"/>
    <n v="69700"/>
    <n v="66600"/>
    <n v="66600"/>
    <s v="Ready"/>
    <m/>
  </r>
  <r>
    <n v="8001356541"/>
    <x v="1"/>
    <x v="0"/>
    <x v="5"/>
    <x v="1"/>
    <s v="Roads - Narngulu (Geraldton)"/>
    <s v="Lot 13 Gould St Narngulu"/>
    <s v="DOWNER EDI SERVICES PTY LTD (ABN: 71 137 732 042)"/>
    <s v="T&amp;I"/>
    <s v="kWh"/>
    <n v="34456.176"/>
    <s v="Alinta"/>
    <s v="Alinta"/>
    <d v="2026-07-01T00:00:00"/>
    <d v="2028-06-30T00:00:00"/>
    <s v="24 months"/>
    <n v="10700"/>
    <n v="11400"/>
    <n v="11400"/>
    <s v="Ready"/>
    <m/>
  </r>
  <r>
    <n v="8002193716"/>
    <x v="1"/>
    <x v="0"/>
    <x v="5"/>
    <x v="1"/>
    <s v="Roads - Hope Valley"/>
    <s v="8 Hoyle Rd"/>
    <s v="DOWNER EDI SERVICES PTY LTD (ABN: 71 137 732 042)"/>
    <s v="T&amp;I"/>
    <s v="kWh"/>
    <n v="555826.23"/>
    <s v="Alinta"/>
    <s v="Alinta"/>
    <d v="2026-07-01T00:00:00"/>
    <d v="2028-06-30T00:00:00"/>
    <s v="24 months"/>
    <n v="197000"/>
    <n v="182000"/>
    <n v="182000"/>
    <s v="Ready"/>
    <m/>
  </r>
  <r>
    <s v="0000004290DEF89"/>
    <x v="1"/>
    <x v="1"/>
    <x v="8"/>
    <x v="3"/>
    <m/>
    <s v="11 Irmo Street,Green Island,Dunedin,Otago Region"/>
    <s v="DOWNER NEW ZEALAND LIMITED (NZBN: 9429039194114)"/>
    <m/>
    <s v="kWh"/>
    <n v="156484.0425531915"/>
    <s v="Meridian"/>
    <s v="Ecotricity"/>
    <d v="2027-01-01T00:00:00"/>
    <d v="2029-12-31T00:00:00"/>
    <s v="36 months"/>
    <n v="38100"/>
    <n v="33800"/>
    <n v="33800"/>
    <s v="Ready"/>
    <m/>
  </r>
  <r>
    <s v="0000017346CEE5A"/>
    <x v="1"/>
    <x v="1"/>
    <x v="8"/>
    <x v="3"/>
    <m/>
    <s v="46 Robins Road,Queenstown,Otago Region"/>
    <s v="DOWNER NEW ZEALAND LIMITED (NZBN: 9429039194114)"/>
    <m/>
    <s v="kWh"/>
    <n v="7626.170212765958"/>
    <s v="Meridian"/>
    <s v="Ecotricity"/>
    <d v="2027-01-01T00:00:00"/>
    <d v="2029-12-31T00:00:00"/>
    <s v="36 months"/>
    <n v="3200"/>
    <n v="2100"/>
    <n v="2100"/>
    <s v="Ready"/>
    <m/>
  </r>
  <r>
    <s v="0000024744TR7DE"/>
    <x v="1"/>
    <x v="1"/>
    <x v="9"/>
    <x v="3"/>
    <m/>
    <s v="101 Port Road,Seaview,Lower Hutt,Wellington Region"/>
    <s v="DOWNER NEW ZEALAND LIMITED (NZBN: 9429039194114)"/>
    <m/>
    <s v="kWh"/>
    <n v="105784.4208037825"/>
    <s v="Meridian"/>
    <s v="Ecotricity"/>
    <d v="2027-01-01T00:00:00"/>
    <d v="2029-12-31T00:00:00"/>
    <s v="36 months"/>
    <n v="20900"/>
    <n v="28400"/>
    <n v="28400"/>
    <s v="Ready"/>
    <m/>
  </r>
  <r>
    <s v="0000025040UN2AE"/>
    <x v="1"/>
    <x v="1"/>
    <x v="9"/>
    <x v="3"/>
    <m/>
    <s v="710 Wharf Road,Coromandel,Waikato Region"/>
    <s v="DOWNER NEW ZEALAND LIMITED (NZBN: 9429039194114)"/>
    <m/>
    <s v="kWh"/>
    <n v="14808.81796690307"/>
    <s v="Meridian"/>
    <s v="Ecotricity"/>
    <d v="2027-01-01T00:00:00"/>
    <d v="2029-12-31T00:00:00"/>
    <s v="36 months"/>
    <n v="4900"/>
    <n v="5800"/>
    <n v="5800"/>
    <s v="Ready"/>
    <m/>
  </r>
  <r>
    <s v="0000028649TRA01"/>
    <x v="1"/>
    <x v="1"/>
    <x v="9"/>
    <x v="3"/>
    <m/>
    <s v="26 Bracken Street,Petone,Lower Hutt,Wellington Region"/>
    <s v="DOWNER NEW ZEALAND LIMITED (NZBN: 9429039194114)"/>
    <m/>
    <s v="kWh"/>
    <n v="24229.78723404255"/>
    <s v="Meridian"/>
    <s v="Ecotricity"/>
    <d v="2027-01-01T00:00:00"/>
    <d v="2029-12-31T00:00:00"/>
    <s v="36 months"/>
    <n v="6100"/>
    <n v="8200"/>
    <n v="8200"/>
    <s v="Ready"/>
    <m/>
  </r>
  <r>
    <s v="0000029575HBC93"/>
    <x v="1"/>
    <x v="1"/>
    <x v="9"/>
    <x v="3"/>
    <m/>
    <s v="1436 Omahu Road,Twyford,Hawke's Bay Region"/>
    <s v="DOWNER NEW ZEALAND LIMITED (NZBN: 9429039194114)"/>
    <m/>
    <s v="kWh"/>
    <n v="87933.14858490566"/>
    <s v="Meridian"/>
    <s v="Ecotricity"/>
    <d v="2027-01-01T00:00:00"/>
    <d v="2029-12-31T00:00:00"/>
    <s v="36 months"/>
    <n v="20700"/>
    <n v="26800"/>
    <n v="26800"/>
    <s v="Ready"/>
    <m/>
  </r>
  <r>
    <s v="0000029746CH3C0"/>
    <x v="1"/>
    <x v="1"/>
    <x v="9"/>
    <x v="3"/>
    <m/>
    <s v="Tamumu Road,Waipawa"/>
    <s v="DOWNER NEW ZEALAND LIMITED (NZBN: 9429039194114)"/>
    <m/>
    <s v="kWh"/>
    <n v="15205.74468085106"/>
    <s v="Meridian"/>
    <s v="Ecotricity"/>
    <d v="2027-01-01T00:00:00"/>
    <d v="2029-12-31T00:00:00"/>
    <s v="36 months"/>
    <n v="6100"/>
    <n v="7100"/>
    <n v="7100"/>
    <s v="Ready"/>
    <m/>
  </r>
  <r>
    <s v="0000030443TR776"/>
    <x v="1"/>
    <x v="1"/>
    <x v="9"/>
    <x v="3"/>
    <m/>
    <s v="Flat 1 69 Hutt Road,Petone,Lower Hutt,Wellington Region"/>
    <s v="DOWNER NEW ZEALAND LIMITED (NZBN: 9429039194114)"/>
    <m/>
    <s v="kWh"/>
    <n v="6507.872340425532"/>
    <s v="Meridian"/>
    <s v="Ecotricity"/>
    <d v="2027-01-01T00:00:00"/>
    <d v="2029-12-31T00:00:00"/>
    <s v="36 months"/>
    <n v="2000"/>
    <n v="3000"/>
    <n v="3000"/>
    <s v="Ready"/>
    <m/>
  </r>
  <r>
    <s v="0000030446TRA39"/>
    <x v="1"/>
    <x v="1"/>
    <x v="9"/>
    <x v="3"/>
    <m/>
    <s v="Flat 3 69 Hutt Road,Petone,Lower Hutt,Wellington Region"/>
    <s v="DOWNER NEW ZEALAND LIMITED (NZBN: 9429039194114)"/>
    <m/>
    <s v="kWh"/>
    <n v="5193.699763593381"/>
    <s v="Meridian"/>
    <s v="Ecotricity"/>
    <d v="2027-01-01T00:00:00"/>
    <d v="2029-12-31T00:00:00"/>
    <s v="36 months"/>
    <n v="1800"/>
    <n v="2600"/>
    <n v="2600"/>
    <s v="Ready"/>
    <m/>
  </r>
  <r>
    <s v="0000041352NT1D5"/>
    <x v="1"/>
    <x v="1"/>
    <x v="8"/>
    <x v="3"/>
    <m/>
    <s v="1 McPherson Street,Richmond,Tasman Region"/>
    <s v="DOWNER NEW ZEALAND LIMITED (NZBN: 9429039194114)"/>
    <m/>
    <s v="kWh"/>
    <n v="21216.59574468085"/>
    <s v="Meridian"/>
    <s v="Ecotricity"/>
    <d v="2027-01-01T00:00:00"/>
    <d v="2029-12-31T00:00:00"/>
    <s v="36 months"/>
    <n v="6700"/>
    <n v="5000"/>
    <n v="5000"/>
    <s v="Ready"/>
    <m/>
  </r>
  <r>
    <s v="0000044234WE347"/>
    <x v="1"/>
    <x v="1"/>
    <x v="9"/>
    <x v="3"/>
    <m/>
    <s v="45 Clem Newby Road,Burbush,Hamilton,Waikato Region"/>
    <s v="DOWNER NEW ZEALAND LIMITED (NZBN: 9429039194114)"/>
    <m/>
    <s v="kWh"/>
    <n v="42182.11627906976"/>
    <s v="Meridian"/>
    <s v="Ecotricity"/>
    <d v="2027-01-01T00:00:00"/>
    <d v="2029-12-31T00:00:00"/>
    <s v="36 months"/>
    <n v="12000"/>
    <n v="14100"/>
    <n v="14100"/>
    <s v="Ready"/>
    <m/>
  </r>
  <r>
    <s v="0000045869HR155"/>
    <x v="1"/>
    <x v="1"/>
    <x v="9"/>
    <x v="3"/>
    <m/>
    <s v="681 Rakaunui Road,Rotokawa,Waikato Region"/>
    <s v="DOWNER NEW ZEALAND LIMITED (NZBN: 9429039194114)"/>
    <m/>
    <s v="kWh"/>
    <n v="42282.18676122931"/>
    <s v="Meridian"/>
    <s v="Ecotricity"/>
    <d v="2027-01-01T00:00:00"/>
    <d v="2029-12-31T00:00:00"/>
    <s v="36 months"/>
    <n v="11400"/>
    <n v="14600"/>
    <n v="14600"/>
    <s v="Ready"/>
    <m/>
  </r>
  <r>
    <s v="0000048678UN93C"/>
    <x v="1"/>
    <x v="1"/>
    <x v="9"/>
    <x v="3"/>
    <m/>
    <s v="58 Firth Street,Matamata,Waikato Region"/>
    <s v="DOWNER NEW ZEALAND LIMITED (NZBN: 9429039194114)"/>
    <m/>
    <s v="kWh"/>
    <n v="17632.51879699248"/>
    <s v="Meridian"/>
    <s v="Ecotricity"/>
    <d v="2027-01-01T00:00:00"/>
    <d v="2029-12-31T00:00:00"/>
    <s v="36 months"/>
    <n v="5500"/>
    <n v="6700"/>
    <n v="6700"/>
    <s v="Ready"/>
    <m/>
  </r>
  <r>
    <s v="0000050496WT310"/>
    <x v="1"/>
    <x v="1"/>
    <x v="8"/>
    <x v="3"/>
    <m/>
    <s v="20 Pukeuri-Oamaru Road,Oamaru North,Oamaru,Otago Region"/>
    <s v="DOWNER NEW ZEALAND LIMITED (NZBN: 9429039194114)"/>
    <m/>
    <s v="kWh"/>
    <n v="2658.152173913043"/>
    <s v="Meridian"/>
    <s v="Ecotricity"/>
    <d v="2027-01-01T00:00:00"/>
    <d v="2029-12-31T00:00:00"/>
    <s v="36 months"/>
    <n v="2300"/>
    <n v="2800"/>
    <n v="2800"/>
    <s v="Ready"/>
    <m/>
  </r>
  <r>
    <s v="0000052765HB960"/>
    <x v="1"/>
    <x v="1"/>
    <x v="9"/>
    <x v="3"/>
    <m/>
    <s v="6 Whangaehu Place,Awatoto,Napier,Hawke's Bay Region"/>
    <s v="DOWNER NEW ZEALAND LIMITED (NZBN: 9429039194114)"/>
    <m/>
    <s v="kWh"/>
    <n v="1946.666666666667"/>
    <s v="Meridian"/>
    <s v="Ecotricity"/>
    <d v="2027-01-01T00:00:00"/>
    <d v="2029-12-31T00:00:00"/>
    <s v="36 months"/>
    <n v="1400"/>
    <n v="1700"/>
    <n v="1700"/>
    <s v="Ready"/>
    <m/>
  </r>
  <r>
    <s v="0000055490UN954"/>
    <x v="1"/>
    <x v="1"/>
    <x v="9"/>
    <x v="3"/>
    <m/>
    <s v="1833B State Highway 1,Tirau"/>
    <s v="DOWNER NEW ZEALAND LIMITED (NZBN: 9429039194114)"/>
    <m/>
    <s v="kWh"/>
    <n v="971.6075650118204"/>
    <s v="Meridian"/>
    <s v="Ecotricity"/>
    <d v="2027-01-01T00:00:00"/>
    <d v="2029-12-31T00:00:00"/>
    <s v="36 months"/>
    <n v="1200"/>
    <n v="1500"/>
    <n v="1500"/>
    <s v="Ready"/>
    <m/>
  </r>
  <r>
    <s v="0000055906UN234"/>
    <x v="1"/>
    <x v="1"/>
    <x v="9"/>
    <x v="3"/>
    <m/>
    <s v="1 DEPOT STREET,TIRAU"/>
    <s v="DOWNER NEW ZEALAND LIMITED (NZBN: 9429039194114)"/>
    <m/>
    <s v="kWh"/>
    <n v="22215.81560283688"/>
    <s v="Meridian"/>
    <s v="Ecotricity"/>
    <d v="2027-01-01T00:00:00"/>
    <d v="2029-12-31T00:00:00"/>
    <s v="36 months"/>
    <n v="6700"/>
    <n v="8100"/>
    <n v="8100"/>
    <s v="Ready"/>
    <m/>
  </r>
  <r>
    <s v="0000055908UN1AF"/>
    <x v="1"/>
    <x v="1"/>
    <x v="9"/>
    <x v="3"/>
    <m/>
    <s v="2 Depot Street,Tirau,Waikato Region"/>
    <s v="DOWNER NEW ZEALAND LIMITED (NZBN: 9429039194114)"/>
    <m/>
    <s v="kWh"/>
    <n v="1970.827423167849"/>
    <s v="Meridian"/>
    <s v="Ecotricity"/>
    <d v="2027-01-01T00:00:00"/>
    <d v="2029-12-31T00:00:00"/>
    <s v="36 months"/>
    <n v="1500"/>
    <n v="1800"/>
    <n v="1800"/>
    <s v="Ready"/>
    <m/>
  </r>
  <r>
    <s v="0000058140WE772"/>
    <x v="1"/>
    <x v="1"/>
    <x v="9"/>
    <x v="3"/>
    <m/>
    <s v="4 Gilchrist Street,Avalon,Hamilton,Waikato Region"/>
    <s v="DOWNER NEW ZEALAND LIMITED (NZBN: 9429039194114)"/>
    <m/>
    <s v="kWh"/>
    <n v="8418.32268370607"/>
    <s v="Meridian"/>
    <s v="Ecotricity"/>
    <d v="2027-01-01T00:00:00"/>
    <d v="2029-12-31T00:00:00"/>
    <s v="36 months"/>
    <n v="3600"/>
    <n v="4400"/>
    <n v="4400"/>
    <s v="Ready"/>
    <m/>
  </r>
  <r>
    <s v="0000058309TR718"/>
    <x v="1"/>
    <x v="1"/>
    <x v="9"/>
    <x v="3"/>
    <m/>
    <s v="237 Paremata Haywards Road,Judgeford,Wellington Region"/>
    <s v="DOWNER NEW ZEALAND LIMITED (NZBN: 9429039194114)"/>
    <m/>
    <s v="kWh"/>
    <n v="17950.49234135667"/>
    <s v="Meridian"/>
    <s v="Ecotricity"/>
    <d v="2027-01-01T00:00:00"/>
    <d v="2029-12-31T00:00:00"/>
    <s v="36 months"/>
    <n v="4000"/>
    <n v="6000"/>
    <n v="6000"/>
    <s v="Ready"/>
    <m/>
  </r>
  <r>
    <s v="0000064350CP5A6"/>
    <x v="1"/>
    <x v="1"/>
    <x v="9"/>
    <x v="3"/>
    <m/>
    <s v="343 Camp Road,Linton,Palmerston North,Manawatu-Wanganui Region"/>
    <s v="DOWNER NEW ZEALAND LIMITED (NZBN: 9429039194114)"/>
    <m/>
    <s v="kWh"/>
    <n v="37534.01265822785"/>
    <s v="Meridian"/>
    <s v="Ecotricity"/>
    <d v="2027-01-01T00:00:00"/>
    <d v="2029-12-31T00:00:00"/>
    <s v="36 months"/>
    <n v="10500"/>
    <n v="12900"/>
    <n v="12900"/>
    <s v="Ready"/>
    <m/>
  </r>
  <r>
    <s v="0000166865CKBDD"/>
    <x v="1"/>
    <x v="1"/>
    <x v="9"/>
    <x v="3"/>
    <m/>
    <s v="32 Florence Street,Newtown,Wellington,Wellington Region"/>
    <s v="DOWNER NEW ZEALAND LIMITED (NZBN: 9429039194114)"/>
    <m/>
    <s v="kWh"/>
    <n v="27888.04846938775"/>
    <s v="Meridian"/>
    <s v="Ecotricity"/>
    <d v="2027-01-01T00:00:00"/>
    <d v="2029-12-31T00:00:00"/>
    <s v="36 months"/>
    <n v="6800"/>
    <n v="9100"/>
    <n v="9100"/>
    <s v="Ready"/>
    <m/>
  </r>
  <r>
    <s v="0000166949CKC92"/>
    <x v="1"/>
    <x v="1"/>
    <x v="9"/>
    <x v="3"/>
    <m/>
    <s v="Level 11 18 Willis Street,Wellington Central,Wellington"/>
    <s v="DOWNER NEW ZEALAND LIMITED (NZBN: 9429039194114)"/>
    <m/>
    <s v="kWh"/>
    <n v="22321.08747044917"/>
    <s v="Meridian"/>
    <s v="Ecotricity"/>
    <d v="2027-01-01T00:00:00"/>
    <d v="2029-12-31T00:00:00"/>
    <s v="36 months"/>
    <n v="5700"/>
    <n v="7700"/>
    <n v="7700"/>
    <s v="Ready"/>
    <m/>
  </r>
  <r>
    <s v="0000170681CKB47"/>
    <x v="1"/>
    <x v="1"/>
    <x v="9"/>
    <x v="3"/>
    <m/>
    <s v="54 Martingale Drive,Whitby,Porirua,Wellington Region"/>
    <s v="DOWNER NEW ZEALAND LIMITED (NZBN: 9429039194114)"/>
    <m/>
    <s v="kWh"/>
    <n v="4504.255319148936"/>
    <s v="Meridian"/>
    <s v="Ecotricity"/>
    <d v="2027-01-01T00:00:00"/>
    <d v="2029-12-31T00:00:00"/>
    <s v="36 months"/>
    <n v="1600"/>
    <n v="2400"/>
    <n v="2400"/>
    <s v="Ready"/>
    <m/>
  </r>
  <r>
    <s v="0000172164CK0F0"/>
    <x v="1"/>
    <x v="1"/>
    <x v="9"/>
    <x v="3"/>
    <m/>
    <s v="BTS - END OF PORIRA PARK AND RIDE LOT2 DP12953 STATE HIGHWAY 59,PORIRUA CITY CENTRE,PORIRUA"/>
    <s v="DOWNER NEW ZEALAND LIMITED (NZBN: 9429039194114)"/>
    <m/>
    <s v="kWh"/>
    <n v="12295.52699228792"/>
    <s v="Meridian"/>
    <s v="Ecotricity"/>
    <d v="2027-01-01T00:00:00"/>
    <d v="2029-12-31T00:00:00"/>
    <s v="36 months"/>
    <n v="3900"/>
    <n v="5300"/>
    <n v="5300"/>
    <s v="Ready"/>
    <m/>
  </r>
  <r>
    <s v="0000172288CKA57"/>
    <x v="1"/>
    <x v="1"/>
    <x v="9"/>
    <x v="3"/>
    <m/>
    <s v="21 2 Campbell Terrace,Petone,Lower Hutt"/>
    <s v="DOWNER NEW ZEALAND LIMITED (NZBN: 9429039194114)"/>
    <m/>
    <s v="kWh"/>
    <n v="1009.574468085106"/>
    <s v="Meridian"/>
    <s v="Ecotricity"/>
    <d v="2027-01-01T00:00:00"/>
    <d v="2029-12-31T00:00:00"/>
    <s v="36 months"/>
    <n v="1000"/>
    <n v="1400"/>
    <n v="1400"/>
    <s v="Ready"/>
    <m/>
  </r>
  <r>
    <s v="0000175917CKD00"/>
    <x v="1"/>
    <x v="1"/>
    <x v="9"/>
    <x v="3"/>
    <m/>
    <s v="95A Tirangi Road,Rongotai,Wellington,Wellington Region"/>
    <s v="DOWNER NEW ZEALAND LIMITED (NZBN: 9429039194114)"/>
    <m/>
    <s v="kWh"/>
    <n v="9842.574468085106"/>
    <s v="Meridian"/>
    <s v="Ecotricity"/>
    <d v="2027-01-01T00:00:00"/>
    <d v="2029-12-31T00:00:00"/>
    <s v="36 months"/>
    <n v="3700"/>
    <n v="4700"/>
    <n v="4700"/>
    <s v="Ready"/>
    <m/>
  </r>
  <r>
    <s v="0000188682UNB66"/>
    <x v="1"/>
    <x v="1"/>
    <x v="9"/>
    <x v="3"/>
    <m/>
    <s v="WAITOKI ROAD,HELENSVILLE,AUCKLAND"/>
    <s v="DOWNER NEW ZEALAND LIMITED (NZBN: 9429039194114)"/>
    <m/>
    <s v="kWh"/>
    <n v="16550.11820330969"/>
    <s v="Meridian"/>
    <s v="Ecotricity"/>
    <d v="2027-01-01T00:00:00"/>
    <d v="2029-12-31T00:00:00"/>
    <s v="36 months"/>
    <n v="4600"/>
    <n v="5000"/>
    <n v="5000"/>
    <s v="Ready"/>
    <m/>
  </r>
  <r>
    <s v="0000188684UNAE9"/>
    <x v="1"/>
    <x v="1"/>
    <x v="9"/>
    <x v="3"/>
    <m/>
    <s v="WAITOKI ROAD,DAIRY FLAT,AUCKLAND"/>
    <s v="DOWNER NEW ZEALAND LIMITED (NZBN: 9429039194114)"/>
    <m/>
    <s v="kWh"/>
    <n v="23071.79669030733"/>
    <s v="Meridian"/>
    <s v="Ecotricity"/>
    <d v="2027-01-01T00:00:00"/>
    <d v="2029-12-31T00:00:00"/>
    <s v="36 months"/>
    <n v="5800"/>
    <n v="6300"/>
    <n v="6300"/>
    <s v="Ready"/>
    <m/>
  </r>
  <r>
    <s v="0000207625DE64D"/>
    <x v="1"/>
    <x v="1"/>
    <x v="8"/>
    <x v="3"/>
    <m/>
    <s v="133 Main South Road,Green Island,Dunedin,Otago Region"/>
    <s v="DOWNER NEW ZEALAND LIMITED (NZBN: 9429039194114)"/>
    <m/>
    <s v="kWh"/>
    <n v="108486.9739952719"/>
    <s v="Meridian"/>
    <s v="Ecotricity"/>
    <d v="2027-01-01T00:00:00"/>
    <d v="2029-12-31T00:00:00"/>
    <s v="36 months"/>
    <n v="29300"/>
    <n v="23700"/>
    <n v="23700"/>
    <s v="Ready"/>
    <m/>
  </r>
  <r>
    <s v="0000212636WE1AF"/>
    <x v="1"/>
    <x v="1"/>
    <x v="9"/>
    <x v="3"/>
    <m/>
    <s v="16 Manchester Place,Te Rapa,Hamilton,Waikato Region"/>
    <s v="DOWNER NEW ZEALAND LIMITED (NZBN: 9429039194114)"/>
    <m/>
    <s v="kWh"/>
    <n v="47211.84397163121"/>
    <s v="Meridian"/>
    <s v="Ecotricity"/>
    <d v="2027-01-01T00:00:00"/>
    <d v="2029-12-31T00:00:00"/>
    <s v="36 months"/>
    <n v="13300"/>
    <n v="15900"/>
    <n v="15900"/>
    <s v="Ready"/>
    <m/>
  </r>
  <r>
    <s v="0000260933MP6FD"/>
    <x v="1"/>
    <x v="1"/>
    <x v="8"/>
    <x v="3"/>
    <m/>
    <s v="PUMP LEWIS PASS ROAD,LEWIS PASS"/>
    <s v="DOWNER NEW ZEALAND LIMITED (NZBN: 9429039194114)"/>
    <m/>
    <s v="kWh"/>
    <n v="4774.776315789473"/>
    <s v="Meridian"/>
    <s v="Ecotricity"/>
    <d v="2027-01-01T00:00:00"/>
    <d v="2029-12-31T00:00:00"/>
    <s v="36 months"/>
    <n v="3300"/>
    <n v="3700"/>
    <n v="3700"/>
    <s v="Ready"/>
    <m/>
  </r>
  <r>
    <s v="0000260936MPBB2"/>
    <x v="1"/>
    <x v="1"/>
    <x v="8"/>
    <x v="3"/>
    <m/>
    <s v="WORKSHOP LEWIS PASS LEWIS PASS ROAD,LEWIS PASS"/>
    <s v="DOWNER NEW ZEALAND LIMITED (NZBN: 9429039194114)"/>
    <m/>
    <s v="kWh"/>
    <n v="14698.36879432624"/>
    <s v="Meridian"/>
    <s v="Ecotricity"/>
    <d v="2027-01-01T00:00:00"/>
    <d v="2029-12-31T00:00:00"/>
    <s v="36 months"/>
    <n v="5400"/>
    <n v="6200"/>
    <n v="6200"/>
    <s v="Ready"/>
    <m/>
  </r>
  <r>
    <s v="0000312551WT450"/>
    <x v="1"/>
    <x v="1"/>
    <x v="8"/>
    <x v="3"/>
    <m/>
    <s v="60 BUSHY BEACH ROAD,South Hill,Oamaru"/>
    <s v="DOWNER NEW ZEALAND LIMITED (NZBN: 9429039194114)"/>
    <m/>
    <s v="kWh"/>
    <n v="15185.03546099291"/>
    <s v="Meridian"/>
    <s v="Ecotricity"/>
    <d v="2027-01-01T00:00:00"/>
    <d v="2029-12-31T00:00:00"/>
    <s v="36 months"/>
    <n v="4700"/>
    <n v="5700"/>
    <n v="5700"/>
    <s v="Ready"/>
    <m/>
  </r>
  <r>
    <s v="0000351696EN0A9"/>
    <x v="1"/>
    <x v="1"/>
    <x v="9"/>
    <x v="3"/>
    <m/>
    <s v="4750 MAIN ROAD,TE PUIA SPRINGS,TE PUIA"/>
    <s v="DOWNER NEW ZEALAND LIMITED (NZBN: 9429039194114)"/>
    <m/>
    <s v="kWh"/>
    <n v="200"/>
    <s v="Meridian"/>
    <s v="Ecotricity"/>
    <d v="2027-01-01T00:00:00"/>
    <d v="2029-12-31T00:00:00"/>
    <s v="36 months"/>
    <n v="1500"/>
    <n v="1900"/>
    <n v="1900"/>
    <s v="Ready"/>
    <m/>
  </r>
  <r>
    <s v="0000351698EN332"/>
    <x v="1"/>
    <x v="1"/>
    <x v="9"/>
    <x v="3"/>
    <m/>
    <s v="6 WAIPIRO ROAD,TE PUIA SPRINGS,TE PUIA"/>
    <s v="DOWNER NEW ZEALAND LIMITED (NZBN: 9429039194114)"/>
    <m/>
    <s v="kWh"/>
    <n v="7362.127659574468"/>
    <s v="Meridian"/>
    <s v="Ecotricity"/>
    <d v="2027-01-01T00:00:00"/>
    <d v="2029-12-31T00:00:00"/>
    <s v="36 months"/>
    <n v="6800"/>
    <n v="7900"/>
    <n v="7900"/>
    <s v="Ready"/>
    <m/>
  </r>
  <r>
    <s v="0000382532TPE86"/>
    <x v="1"/>
    <x v="1"/>
    <x v="8"/>
    <x v="3"/>
    <m/>
    <s v="MID DOME ROAD,MOSSBURN"/>
    <s v="DOWNER NEW ZEALAND LIMITED (NZBN: 9429039194114)"/>
    <m/>
    <s v="kWh"/>
    <n v="1006.12293144208"/>
    <s v="Meridian"/>
    <s v="Ecotricity"/>
    <d v="2027-01-01T00:00:00"/>
    <d v="2029-12-31T00:00:00"/>
    <s v="36 months"/>
    <n v="1100"/>
    <n v="1500"/>
    <n v="1500"/>
    <s v="Ready"/>
    <m/>
  </r>
  <r>
    <s v="0000386961TP0C2"/>
    <x v="1"/>
    <x v="1"/>
    <x v="8"/>
    <x v="3"/>
    <m/>
    <s v="1036 Hillside Manapouri Road,Manapouri,Southland Region"/>
    <s v="DOWNER NEW ZEALAND LIMITED (NZBN: 9429039194114)"/>
    <m/>
    <s v="kWh"/>
    <n v="2393.640661938534"/>
    <s v="Meridian"/>
    <s v="Ecotricity"/>
    <d v="2027-01-01T00:00:00"/>
    <d v="2029-12-31T00:00:00"/>
    <s v="36 months"/>
    <n v="1500"/>
    <n v="1800"/>
    <n v="1800"/>
    <s v="Ready"/>
    <m/>
  </r>
  <r>
    <s v="0000405525TP7AF"/>
    <x v="1"/>
    <x v="1"/>
    <x v="8"/>
    <x v="3"/>
    <m/>
    <s v="29 Caswell Road,Te Anau,Southland Region"/>
    <s v="DOWNER NEW ZEALAND LIMITED (NZBN: 9429039194114)"/>
    <m/>
    <s v="kWh"/>
    <n v="74992.39952718676"/>
    <s v="Meridian"/>
    <s v="Ecotricity"/>
    <d v="2027-01-01T00:00:00"/>
    <d v="2029-12-31T00:00:00"/>
    <s v="36 months"/>
    <n v="20500"/>
    <n v="25600"/>
    <n v="25600"/>
    <s v="Ready"/>
    <m/>
  </r>
  <r>
    <s v="0000408379TP09F"/>
    <x v="1"/>
    <x v="1"/>
    <x v="8"/>
    <x v="3"/>
    <m/>
    <s v="103 Howden Street,Te Anau,Southland Region"/>
    <s v="DOWNER NEW ZEALAND LIMITED (NZBN: 9429039194114)"/>
    <m/>
    <s v="kWh"/>
    <n v="11054.40898345154"/>
    <s v="Meridian"/>
    <s v="Ecotricity"/>
    <d v="2027-01-01T00:00:00"/>
    <d v="2029-12-31T00:00:00"/>
    <s v="36 months"/>
    <n v="3400"/>
    <n v="4500"/>
    <n v="4500"/>
    <s v="Ready"/>
    <m/>
  </r>
  <r>
    <s v="0000485414CE4EE"/>
    <x v="1"/>
    <x v="1"/>
    <x v="8"/>
    <x v="3"/>
    <m/>
    <s v="7 Jock Boyd Place,Frankton,Queenstown,Otago Region"/>
    <s v="DOWNER NEW ZEALAND LIMITED (NZBN: 9429039194114)"/>
    <m/>
    <s v="kWh"/>
    <n v="42589.37352245863"/>
    <s v="Meridian"/>
    <s v="Ecotricity"/>
    <d v="2027-01-01T00:00:00"/>
    <d v="2029-12-31T00:00:00"/>
    <s v="36 months"/>
    <n v="9700"/>
    <n v="9500"/>
    <n v="9500"/>
    <s v="Ready"/>
    <m/>
  </r>
  <r>
    <s v="0000486901CE4E4"/>
    <x v="1"/>
    <x v="1"/>
    <x v="8"/>
    <x v="3"/>
    <m/>
    <s v="WORKS INF; SEC 5 SO 22536 LUGGATE CROMWELL ROAD,PARKBURN,LUGGATE"/>
    <s v="DOWNER NEW ZEALAND LIMITED (NZBN: 9429039194114)"/>
    <m/>
    <s v="kWh"/>
    <n v="115651.5011820331"/>
    <s v="Meridian"/>
    <s v="Ecotricity"/>
    <d v="2027-01-01T00:00:00"/>
    <d v="2029-12-31T00:00:00"/>
    <s v="36 months"/>
    <n v="30000"/>
    <n v="25100"/>
    <n v="25100"/>
    <s v="Ready"/>
    <m/>
  </r>
  <r>
    <s v="0000517047DE2D4"/>
    <x v="1"/>
    <x v="1"/>
    <x v="8"/>
    <x v="3"/>
    <m/>
    <s v="Unit 3 53 Albert Street,St Clair,Dunedin"/>
    <s v="DOWNER NEW ZEALAND LIMITED (NZBN: 9429039194114)"/>
    <m/>
    <s v="kWh"/>
    <n v="4557.75413711584"/>
    <s v="Meridian"/>
    <s v="Ecotricity"/>
    <d v="2027-01-01T00:00:00"/>
    <d v="2029-12-31T00:00:00"/>
    <s v="36 months"/>
    <n v="1700"/>
    <n v="2700"/>
    <n v="2700"/>
    <s v="Ready"/>
    <m/>
  </r>
  <r>
    <s v="0000526222NR65B"/>
    <x v="1"/>
    <x v="1"/>
    <x v="9"/>
    <x v="3"/>
    <m/>
    <s v="6 Day Street,Dargaville,Northland Region"/>
    <s v="DOWNER NEW ZEALAND LIMITED (NZBN: 9429039194114)"/>
    <m/>
    <s v="kWh"/>
    <n v="9537.458628841609"/>
    <s v="Meridian"/>
    <s v="Ecotricity"/>
    <d v="2027-01-01T00:00:00"/>
    <d v="2029-12-31T00:00:00"/>
    <s v="36 months"/>
    <n v="4100"/>
    <n v="4900"/>
    <n v="4900"/>
    <s v="Ready"/>
    <m/>
  </r>
  <r>
    <s v="0000548841NR5F9"/>
    <x v="1"/>
    <x v="1"/>
    <x v="9"/>
    <x v="3"/>
    <m/>
    <s v="Office PORT ROAD,WHANGAREI"/>
    <s v="DOWNER NEW ZEALAND LIMITED (NZBN: 9429039194114)"/>
    <m/>
    <s v="kWh"/>
    <n v="42082.94486215539"/>
    <s v="Meridian"/>
    <s v="Ecotricity"/>
    <d v="2027-01-01T00:00:00"/>
    <d v="2029-12-31T00:00:00"/>
    <s v="36 months"/>
    <n v="12600"/>
    <n v="15000"/>
    <n v="15000"/>
    <s v="Ready"/>
    <m/>
  </r>
  <r>
    <s v="0000549182NR67F"/>
    <x v="1"/>
    <x v="1"/>
    <x v="9"/>
    <x v="3"/>
    <m/>
    <s v="WORKSHOP PORT ROAD,WHANGAREI"/>
    <s v="DOWNER NEW ZEALAND LIMITED (NZBN: 9429039194114)"/>
    <m/>
    <s v="kWh"/>
    <n v="35317.84869976359"/>
    <s v="Meridian"/>
    <s v="Ecotricity"/>
    <d v="2027-01-01T00:00:00"/>
    <d v="2029-12-31T00:00:00"/>
    <s v="36 months"/>
    <n v="10900"/>
    <n v="12900"/>
    <n v="12900"/>
    <s v="Ready"/>
    <m/>
  </r>
  <r>
    <s v="0000560159NR084"/>
    <x v="1"/>
    <x v="1"/>
    <x v="9"/>
    <x v="3"/>
    <m/>
    <s v="32 Hurndall Street East,Maungaturoto"/>
    <s v="DOWNER NEW ZEALAND LIMITED (NZBN: 9429039194114)"/>
    <m/>
    <s v="kWh"/>
    <n v="9631.002444987775"/>
    <s v="Meridian"/>
    <s v="Ecotricity"/>
    <d v="2027-01-01T00:00:00"/>
    <d v="2029-12-31T00:00:00"/>
    <s v="36 months"/>
    <n v="4100"/>
    <n v="5000"/>
    <n v="5000"/>
    <s v="Ready"/>
    <m/>
  </r>
  <r>
    <s v="0000584375WTD6A"/>
    <x v="1"/>
    <x v="1"/>
    <x v="8"/>
    <x v="3"/>
    <m/>
    <s v="5330B STATION PEAK,STATION PEAK,KUROW"/>
    <s v="DOWNER NEW ZEALAND LIMITED (NZBN: 9429039194114)"/>
    <m/>
    <s v="kWh"/>
    <n v="1597.443890274314"/>
    <s v="Meridian"/>
    <s v="Ecotricity"/>
    <d v="2027-01-01T00:00:00"/>
    <d v="2029-12-31T00:00:00"/>
    <s v="36 months"/>
    <n v="3000"/>
    <n v="3500"/>
    <n v="3500"/>
    <s v="Ready"/>
    <m/>
  </r>
  <r>
    <s v="0000624842MP24B"/>
    <x v="1"/>
    <x v="1"/>
    <x v="8"/>
    <x v="3"/>
    <m/>
    <s v="BUSINESS OPPOSITE 86 KOWHAI FORD ROAD,KAIKOURA"/>
    <s v="DOWNER NEW ZEALAND LIMITED (NZBN: 9429039194114)"/>
    <m/>
    <s v="kWh"/>
    <n v="58753.01767676767"/>
    <s v="Meridian"/>
    <s v="Ecotricity"/>
    <d v="2027-01-01T00:00:00"/>
    <d v="2029-12-31T00:00:00"/>
    <s v="36 months"/>
    <n v="14200"/>
    <n v="17600"/>
    <n v="17600"/>
    <s v="Ready"/>
    <m/>
  </r>
  <r>
    <s v="0000660398UN329"/>
    <x v="1"/>
    <x v="1"/>
    <x v="9"/>
    <x v="3"/>
    <m/>
    <s v="Unit 2B 3 William Pickering Drive,Rosedale,Auckland"/>
    <s v="DOWNER NEW ZEALAND LIMITED (NZBN: 9429039194114)"/>
    <m/>
    <s v="kWh"/>
    <n v="3844.148936170212"/>
    <s v="Meridian"/>
    <s v="Ecotricity"/>
    <d v="2027-01-01T00:00:00"/>
    <d v="2029-12-31T00:00:00"/>
    <s v="36 months"/>
    <n v="1900"/>
    <n v="2300"/>
    <n v="2300"/>
    <s v="Ready"/>
    <m/>
  </r>
  <r>
    <s v="0000700385MP041"/>
    <x v="1"/>
    <x v="1"/>
    <x v="8"/>
    <x v="3"/>
    <m/>
    <s v="DOWNER MAUI STREET,KAIKOURA"/>
    <s v="DOWNER NEW ZEALAND LIMITED (NZBN: 9429039194114)"/>
    <m/>
    <s v="kWh"/>
    <n v="1050.130023640662"/>
    <s v="Meridian"/>
    <s v="Ecotricity"/>
    <d v="2027-01-01T00:00:00"/>
    <d v="2029-12-31T00:00:00"/>
    <s v="36 months"/>
    <n v="2600"/>
    <n v="2800"/>
    <n v="2800"/>
    <s v="Ready"/>
    <m/>
  </r>
  <r>
    <s v="0000700787MPCC5"/>
    <x v="1"/>
    <x v="1"/>
    <x v="8"/>
    <x v="3"/>
    <m/>
    <s v="58 Grays Road,Amberley,Canterbury Region"/>
    <s v="DOWNER NEW ZEALAND LIMITED (NZBN: 9429039194114)"/>
    <m/>
    <s v="kWh"/>
    <n v="3791.513002364066"/>
    <s v="Meridian"/>
    <s v="Ecotricity"/>
    <d v="2027-01-01T00:00:00"/>
    <d v="2029-12-31T00:00:00"/>
    <s v="36 months"/>
    <n v="3100"/>
    <n v="3500"/>
    <n v="3500"/>
    <s v="Ready"/>
    <m/>
  </r>
  <r>
    <s v="0000721777NV28C"/>
    <x v="1"/>
    <x v="1"/>
    <x v="8"/>
    <x v="3"/>
    <m/>
    <s v="45025 LINE DEPOT &amp; WORKSH - Invercargill workshop 185 LIDDEL STREET,INVERCARGILL"/>
    <s v="DOWNER NEW ZEALAND LIMITED (NZBN: 9429039194114)"/>
    <m/>
    <s v="kWh"/>
    <n v="13574.89361702128"/>
    <s v="Meridian"/>
    <s v="Ecotricity"/>
    <d v="2027-01-01T00:00:00"/>
    <d v="2029-12-31T00:00:00"/>
    <s v="36 months"/>
    <n v="4000"/>
    <n v="5200"/>
    <n v="5200"/>
    <s v="Ready"/>
    <m/>
  </r>
  <r>
    <s v="0000922160TUF69"/>
    <x v="1"/>
    <x v="1"/>
    <x v="9"/>
    <x v="3"/>
    <m/>
    <s v="19 Station Road,Te Puke,Bay of Plenty Region"/>
    <s v="DOWNER NEW ZEALAND LIMITED (NZBN: 9429039194114)"/>
    <m/>
    <s v="kWh"/>
    <n v="4472.328605200945"/>
    <s v="Meridian"/>
    <s v="Ecotricity"/>
    <d v="2027-01-01T00:00:00"/>
    <d v="2029-12-31T00:00:00"/>
    <s v="36 months"/>
    <n v="2000"/>
    <n v="2500"/>
    <n v="2500"/>
    <s v="Ready"/>
    <m/>
  </r>
  <r>
    <s v="0000933506TU456"/>
    <x v="1"/>
    <x v="1"/>
    <x v="9"/>
    <x v="3"/>
    <m/>
    <s v="763 State Highway 29,Tauriko,Tauranga,Bay of Plenty Region"/>
    <s v="DOWNER NEW ZEALAND LIMITED (NZBN: 9429039194114)"/>
    <m/>
    <s v="kWh"/>
    <n v="7981.678486997636"/>
    <s v="Meridian"/>
    <s v="Ecotricity"/>
    <d v="2027-01-01T00:00:00"/>
    <d v="2029-12-31T00:00:00"/>
    <s v="36 months"/>
    <n v="2700"/>
    <n v="3500"/>
    <n v="3500"/>
    <s v="Ready"/>
    <m/>
  </r>
  <r>
    <s v="0000935815TU2F3"/>
    <x v="1"/>
    <x v="1"/>
    <x v="9"/>
    <x v="3"/>
    <m/>
    <s v="52 Links View Drive,Tauranga"/>
    <s v="DOWNER NEW ZEALAND LIMITED (NZBN: 9429039194114)"/>
    <m/>
    <s v="kWh"/>
    <n v="3084.838709677419"/>
    <s v="Meridian"/>
    <s v="Ecotricity"/>
    <d v="2027-01-01T00:00:00"/>
    <d v="2029-12-31T00:00:00"/>
    <s v="36 months"/>
    <n v="1500"/>
    <n v="2000"/>
    <n v="2000"/>
    <s v="Ready"/>
    <m/>
  </r>
  <r>
    <s v="0000967277TU7B8"/>
    <x v="1"/>
    <x v="1"/>
    <x v="9"/>
    <x v="3"/>
    <m/>
    <s v="11 Manuka Street,Tauhara,Taupo,Waikato Region"/>
    <s v="DOWNER NEW ZEALAND LIMITED (NZBN: 9429039194114)"/>
    <m/>
    <s v="kWh"/>
    <n v="24502.45862884161"/>
    <s v="Meridian"/>
    <s v="Ecotricity"/>
    <d v="2027-01-01T00:00:00"/>
    <d v="2029-12-31T00:00:00"/>
    <s v="36 months"/>
    <n v="8000"/>
    <n v="10100"/>
    <n v="10100"/>
    <s v="Ready"/>
    <m/>
  </r>
  <r>
    <s v="0000968029TUF4C"/>
    <x v="1"/>
    <x v="1"/>
    <x v="9"/>
    <x v="3"/>
    <m/>
    <s v="34 Monokia Street,Fairy Springs,Rotorua,Bay of Plenty Region"/>
    <s v="DOWNER NEW ZEALAND LIMITED (NZBN: 9429039194114)"/>
    <m/>
    <s v="kWh"/>
    <n v="12055.60532687651"/>
    <s v="Meridian"/>
    <s v="Ecotricity"/>
    <d v="2027-01-01T00:00:00"/>
    <d v="2029-12-31T00:00:00"/>
    <s v="36 months"/>
    <n v="5500"/>
    <n v="6900"/>
    <n v="6900"/>
    <s v="Ready"/>
    <m/>
  </r>
  <r>
    <s v="0001001775PCC89"/>
    <x v="1"/>
    <x v="1"/>
    <x v="9"/>
    <x v="3"/>
    <m/>
    <s v="ASHPALT OFFICE RIFLERANGE ROAD,NEW PLYMOUTH"/>
    <s v="DOWNER NEW ZEALAND LIMITED (NZBN: 9429039194114)"/>
    <m/>
    <s v="kWh"/>
    <n v="164843.4959349594"/>
    <s v="Meridian"/>
    <s v="Ecotricity"/>
    <d v="2027-01-01T00:00:00"/>
    <d v="2029-12-31T00:00:00"/>
    <s v="36 months"/>
    <n v="43300"/>
    <n v="53000"/>
    <n v="53000"/>
    <s v="Ready"/>
    <m/>
  </r>
  <r>
    <s v="0001051206TG35C"/>
    <x v="1"/>
    <x v="1"/>
    <x v="8"/>
    <x v="3"/>
    <m/>
    <s v="1192 Goodwood Road,Palmerston,Otago Region"/>
    <s v="DOWNER NEW ZEALAND LIMITED (NZBN: 9429039194114)"/>
    <m/>
    <s v="kWh"/>
    <n v="1974.813432835821"/>
    <s v="Meridian"/>
    <s v="Ecotricity"/>
    <d v="2027-01-01T00:00:00"/>
    <d v="2029-12-31T00:00:00"/>
    <s v="36 months"/>
    <n v="1800"/>
    <n v="300"/>
    <n v="300"/>
    <s v="Ready"/>
    <m/>
  </r>
  <r>
    <s v="0001129467MLF12"/>
    <x v="1"/>
    <x v="1"/>
    <x v="8"/>
    <x v="3"/>
    <m/>
    <s v="33 Old Renwick Road,Springlands,Blenheim,Marlborough Region"/>
    <s v="DOWNER NEW ZEALAND LIMITED (NZBN: 9429039194114)"/>
    <m/>
    <s v="kWh"/>
    <n v="452.1513002364066"/>
    <s v="Meridian"/>
    <s v="Ecotricity"/>
    <d v="2027-01-01T00:00:00"/>
    <d v="2029-12-31T00:00:00"/>
    <s v="36 months"/>
    <n v="1600"/>
    <n v="2100"/>
    <n v="2100"/>
    <s v="Ready"/>
    <m/>
  </r>
  <r>
    <s v="0001259077UN7C4"/>
    <x v="1"/>
    <x v="1"/>
    <x v="9"/>
    <x v="3"/>
    <m/>
    <s v="2B William Pickering Drive,Rosedale,Auckland,Auckland Region"/>
    <s v="DOWNER NEW ZEALAND LIMITED (NZBN: 9429039194114)"/>
    <m/>
    <s v="kWh"/>
    <n v="21618.69976359338"/>
    <s v="Meridian"/>
    <s v="Ecotricity"/>
    <d v="2027-01-01T00:00:00"/>
    <d v="2029-12-31T00:00:00"/>
    <s v="36 months"/>
    <n v="5500"/>
    <n v="6000"/>
    <n v="6000"/>
    <s v="Ready"/>
    <m/>
  </r>
  <r>
    <s v="0001302906EN76C"/>
    <x v="1"/>
    <x v="1"/>
    <x v="9"/>
    <x v="3"/>
    <m/>
    <s v="187 Awapuni Road,Awapuni,Gisborne,Gisborne Region"/>
    <s v="DOWNER NEW ZEALAND LIMITED (NZBN: 9429039194114)"/>
    <m/>
    <s v="kWh"/>
    <n v="116472.9669030733"/>
    <s v="Meridian"/>
    <s v="Ecotricity"/>
    <d v="2027-01-01T00:00:00"/>
    <d v="2029-12-31T00:00:00"/>
    <s v="36 months"/>
    <n v="36300"/>
    <n v="36900"/>
    <n v="36900"/>
    <s v="Ready"/>
    <m/>
  </r>
  <r>
    <s v="0001302909EN8B2"/>
    <x v="1"/>
    <x v="1"/>
    <x v="9"/>
    <x v="3"/>
    <m/>
    <s v="200 Stanley Road,Awapuni,Gisborne,Gisborne Region"/>
    <s v="DOWNER NEW ZEALAND LIMITED (NZBN: 9429039194114)"/>
    <m/>
    <s v="kWh"/>
    <n v="133.8630806845966"/>
    <s v="Meridian"/>
    <s v="Ecotricity"/>
    <d v="2027-01-01T00:00:00"/>
    <d v="2029-12-31T00:00:00"/>
    <s v="36 months"/>
    <n v="1500"/>
    <n v="1800"/>
    <n v="1800"/>
    <s v="Ready"/>
    <m/>
  </r>
  <r>
    <s v="0001302912ENCCB"/>
    <x v="1"/>
    <x v="1"/>
    <x v="9"/>
    <x v="3"/>
    <m/>
    <s v="187 Awapuni Road,Awapuni,Gisborne,Gisborne Region"/>
    <s v="DOWNER NEW ZEALAND LIMITED (NZBN: 9429039194114)"/>
    <m/>
    <s v="kWh"/>
    <n v="25629.3853427896"/>
    <s v="Meridian"/>
    <s v="Ecotricity"/>
    <d v="2027-01-01T00:00:00"/>
    <d v="2029-12-31T00:00:00"/>
    <s v="36 months"/>
    <n v="7100"/>
    <n v="8400"/>
    <n v="8400"/>
    <s v="Ready"/>
    <m/>
  </r>
  <r>
    <s v="0001428711HRE6D"/>
    <x v="1"/>
    <x v="1"/>
    <x v="9"/>
    <x v="3"/>
    <m/>
    <s v="35A Matai Street,TAUPO"/>
    <s v="DOWNER NEW ZEALAND LIMITED (NZBN: 9429039194114)"/>
    <m/>
    <s v="kWh"/>
    <n v="14077.95508274232"/>
    <s v="Meridian"/>
    <s v="Ecotricity"/>
    <d v="2027-01-01T00:00:00"/>
    <d v="2029-12-31T00:00:00"/>
    <s v="36 months"/>
    <n v="5700"/>
    <n v="5600"/>
    <n v="5600"/>
    <s v="Ready"/>
    <m/>
  </r>
  <r>
    <s v="0001429135HR594"/>
    <x v="1"/>
    <x v="1"/>
    <x v="9"/>
    <x v="3"/>
    <m/>
    <s v="35 Matai Street,Tauhara,Taupo,Waikato Region"/>
    <s v="DOWNER NEW ZEALAND LIMITED (NZBN: 9429039194114)"/>
    <m/>
    <s v="kWh"/>
    <n v="17482.89598108747"/>
    <s v="Meridian"/>
    <s v="Ecotricity"/>
    <d v="2027-01-01T00:00:00"/>
    <d v="2029-12-31T00:00:00"/>
    <s v="36 months"/>
    <n v="6300"/>
    <n v="6700"/>
    <n v="6700"/>
    <s v="Ready"/>
    <m/>
  </r>
  <r>
    <s v="0001430190TG470"/>
    <x v="1"/>
    <x v="1"/>
    <x v="8"/>
    <x v="3"/>
    <m/>
    <s v="11 Athol Place,Balclutha,Otago Region"/>
    <s v="DOWNER NEW ZEALAND LIMITED (NZBN: 9429039194114)"/>
    <m/>
    <s v="kWh"/>
    <n v="4021.903073286051"/>
    <s v="Meridian"/>
    <s v="Ecotricity"/>
    <d v="2027-01-01T00:00:00"/>
    <d v="2029-12-31T00:00:00"/>
    <s v="36 months"/>
    <n v="2400"/>
    <n v="300"/>
    <n v="300"/>
    <s v="Ready"/>
    <m/>
  </r>
  <r>
    <s v="0001430191TG835"/>
    <x v="1"/>
    <x v="1"/>
    <x v="8"/>
    <x v="3"/>
    <m/>
    <s v="11 Athol Place,Balclutha,Otago Region"/>
    <s v="DOWNER NEW ZEALAND LIMITED (NZBN: 9429039194114)"/>
    <m/>
    <s v="kWh"/>
    <n v="55.54347826086957"/>
    <s v="Meridian"/>
    <s v="Ecotricity"/>
    <d v="2027-01-01T00:00:00"/>
    <d v="2029-12-31T00:00:00"/>
    <s v="36 months"/>
    <n v="1700"/>
    <n v="300"/>
    <n v="300"/>
    <s v="Ready"/>
    <m/>
  </r>
  <r>
    <s v="0001430880PC7ED"/>
    <x v="1"/>
    <x v="1"/>
    <x v="9"/>
    <x v="3"/>
    <m/>
    <s v="149 Vivian Street,New Plymouth,Taranaki Region"/>
    <s v="DOWNER NEW ZEALAND LIMITED (NZBN: 9429039194114)"/>
    <m/>
    <s v="kWh"/>
    <n v="12587.75413711584"/>
    <s v="Meridian"/>
    <s v="Ecotricity"/>
    <d v="2027-01-01T00:00:00"/>
    <d v="2029-12-31T00:00:00"/>
    <s v="36 months"/>
    <n v="4100"/>
    <n v="5100"/>
    <n v="5100"/>
    <s v="Ready"/>
    <m/>
  </r>
  <r>
    <s v="0001620723TGC3D"/>
    <x v="1"/>
    <x v="1"/>
    <x v="8"/>
    <x v="3"/>
    <m/>
    <s v="23 Irvine Street,Lawrence"/>
    <s v="DOWNER NEW ZEALAND LIMITED (NZBN: 9429039194114)"/>
    <m/>
    <s v="kWh"/>
    <n v="1661.314432989691"/>
    <s v="Meridian"/>
    <s v="Ecotricity"/>
    <d v="2027-01-01T00:00:00"/>
    <d v="2029-12-31T00:00:00"/>
    <s v="36 months"/>
    <n v="1800"/>
    <n v="300"/>
    <n v="300"/>
    <s v="Ready"/>
    <m/>
  </r>
  <r>
    <s v="0001702030PCB8A"/>
    <x v="1"/>
    <x v="1"/>
    <x v="9"/>
    <x v="3"/>
    <m/>
    <s v="13 Hobson Street,New Plymouth,Taranaki Region"/>
    <s v="DOWNER NEW ZEALAND LIMITED (NZBN: 9429039194114)"/>
    <m/>
    <s v="kWh"/>
    <n v="5360.236406619386"/>
    <s v="Meridian"/>
    <s v="Ecotricity"/>
    <d v="2027-01-01T00:00:00"/>
    <d v="2029-12-31T00:00:00"/>
    <s v="36 months"/>
    <n v="2400"/>
    <n v="2800"/>
    <n v="2800"/>
    <s v="Ready"/>
    <m/>
  </r>
  <r>
    <s v="0001740830PC352"/>
    <x v="1"/>
    <x v="1"/>
    <x v="9"/>
    <x v="3"/>
    <m/>
    <s v="Unit 1 28 Hamblyn Street,Strandon,New Plymouth,Taranaki Region"/>
    <s v="DOWNER NEW ZEALAND LIMITED (NZBN: 9429039194114)"/>
    <m/>
    <s v="kWh"/>
    <n v="6272.236842105263"/>
    <s v="Meridian"/>
    <s v="Ecotricity"/>
    <d v="2027-01-01T00:00:00"/>
    <d v="2029-12-31T00:00:00"/>
    <s v="36 months"/>
    <n v="2600"/>
    <n v="3100"/>
    <n v="3100"/>
    <s v="Ready"/>
    <m/>
  </r>
  <r>
    <s v="0001742361PC751"/>
    <x v="1"/>
    <x v="1"/>
    <x v="9"/>
    <x v="3"/>
    <m/>
    <s v="ASPHALT PLANT RIFLE RANGE ROAD,WAIWHAKAIHO,NEW PLYMOUTH"/>
    <s v="DOWNER NEW ZEALAND LIMITED (NZBN: 9429039194114)"/>
    <m/>
    <s v="kWh"/>
    <n v="511831.8203309693"/>
    <s v="Meridian"/>
    <s v="Ecotricity"/>
    <d v="2027-01-01T00:00:00"/>
    <d v="2029-12-31T00:00:00"/>
    <s v="36 months"/>
    <n v="132500"/>
    <n v="161400"/>
    <n v="161400"/>
    <s v="Ready"/>
    <m/>
  </r>
  <r>
    <s v="0001931780PCFE0"/>
    <x v="1"/>
    <x v="1"/>
    <x v="9"/>
    <x v="3"/>
    <m/>
    <s v="169 Carrington Street,Lower Vogeltown,New Plymouth,Taranaki Region"/>
    <s v="DOWNER NEW ZEALAND LIMITED (NZBN: 9429039194114)"/>
    <m/>
    <s v="kWh"/>
    <n v="6525.992907801419"/>
    <s v="Meridian"/>
    <s v="Ecotricity"/>
    <d v="2027-01-01T00:00:00"/>
    <d v="2029-12-31T00:00:00"/>
    <s v="36 months"/>
    <n v="2600"/>
    <n v="3200"/>
    <n v="3200"/>
    <s v="Ready"/>
    <m/>
  </r>
  <r>
    <s v="0002105740WM96B"/>
    <x v="1"/>
    <x v="1"/>
    <x v="9"/>
    <x v="3"/>
    <m/>
    <s v="PIAUA ROAD,TARINGAMOTU"/>
    <s v="DOWNER NEW ZEALAND LIMITED (NZBN: 9429039194114)"/>
    <m/>
    <s v="kWh"/>
    <n v="4335.645569620253"/>
    <s v="Meridian"/>
    <s v="Ecotricity"/>
    <d v="2027-01-01T00:00:00"/>
    <d v="2029-12-31T00:00:00"/>
    <s v="36 months"/>
    <n v="2700"/>
    <n v="3200"/>
    <n v="3200"/>
    <s v="Ready"/>
    <m/>
  </r>
  <r>
    <s v="0003140222AAD30"/>
    <x v="1"/>
    <x v="1"/>
    <x v="9"/>
    <x v="3"/>
    <m/>
    <s v="68 Ihumatao Road,Mangere,Auckland,Auckland Region"/>
    <s v="DOWNER NEW ZEALAND LIMITED (NZBN: 9429039194114)"/>
    <m/>
    <s v="kWh"/>
    <n v="16794.5625"/>
    <s v="Meridian"/>
    <s v="Ecotricity"/>
    <d v="2027-01-01T00:00:00"/>
    <d v="2029-12-31T00:00:00"/>
    <s v="36 months"/>
    <n v="10400"/>
    <n v="4000"/>
    <n v="4000"/>
    <s v="Ready"/>
    <m/>
  </r>
  <r>
    <s v="0003860192TP8AB"/>
    <x v="1"/>
    <x v="1"/>
    <x v="8"/>
    <x v="3"/>
    <m/>
    <s v="401 Kakapo Road,Te Anau"/>
    <s v="DOWNER NEW ZEALAND LIMITED (NZBN: 9429039194114)"/>
    <m/>
    <s v="kWh"/>
    <n v="3579.243498817967"/>
    <s v="Meridian"/>
    <s v="Ecotricity"/>
    <d v="2027-01-01T00:00:00"/>
    <d v="2029-12-31T00:00:00"/>
    <s v="36 months"/>
    <n v="1700"/>
    <n v="2300"/>
    <n v="2300"/>
    <s v="Ready"/>
    <m/>
  </r>
  <r>
    <s v="0004067806HB1B8"/>
    <x v="1"/>
    <x v="1"/>
    <x v="9"/>
    <x v="3"/>
    <m/>
    <s v="Pohokura Road,Tutira"/>
    <s v="DOWNER NEW ZEALAND LIMITED (NZBN: 9429039194114)"/>
    <m/>
    <s v="kWh"/>
    <n v="5496.253164556962"/>
    <s v="Meridian"/>
    <s v="Ecotricity"/>
    <d v="2027-01-01T00:00:00"/>
    <d v="2029-12-31T00:00:00"/>
    <s v="36 months"/>
    <n v="2600"/>
    <n v="3100"/>
    <n v="3100"/>
    <s v="Ready"/>
    <m/>
  </r>
  <r>
    <s v="0004620439TP3C6"/>
    <x v="1"/>
    <x v="1"/>
    <x v="8"/>
    <x v="3"/>
    <m/>
    <s v="136 Marama Avenue South,Otatara,Invercargill"/>
    <s v="DOWNER NEW ZEALAND LIMITED (NZBN: 9429039194114)"/>
    <m/>
    <s v="kWh"/>
    <n v="6594.713541666666"/>
    <s v="Meridian"/>
    <s v="Ecotricity"/>
    <d v="2027-01-01T00:00:00"/>
    <d v="2029-12-31T00:00:00"/>
    <s v="36 months"/>
    <n v="2500"/>
    <n v="3200"/>
    <n v="3200"/>
    <s v="Ready"/>
    <m/>
  </r>
  <r>
    <s v="0004670663ALAA1"/>
    <x v="1"/>
    <x v="1"/>
    <x v="8"/>
    <x v="3"/>
    <m/>
    <s v="86 Meadows Road,Washdyke,Timaru,Canterbury Region"/>
    <s v="DOWNER NEW ZEALAND LIMITED (NZBN: 9429039194114)"/>
    <m/>
    <s v="kWh"/>
    <n v="66562.80722891566"/>
    <s v="Meridian"/>
    <s v="Ecotricity"/>
    <d v="2027-01-01T00:00:00"/>
    <d v="2029-12-31T00:00:00"/>
    <s v="36 months"/>
    <n v="15800"/>
    <n v="20000"/>
    <n v="20000"/>
    <s v="Ready"/>
    <m/>
  </r>
  <r>
    <s v="0005302990ENBEF"/>
    <x v="1"/>
    <x v="1"/>
    <x v="9"/>
    <x v="3"/>
    <m/>
    <s v="2005 TINIROTO ROAD,PATUTAHI,GISBORNE"/>
    <s v="DOWNER NEW ZEALAND LIMITED (NZBN: 9429039194114)"/>
    <m/>
    <s v="kWh"/>
    <n v="4999.228855721393"/>
    <s v="Meridian"/>
    <s v="Ecotricity"/>
    <d v="2027-01-01T00:00:00"/>
    <d v="2029-12-31T00:00:00"/>
    <s v="36 months"/>
    <n v="2600"/>
    <n v="3100"/>
    <n v="3100"/>
    <s v="Ready"/>
    <m/>
  </r>
  <r>
    <s v="0006725275TUA67"/>
    <x v="1"/>
    <x v="1"/>
    <x v="9"/>
    <x v="3"/>
    <m/>
    <s v="32-34 Monokia Street,Fairy Springs,Rotorua"/>
    <s v="DOWNER NEW ZEALAND LIMITED (NZBN: 9429039194114)"/>
    <m/>
    <s v="kWh"/>
    <n v="1801.138014527845"/>
    <s v="Meridian"/>
    <s v="Ecotricity"/>
    <d v="2027-01-01T00:00:00"/>
    <d v="2029-12-31T00:00:00"/>
    <s v="36 months"/>
    <n v="3500"/>
    <n v="4200"/>
    <n v="4200"/>
    <s v="Ready"/>
    <m/>
  </r>
  <r>
    <s v="0007109860WM4E3"/>
    <x v="1"/>
    <x v="1"/>
    <x v="9"/>
    <x v="3"/>
    <m/>
    <s v="56 KURURAU ROAD,TAUMARUNUI"/>
    <s v="DOWNER NEW ZEALAND LIMITED (NZBN: 9429039194114)"/>
    <m/>
    <s v="kWh"/>
    <n v="56751.02836879432"/>
    <s v="Meridian"/>
    <s v="Ecotricity"/>
    <d v="2027-01-01T00:00:00"/>
    <d v="2029-12-31T00:00:00"/>
    <s v="36 months"/>
    <n v="16200"/>
    <n v="19500"/>
    <n v="19500"/>
    <s v="Ready"/>
    <m/>
  </r>
  <r>
    <s v="0007114916TUD0B"/>
    <x v="1"/>
    <x v="1"/>
    <x v="9"/>
    <x v="3"/>
    <m/>
    <s v="81 Riri Street,Mangakakahi,Rotorua,Bay of Plenty Region"/>
    <s v="DOWNER NEW ZEALAND LIMITED (NZBN: 9429039194114)"/>
    <m/>
    <s v="kWh"/>
    <n v="6357.730496453901"/>
    <s v="Meridian"/>
    <s v="Ecotricity"/>
    <d v="2027-01-01T00:00:00"/>
    <d v="2029-12-31T00:00:00"/>
    <s v="36 months"/>
    <n v="4100"/>
    <n v="3300"/>
    <n v="3300"/>
    <s v="Ready"/>
    <m/>
  </r>
  <r>
    <s v="0007118408RN645"/>
    <x v="1"/>
    <x v="1"/>
    <x v="8"/>
    <x v="3"/>
    <m/>
    <s v="397 McLeans Island Road,McLeans Island,Christchurch,Canterbury Region"/>
    <s v="DOWNER NEW ZEALAND LIMITED (NZBN: 9429039194114)"/>
    <m/>
    <s v="kWh"/>
    <n v="281187.1985815603"/>
    <s v="Meridian"/>
    <s v="Ecotricity"/>
    <d v="2027-01-01T00:00:00"/>
    <d v="2029-12-31T00:00:00"/>
    <s v="36 months"/>
    <n v="61300"/>
    <n v="76800"/>
    <n v="76800"/>
    <s v="Ready"/>
    <m/>
  </r>
  <r>
    <s v="0007131142RN619"/>
    <x v="1"/>
    <x v="1"/>
    <x v="8"/>
    <x v="3"/>
    <m/>
    <s v="40 Ballarat Way,Wigram,Christchurch,Canterbury Region"/>
    <s v="DOWNER NEW ZEALAND LIMITED (NZBN: 9429039194114)"/>
    <m/>
    <s v="kWh"/>
    <n v="14387.7304964539"/>
    <s v="Meridian"/>
    <s v="Ecotricity"/>
    <d v="2027-01-01T00:00:00"/>
    <d v="2029-12-31T00:00:00"/>
    <s v="36 months"/>
    <n v="4400"/>
    <n v="5500"/>
    <n v="5500"/>
    <s v="Ready"/>
    <m/>
  </r>
  <r>
    <s v="0007143106RNC4F"/>
    <x v="1"/>
    <x v="1"/>
    <x v="8"/>
    <x v="3"/>
    <m/>
    <s v="55 Shands Road,Hornby,Christchurch,Canterbury Region"/>
    <s v="DOWNER NEW ZEALAND LIMITED (NZBN: 9429039194114)"/>
    <m/>
    <s v="kWh"/>
    <n v="192285.9692671395"/>
    <s v="Meridian"/>
    <s v="Ecotricity"/>
    <d v="2027-01-01T00:00:00"/>
    <d v="2029-12-31T00:00:00"/>
    <s v="36 months"/>
    <n v="43600"/>
    <n v="54300"/>
    <n v="54300"/>
    <s v="Ready"/>
    <m/>
  </r>
  <r>
    <s v="0007194919RN100"/>
    <x v="1"/>
    <x v="1"/>
    <x v="8"/>
    <x v="3"/>
    <m/>
    <s v="Unit 216 118 Salisbury Street,Christchurch Central,Christchurch"/>
    <s v="DOWNER NEW ZEALAND LIMITED (NZBN: 9429039194114)"/>
    <m/>
    <s v="kWh"/>
    <n v="1787.895981087471"/>
    <s v="Meridian"/>
    <s v="Ecotricity"/>
    <d v="2027-01-01T00:00:00"/>
    <d v="2029-12-31T00:00:00"/>
    <s v="36 months"/>
    <n v="900"/>
    <n v="1400"/>
    <n v="1400"/>
    <s v="Ready"/>
    <m/>
  </r>
  <r>
    <s v="0007392206ALC3A"/>
    <x v="1"/>
    <x v="1"/>
    <x v="8"/>
    <x v="3"/>
    <m/>
    <s v="23 Hooker Crescent,Twizel,Canterbury Region"/>
    <s v="DOWNER NEW ZEALAND LIMITED (NZBN: 9429039194114)"/>
    <m/>
    <s v="kWh"/>
    <n v="13291.86761229314"/>
    <s v="Meridian"/>
    <s v="Ecotricity"/>
    <d v="2027-01-01T00:00:00"/>
    <d v="2029-12-31T00:00:00"/>
    <s v="36 months"/>
    <n v="7100"/>
    <n v="8300"/>
    <n v="8300"/>
    <s v="Ready"/>
    <m/>
  </r>
  <r>
    <s v="0007731600WM053"/>
    <x v="1"/>
    <x v="1"/>
    <x v="9"/>
    <x v="3"/>
    <m/>
    <s v="73 North Street,Mokau,Waikato Region"/>
    <s v="DOWNER NEW ZEALAND LIMITED (NZBN: 9429039194114)"/>
    <m/>
    <s v="kWh"/>
    <n v="3121.052009456265"/>
    <s v="Meridian"/>
    <s v="Ecotricity"/>
    <d v="2027-01-01T00:00:00"/>
    <d v="2029-12-31T00:00:00"/>
    <s v="36 months"/>
    <n v="3000"/>
    <n v="3400"/>
    <n v="3400"/>
    <s v="Ready"/>
    <m/>
  </r>
  <r>
    <s v="0007821200WMAC9"/>
    <x v="1"/>
    <x v="1"/>
    <x v="9"/>
    <x v="3"/>
    <m/>
    <s v="1259 Okau Road,Ahititi,Urenui,Taranaki Region"/>
    <s v="DOWNER NEW ZEALAND LIMITED (NZBN: 9429039194114)"/>
    <m/>
    <s v="kWh"/>
    <n v="5713.514851485149"/>
    <s v="Meridian"/>
    <s v="Ecotricity"/>
    <d v="2027-01-01T00:00:00"/>
    <d v="2029-12-31T00:00:00"/>
    <s v="36 months"/>
    <n v="2500"/>
    <n v="3600"/>
    <n v="3600"/>
    <s v="Ready"/>
    <m/>
  </r>
  <r>
    <s v="0008803763NV80A"/>
    <x v="1"/>
    <x v="1"/>
    <x v="8"/>
    <x v="3"/>
    <m/>
    <s v="159 Liddel Street,West Invercargill,Invercargill,Southland Region"/>
    <s v="DOWNER NEW ZEALAND LIMITED (NZBN: 9429039194114)"/>
    <m/>
    <s v="kWh"/>
    <n v="148068.3333333333"/>
    <s v="Meridian"/>
    <s v="Ecotricity"/>
    <d v="2027-01-01T00:00:00"/>
    <d v="2029-12-31T00:00:00"/>
    <s v="36 months"/>
    <n v="31100"/>
    <n v="41900"/>
    <n v="41900"/>
    <s v="Ready"/>
    <m/>
  </r>
  <r>
    <s v="0011001339PC3B8"/>
    <x v="1"/>
    <x v="1"/>
    <x v="9"/>
    <x v="3"/>
    <m/>
    <s v="44B Victoria Road,New Plymouth,Taranaki Region"/>
    <s v="DOWNER NEW ZEALAND LIMITED (NZBN: 9429039194114)"/>
    <m/>
    <s v="kWh"/>
    <n v="11327.47863247863"/>
    <s v="Meridian"/>
    <s v="Ecotricity"/>
    <d v="2027-01-01T00:00:00"/>
    <d v="2029-12-31T00:00:00"/>
    <s v="36 months"/>
    <n v="3400"/>
    <n v="4700"/>
    <n v="4700"/>
    <s v="Ready"/>
    <m/>
  </r>
  <r>
    <s v="0011006140PC6D3"/>
    <x v="1"/>
    <x v="1"/>
    <x v="9"/>
    <x v="3"/>
    <m/>
    <s v="50 Dillon Drive,Bell Block,New Plymouth,Taranaki Region"/>
    <s v="DOWNER NEW ZEALAND LIMITED (NZBN: 9429039194114)"/>
    <m/>
    <s v="kWh"/>
    <n v="14493.86524822695"/>
    <s v="Meridian"/>
    <s v="Ecotricity"/>
    <d v="2027-01-01T00:00:00"/>
    <d v="2029-12-31T00:00:00"/>
    <s v="36 months"/>
    <n v="4500"/>
    <n v="5700"/>
    <n v="5700"/>
    <s v="Ready"/>
    <m/>
  </r>
  <r>
    <s v="0011006852PC5F2"/>
    <x v="1"/>
    <x v="1"/>
    <x v="9"/>
    <x v="3"/>
    <m/>
    <s v="32A Bulteel Street,New Plymouth,Taranaki Region"/>
    <s v="DOWNER NEW ZEALAND LIMITED (NZBN: 9429039194114)"/>
    <m/>
    <s v="kWh"/>
    <n v="4443.853427895981"/>
    <s v="Meridian"/>
    <s v="Ecotricity"/>
    <d v="2027-01-01T00:00:00"/>
    <d v="2029-12-31T00:00:00"/>
    <s v="36 months"/>
    <n v="1600"/>
    <n v="2600"/>
    <n v="2600"/>
    <s v="Ready"/>
    <m/>
  </r>
  <r>
    <s v="0011007482PC51C"/>
    <x v="1"/>
    <x v="1"/>
    <x v="9"/>
    <x v="3"/>
    <m/>
    <s v="138 Molesworth Street,New Plymouth,Taranaki Region"/>
    <s v="DOWNER NEW ZEALAND LIMITED (NZBN: 9429039194114)"/>
    <m/>
    <s v="kWh"/>
    <n v="1429.799054373522"/>
    <s v="Meridian"/>
    <s v="Ecotricity"/>
    <d v="2027-01-01T00:00:00"/>
    <d v="2029-12-31T00:00:00"/>
    <s v="36 months"/>
    <n v="1300"/>
    <n v="1600"/>
    <n v="1600"/>
    <s v="Ready"/>
    <m/>
  </r>
  <r>
    <s v="0030306524PCB33"/>
    <x v="1"/>
    <x v="1"/>
    <x v="9"/>
    <x v="3"/>
    <m/>
    <s v="34 Bedford Avenue,Gonville,Whanganui,Manawatu-Wanganui Region"/>
    <s v="DOWNER NEW ZEALAND LIMITED (NZBN: 9429039194114)"/>
    <m/>
    <s v="kWh"/>
    <n v="106100.2364066194"/>
    <s v="Meridian"/>
    <s v="Ecotricity"/>
    <d v="2027-01-01T00:00:00"/>
    <d v="2029-12-31T00:00:00"/>
    <s v="36 months"/>
    <n v="28200"/>
    <n v="34600"/>
    <n v="34600"/>
    <s v="Ready"/>
    <m/>
  </r>
  <r>
    <s v="0030530098PCA11"/>
    <x v="1"/>
    <x v="1"/>
    <x v="9"/>
    <x v="3"/>
    <m/>
    <s v="501 Heads Road,Castlecliff,Whanganui,Manawatu-Wanganui Region"/>
    <s v="DOWNER NEW ZEALAND LIMITED (NZBN: 9429039194114)"/>
    <m/>
    <s v="kWh"/>
    <n v="44466.14657210401"/>
    <s v="Meridian"/>
    <s v="Ecotricity"/>
    <d v="2027-01-01T00:00:00"/>
    <d v="2029-12-31T00:00:00"/>
    <s v="36 months"/>
    <n v="12300"/>
    <n v="15100"/>
    <n v="15100"/>
    <s v="Ready"/>
    <m/>
  </r>
  <r>
    <s v="0035529024PCBAE"/>
    <x v="1"/>
    <x v="1"/>
    <x v="9"/>
    <x v="3"/>
    <m/>
    <s v="Line Depot 5131 ABATTOIR ROAD,TAIHAPE"/>
    <s v="DOWNER NEW ZEALAND LIMITED (NZBN: 9429039194114)"/>
    <m/>
    <s v="kWh"/>
    <n v="29600.37825059102"/>
    <s v="Meridian"/>
    <s v="Ecotricity"/>
    <d v="2027-01-01T00:00:00"/>
    <d v="2029-12-31T00:00:00"/>
    <s v="36 months"/>
    <n v="9600"/>
    <n v="11400"/>
    <n v="11400"/>
    <s v="Ready"/>
    <m/>
  </r>
  <r>
    <s v="0035880213PC771"/>
    <x v="1"/>
    <x v="1"/>
    <x v="9"/>
    <x v="3"/>
    <m/>
    <s v="Spotless, Site Hut 9A 9D Thornton Terrace,Waiouru"/>
    <s v="DOWNER NEW ZEALAND LIMITED (NZBN: 9429039194114)"/>
    <m/>
    <s v="kWh"/>
    <n v="2290.30534351145"/>
    <s v="Meridian"/>
    <s v="Ecotricity"/>
    <d v="2027-01-01T00:00:00"/>
    <d v="2029-12-31T00:00:00"/>
    <s v="36 months"/>
    <n v="1600"/>
    <n v="2000"/>
    <n v="2000"/>
    <s v="Ready"/>
    <m/>
  </r>
  <r>
    <s v="0042251303PCE11"/>
    <x v="1"/>
    <x v="1"/>
    <x v="9"/>
    <x v="3"/>
    <m/>
    <s v="329 Waihi Road,Hawera,Taranaki Region"/>
    <s v="DOWNER NEW ZEALAND LIMITED (NZBN: 9429039194114)"/>
    <m/>
    <s v="kWh"/>
    <n v="6695.981087470449"/>
    <s v="Meridian"/>
    <s v="Ecotricity"/>
    <d v="2027-01-01T00:00:00"/>
    <d v="2029-12-31T00:00:00"/>
    <s v="36 months"/>
    <n v="2900"/>
    <n v="3500"/>
    <n v="3500"/>
    <s v="Ready"/>
    <m/>
  </r>
  <r>
    <s v="0047123930PCE3C"/>
    <x v="1"/>
    <x v="1"/>
    <x v="9"/>
    <x v="3"/>
    <m/>
    <s v="WORKS OPERATIONS HAWERA 34 GLOVER ROAD,HAWERA"/>
    <s v="DOWNER NEW ZEALAND LIMITED (NZBN: 9429039194114)"/>
    <m/>
    <s v="kWh"/>
    <n v="26887.47044917258"/>
    <s v="Meridian"/>
    <s v="Ecotricity"/>
    <d v="2027-01-01T00:00:00"/>
    <d v="2029-12-31T00:00:00"/>
    <s v="36 months"/>
    <n v="8800"/>
    <n v="10400"/>
    <n v="10400"/>
    <s v="Ready"/>
    <m/>
  </r>
  <r>
    <s v="0071098630WMAC0"/>
    <x v="1"/>
    <x v="1"/>
    <x v="9"/>
    <x v="3"/>
    <m/>
    <s v="58 KURURAU ROAD,TAUMARUNUI"/>
    <s v="DOWNER NEW ZEALAND LIMITED (NZBN: 9429039194114)"/>
    <m/>
    <s v="kWh"/>
    <n v="96547.24586288417"/>
    <s v="Meridian"/>
    <s v="Ecotricity"/>
    <d v="2027-01-01T00:00:00"/>
    <d v="2029-12-31T00:00:00"/>
    <s v="36 months"/>
    <n v="28900"/>
    <n v="35700"/>
    <n v="35700"/>
    <s v="Ready"/>
    <m/>
  </r>
  <r>
    <s v="0075241357WEF68"/>
    <x v="1"/>
    <x v="1"/>
    <x v="9"/>
    <x v="3"/>
    <m/>
    <s v="1st Floor 911 Victoria Street,Hamilton Central,Hamilton"/>
    <s v="DOWNER NEW ZEALAND LIMITED (NZBN: 9429039194114)"/>
    <m/>
    <s v="kWh"/>
    <n v="64957.91962174941"/>
    <s v="Meridian"/>
    <s v="Ecotricity"/>
    <d v="2027-01-01T00:00:00"/>
    <d v="2029-12-31T00:00:00"/>
    <s v="36 months"/>
    <n v="17700"/>
    <n v="20700"/>
    <n v="20700"/>
    <s v="Ready"/>
    <m/>
  </r>
  <r>
    <s v="0080011664PC16A"/>
    <x v="1"/>
    <x v="1"/>
    <x v="9"/>
    <x v="3"/>
    <m/>
    <s v="69 Kaipikari Road Upper,Urenui,Taranaki Region"/>
    <s v="DOWNER NEW ZEALAND LIMITED (NZBN: 9429039194114)"/>
    <m/>
    <s v="kWh"/>
    <n v="5957.352245862885"/>
    <s v="Meridian"/>
    <s v="Ecotricity"/>
    <d v="2027-01-01T00:00:00"/>
    <d v="2029-12-31T00:00:00"/>
    <s v="36 months"/>
    <n v="2500"/>
    <n v="3000"/>
    <n v="3000"/>
    <s v="Ready"/>
    <m/>
  </r>
  <r>
    <s v="0080012802PCBFE"/>
    <x v="1"/>
    <x v="1"/>
    <x v="9"/>
    <x v="3"/>
    <m/>
    <s v="8 White Cliff Bay,Waiiti,Taranaki Region"/>
    <s v="DOWNER NEW ZEALAND LIMITED (NZBN: 9429039194114)"/>
    <m/>
    <s v="kWh"/>
    <n v="6712.375886524823"/>
    <s v="Meridian"/>
    <s v="Ecotricity"/>
    <d v="2027-01-01T00:00:00"/>
    <d v="2029-12-31T00:00:00"/>
    <s v="36 months"/>
    <n v="2600"/>
    <n v="3200"/>
    <n v="3200"/>
    <s v="Ready"/>
    <m/>
  </r>
  <r>
    <s v="0083634200PC7D0"/>
    <x v="1"/>
    <x v="1"/>
    <x v="9"/>
    <x v="3"/>
    <m/>
    <s v="9 Whangamomona Road,Whangamomona,Manawatu-Wanganui Region"/>
    <s v="DOWNER NEW ZEALAND LIMITED (NZBN: 9429039194114)"/>
    <m/>
    <s v="kWh"/>
    <n v="1.852791878172589"/>
    <s v="Meridian"/>
    <s v="Ecotricity"/>
    <d v="2027-01-01T00:00:00"/>
    <d v="2029-12-31T00:00:00"/>
    <s v="36 months"/>
    <n v="900"/>
    <n v="1100"/>
    <n v="1100"/>
    <s v="Ready"/>
    <m/>
  </r>
  <r>
    <s v="0083973001PC01D"/>
    <x v="1"/>
    <x v="1"/>
    <x v="9"/>
    <x v="3"/>
    <m/>
    <s v="134-136 Orlando Street,Stratford"/>
    <s v="DOWNER NEW ZEALAND LIMITED (NZBN: 9429039194114)"/>
    <m/>
    <s v="kWh"/>
    <n v="5130.709219858156"/>
    <s v="Meridian"/>
    <s v="Ecotricity"/>
    <d v="2027-01-01T00:00:00"/>
    <d v="2029-12-31T00:00:00"/>
    <s v="36 months"/>
    <n v="2300"/>
    <n v="2800"/>
    <n v="2800"/>
    <s v="Ready"/>
    <m/>
  </r>
  <r>
    <s v="0088031221NVA65"/>
    <x v="1"/>
    <x v="1"/>
    <x v="8"/>
    <x v="3"/>
    <m/>
    <s v="122 Rockdale Road,Rockdale,Invercargill,Southland Region"/>
    <s v="DOWNER NEW ZEALAND LIMITED (NZBN: 9429039194114)"/>
    <m/>
    <s v="kWh"/>
    <n v="2960.555555555555"/>
    <s v="Meridian"/>
    <s v="Ecotricity"/>
    <d v="2027-01-01T00:00:00"/>
    <d v="2029-12-31T00:00:00"/>
    <s v="36 months"/>
    <n v="1500"/>
    <n v="2000"/>
    <n v="2000"/>
    <s v="Ready"/>
    <m/>
  </r>
  <r>
    <s v="0088910501PCBBD"/>
    <x v="1"/>
    <x v="1"/>
    <x v="9"/>
    <x v="3"/>
    <m/>
    <s v="63 Kaipikiri Road,Urenui"/>
    <s v="DOWNER NEW ZEALAND LIMITED (NZBN: 9429039194114)"/>
    <m/>
    <s v="kWh"/>
    <n v="8801.418439716312"/>
    <s v="Meridian"/>
    <s v="Ecotricity"/>
    <d v="2027-01-01T00:00:00"/>
    <d v="2029-12-31T00:00:00"/>
    <s v="36 months"/>
    <n v="3100"/>
    <n v="3900"/>
    <n v="3900"/>
    <s v="Ready"/>
    <m/>
  </r>
  <r>
    <s v="0088934400PC1B1"/>
    <x v="1"/>
    <x v="1"/>
    <x v="9"/>
    <x v="3"/>
    <m/>
    <s v="23 Whakapaki Street,Urenui,Taranaki Region"/>
    <s v="DOWNER NEW ZEALAND LIMITED (NZBN: 9429039194114)"/>
    <m/>
    <s v="kWh"/>
    <n v="3280.067567567567"/>
    <s v="Meridian"/>
    <s v="Ecotricity"/>
    <d v="2027-01-01T00:00:00"/>
    <d v="2029-12-31T00:00:00"/>
    <s v="36 months"/>
    <n v="1300"/>
    <n v="2000"/>
    <n v="2000"/>
    <s v="Ready"/>
    <m/>
  </r>
  <r>
    <s v="0088938701PC577"/>
    <x v="1"/>
    <x v="1"/>
    <x v="9"/>
    <x v="3"/>
    <m/>
    <s v="29A Whakapaki Street,Urenui"/>
    <s v="DOWNER NEW ZEALAND LIMITED (NZBN: 9429039194114)"/>
    <m/>
    <s v="kWh"/>
    <n v="6889.491094147583"/>
    <s v="Meridian"/>
    <s v="Ecotricity"/>
    <d v="2027-01-01T00:00:00"/>
    <d v="2029-12-31T00:00:00"/>
    <s v="36 months"/>
    <n v="2300"/>
    <n v="3300"/>
    <n v="3300"/>
    <s v="Ready"/>
    <m/>
  </r>
  <r>
    <s v="0088966150PCC88"/>
    <x v="1"/>
    <x v="1"/>
    <x v="9"/>
    <x v="3"/>
    <m/>
    <s v="54 Mokau Road,Urenui,Taranaki Region"/>
    <s v="DOWNER NEW ZEALAND LIMITED (NZBN: 9429039194114)"/>
    <m/>
    <s v="kWh"/>
    <n v="6374.767441860466"/>
    <s v="Meridian"/>
    <s v="Ecotricity"/>
    <d v="2027-01-01T00:00:00"/>
    <d v="2029-12-31T00:00:00"/>
    <s v="36 months"/>
    <n v="2100"/>
    <n v="3100"/>
    <n v="3100"/>
    <s v="Ready"/>
    <m/>
  </r>
  <r>
    <s v="0300278047LC2C3"/>
    <x v="1"/>
    <x v="1"/>
    <x v="9"/>
    <x v="3"/>
    <m/>
    <s v="130C Kerrs Road,Wiri,Auckland"/>
    <s v="DOWNER NEW ZEALAND LIMITED (NZBN: 9429039194114)"/>
    <m/>
    <s v="kWh"/>
    <n v="137617.9432624113"/>
    <s v="Meridian"/>
    <s v="Ecotricity"/>
    <d v="2027-01-01T00:00:00"/>
    <d v="2029-12-31T00:00:00"/>
    <s v="36 months"/>
    <n v="40100"/>
    <n v="31400"/>
    <n v="31400"/>
    <s v="Ready"/>
    <m/>
  </r>
  <r>
    <s v="0346100364LCEED"/>
    <x v="1"/>
    <x v="1"/>
    <x v="9"/>
    <x v="3"/>
    <m/>
    <s v="130 Kerrs Road,Wiri,Auckland,Auckland Region"/>
    <s v="DOWNER NEW ZEALAND LIMITED (NZBN: 9429039194114)"/>
    <m/>
    <s v="kWh"/>
    <n v="56184.11347517731"/>
    <s v="Meridian"/>
    <s v="Ecotricity"/>
    <d v="2027-01-01T00:00:00"/>
    <d v="2029-12-31T00:00:00"/>
    <s v="36 months"/>
    <n v="20800"/>
    <n v="14600"/>
    <n v="14600"/>
    <s v="Ready"/>
    <m/>
  </r>
  <r>
    <s v="0398095698LC2D6"/>
    <x v="1"/>
    <x v="1"/>
    <x v="9"/>
    <x v="3"/>
    <m/>
    <s v="2 Ash Road,Wiri,AUCKLAND"/>
    <s v="DOWNER NEW ZEALAND LIMITED (NZBN: 9429039194114)"/>
    <m/>
    <s v="kWh"/>
    <n v="18300.91016548463"/>
    <s v="Meridian"/>
    <s v="Ecotricity"/>
    <d v="2027-01-01T00:00:00"/>
    <d v="2029-12-31T00:00:00"/>
    <s v="36 months"/>
    <n v="4900"/>
    <n v="5300"/>
    <n v="5300"/>
    <s v="Ready"/>
    <m/>
  </r>
  <r>
    <s v="0415258065LC669"/>
    <x v="1"/>
    <x v="1"/>
    <x v="9"/>
    <x v="3"/>
    <m/>
    <s v="7 Waitai Road,Ostend,Waiheke Island,Auckland Region"/>
    <s v="DOWNER NEW ZEALAND LIMITED (NZBN: 9429039194114)"/>
    <m/>
    <s v="kWh"/>
    <n v="23040.7328605201"/>
    <s v="Meridian"/>
    <s v="Ecotricity"/>
    <d v="2027-01-01T00:00:00"/>
    <d v="2029-12-31T00:00:00"/>
    <s v="36 months"/>
    <n v="5800"/>
    <n v="6300"/>
    <n v="6300"/>
    <s v="Ready"/>
    <m/>
  </r>
  <r>
    <s v="0900090531PCF4E"/>
    <x v="1"/>
    <x v="1"/>
    <x v="9"/>
    <x v="3"/>
    <m/>
    <s v="Lot 5 198 RICHARDSONS LINE,MILSON,PALMERSTON NORTH"/>
    <s v="DOWNER NEW ZEALAND LIMITED (NZBN: 9429039194114)"/>
    <m/>
    <s v="kWh"/>
    <n v="114160.4373522459"/>
    <s v="Meridian"/>
    <s v="Ecotricity"/>
    <d v="2027-01-01T00:00:00"/>
    <d v="2029-12-31T00:00:00"/>
    <s v="36 months"/>
    <n v="30200"/>
    <n v="39400"/>
    <n v="39400"/>
    <s v="Ready"/>
    <m/>
  </r>
  <r>
    <s v="1000025462BP9A6"/>
    <x v="1"/>
    <x v="1"/>
    <x v="9"/>
    <x v="3"/>
    <m/>
    <s v="89 The Strand,Whakatane,Bay of Plenty Region"/>
    <s v="DOWNER NEW ZEALAND LIMITED (NZBN: 9429039194114)"/>
    <m/>
    <s v="kWh"/>
    <n v="2634.385342789598"/>
    <s v="Meridian"/>
    <s v="Ecotricity"/>
    <d v="2027-01-01T00:00:00"/>
    <d v="2029-12-31T00:00:00"/>
    <s v="36 months"/>
    <n v="1600"/>
    <n v="2000"/>
    <n v="2000"/>
    <s v="Ready"/>
    <m/>
  </r>
  <r>
    <s v="1000524019PC6AD"/>
    <x v="1"/>
    <x v="1"/>
    <x v="9"/>
    <x v="3"/>
    <m/>
    <s v="3 Coronation Street,Paeroa,Waikato Region"/>
    <s v="DOWNER NEW ZEALAND LIMITED (NZBN: 9429039194114)"/>
    <m/>
    <s v="kWh"/>
    <n v="37827.97872340426"/>
    <s v="Meridian"/>
    <s v="Ecotricity"/>
    <d v="2027-01-01T00:00:00"/>
    <d v="2029-12-31T00:00:00"/>
    <s v="36 months"/>
    <n v="10700"/>
    <n v="13000"/>
    <n v="13000"/>
    <s v="Ready"/>
    <m/>
  </r>
  <r>
    <s v="1000524774PC904"/>
    <x v="1"/>
    <x v="1"/>
    <x v="9"/>
    <x v="3"/>
    <m/>
    <s v="58 Taurikura Drive,Tauriko,Tauranga,Bay of Plenty Region"/>
    <s v="DOWNER NEW ZEALAND LIMITED (NZBN: 9429039194114)"/>
    <m/>
    <s v="kWh"/>
    <n v="150976.2529550827"/>
    <s v="Meridian"/>
    <s v="Ecotricity"/>
    <d v="2027-01-01T00:00:00"/>
    <d v="2029-12-31T00:00:00"/>
    <s v="36 months"/>
    <n v="49000"/>
    <n v="54300"/>
    <n v="54300"/>
    <s v="Ready"/>
    <m/>
  </r>
  <r>
    <s v="1000566966PCDF2"/>
    <x v="1"/>
    <x v="1"/>
    <x v="9"/>
    <x v="3"/>
    <m/>
    <s v="6 Aneta Way,Pyes Pa,Tauranga,Bay of Plenty Region"/>
    <s v="DOWNER NEW ZEALAND LIMITED (NZBN: 9429039194114)"/>
    <m/>
    <s v="kWh"/>
    <n v="2445.261437908497"/>
    <s v="Meridian"/>
    <s v="Ecotricity"/>
    <d v="2027-01-01T00:00:00"/>
    <d v="2029-12-31T00:00:00"/>
    <s v="36 months"/>
    <n v="1400"/>
    <n v="1700"/>
    <n v="1700"/>
    <s v="Ready"/>
    <m/>
  </r>
  <r>
    <s v="1000619535PCA5B"/>
    <x v="1"/>
    <x v="1"/>
    <x v="9"/>
    <x v="3"/>
    <m/>
    <s v="9 Te Ara Pikopiko,Omokoroa"/>
    <s v="DOWNER NEW ZEALAND LIMITED (NZBN: 9429039194114)"/>
    <m/>
    <s v="kWh"/>
    <n v="5826.792763157895"/>
    <s v="Meridian"/>
    <s v="Ecotricity"/>
    <d v="2027-01-01T00:00:00"/>
    <d v="2029-12-31T00:00:00"/>
    <s v="36 months"/>
    <n v="2100"/>
    <n v="2900"/>
    <n v="2900"/>
    <s v="Ready"/>
    <m/>
  </r>
  <r>
    <s v="1000620792PC805"/>
    <x v="1"/>
    <x v="1"/>
    <x v="9"/>
    <x v="3"/>
    <m/>
    <s v="782 STATE HIGHWAY 29,TAURIKO,TAURANGA"/>
    <s v="DOWNER NEW ZEALAND LIMITED (NZBN: 9429039194114)"/>
    <m/>
    <s v="kWh"/>
    <n v="26418.9243498818"/>
    <s v="Meridian"/>
    <s v="Ecotricity"/>
    <d v="2027-01-01T00:00:00"/>
    <d v="2029-12-31T00:00:00"/>
    <s v="36 months"/>
    <n v="7200"/>
    <n v="8800"/>
    <n v="8800"/>
    <s v="Ready"/>
    <m/>
  </r>
  <r>
    <s v="1001118772UNF47"/>
    <x v="1"/>
    <x v="1"/>
    <x v="9"/>
    <x v="3"/>
    <m/>
    <s v="9 RABONE STREET,HENDERSON,AUCKLAND"/>
    <s v="DOWNER NEW ZEALAND LIMITED (NZBN: 9429039194114)"/>
    <m/>
    <s v="kWh"/>
    <n v="25064.19621749409"/>
    <s v="Meridian"/>
    <s v="Ecotricity"/>
    <d v="2027-01-01T00:00:00"/>
    <d v="2029-12-31T00:00:00"/>
    <s v="36 months"/>
    <n v="6200"/>
    <n v="6800"/>
    <n v="6800"/>
    <s v="Ready"/>
    <m/>
  </r>
  <r>
    <s v="1001132596LC369"/>
    <x v="1"/>
    <x v="1"/>
    <x v="9"/>
    <x v="3"/>
    <m/>
    <s v="Level 4 54 Wellesley Street East,Auckland Central,Auckland"/>
    <s v="DOWNER NEW ZEALAND LIMITED (NZBN: 9429039194114)"/>
    <m/>
    <s v="kWh"/>
    <n v="6217.080378250591"/>
    <s v="Meridian"/>
    <s v="Ecotricity"/>
    <d v="2027-01-01T00:00:00"/>
    <d v="2029-12-31T00:00:00"/>
    <s v="36 months"/>
    <n v="2500"/>
    <n v="2800"/>
    <n v="2800"/>
    <s v="Ready"/>
    <m/>
  </r>
  <r>
    <s v="1001151491CK976"/>
    <x v="1"/>
    <x v="1"/>
    <x v="9"/>
    <x v="3"/>
    <m/>
    <s v="2 John Seddon Drive,Elsdon,Porirua,Wellington Region"/>
    <s v="DOWNER NEW ZEALAND LIMITED (NZBN: 9429039194114)"/>
    <m/>
    <s v="kWh"/>
    <n v="121515.6619385343"/>
    <s v="Meridian"/>
    <s v="Ecotricity"/>
    <d v="2027-01-01T00:00:00"/>
    <d v="2029-12-31T00:00:00"/>
    <s v="36 months"/>
    <n v="28100"/>
    <n v="37100"/>
    <n v="37100"/>
    <s v="Ready"/>
    <m/>
  </r>
  <r>
    <s v="1001245025LCA73"/>
    <x v="1"/>
    <x v="1"/>
    <x v="9"/>
    <x v="3"/>
    <m/>
    <s v="39 Miami Parade,Onehunga,Auckland,Auckland Region"/>
    <s v="DOWNER NEW ZEALAND LIMITED (NZBN: 9429039194114)"/>
    <m/>
    <s v="kWh"/>
    <n v="19466.66666666667"/>
    <s v="Meridian"/>
    <s v="Ecotricity"/>
    <d v="2027-01-01T00:00:00"/>
    <d v="2029-12-31T00:00:00"/>
    <s v="36 months"/>
    <n v="5100"/>
    <n v="5500"/>
    <n v="5500"/>
    <s v="Ready"/>
    <m/>
  </r>
  <r>
    <s v="1001280356UN969"/>
    <x v="1"/>
    <x v="1"/>
    <x v="9"/>
    <x v="3"/>
    <m/>
    <s v="2B-1 3 William Pickering Drive,Rosedale,Auckland"/>
    <s v="DOWNER NEW ZEALAND LIMITED (NZBN: 9429039194114)"/>
    <m/>
    <s v="kWh"/>
    <n v="21037.1158392435"/>
    <s v="Meridian"/>
    <s v="Ecotricity"/>
    <d v="2027-01-01T00:00:00"/>
    <d v="2029-12-31T00:00:00"/>
    <s v="36 months"/>
    <n v="5400"/>
    <n v="5900"/>
    <n v="5900"/>
    <s v="Ready"/>
    <m/>
  </r>
  <r>
    <s v="1001280900LC0F0"/>
    <x v="1"/>
    <x v="1"/>
    <x v="9"/>
    <x v="3"/>
    <m/>
    <s v="643 Great South Road,Penrose,Auckland,Auckland Region"/>
    <s v="DOWNER NEW ZEALAND LIMITED (NZBN: 9429039194114)"/>
    <m/>
    <s v="kWh"/>
    <n v="41757.55319148936"/>
    <s v="Meridian"/>
    <s v="Ecotricity"/>
    <d v="2027-01-01T00:00:00"/>
    <d v="2029-12-31T00:00:00"/>
    <s v="36 months"/>
    <n v="9600"/>
    <n v="10200"/>
    <n v="10200"/>
    <s v="Ready"/>
    <m/>
  </r>
  <r>
    <s v="Greenfield"/>
    <x v="1"/>
    <x v="1"/>
    <x v="8"/>
    <x v="3"/>
    <m/>
    <s v="264 Lees Road,Kaiapoi,Canterbury Region"/>
    <s v="DOWNER NEW ZEALAND LIMITED (NZBN: 9429039194114)"/>
    <m/>
    <s v="kWh"/>
    <n v="0"/>
    <s v="Meridian"/>
    <s v="Ecotricity"/>
    <d v="2027-01-01T00:00:00"/>
    <d v="2029-12-31T00:00:00"/>
    <s v="36 months"/>
    <s v=""/>
    <n v="0"/>
    <n v="0"/>
    <s v="Review required"/>
    <m/>
  </r>
  <r>
    <s v="0001002400PGD55"/>
    <x v="0"/>
    <x v="1"/>
    <x v="9"/>
    <x v="4"/>
    <m/>
    <s v="2 75 Hine Street Rear Unit  New Plymouth"/>
    <s v="DOWNER NEW ZEALAND LIMITED (NZBN: 9429039194114)"/>
    <m/>
    <s v="kWh"/>
    <n v="8000"/>
    <s v="Nova Energy"/>
    <s v="Nova"/>
    <d v="2026-10-01T00:00:00"/>
    <d v="2030-09-30T00:00:00"/>
    <s v="Fixed to 30-Sep-2030"/>
    <n v="2300"/>
    <n v="2400"/>
    <n v="2400"/>
    <s v="Ready"/>
    <m/>
  </r>
  <r>
    <s v="0001700321PG50C"/>
    <x v="0"/>
    <x v="1"/>
    <x v="9"/>
    <x v="4"/>
    <m/>
    <s v="2 Eliot Street  New Plymouth Central New Plymouth"/>
    <s v="DOWNER NEW ZEALAND LIMITED (NZBN: 9429039194114)"/>
    <m/>
    <s v="kWh"/>
    <n v="4000"/>
    <s v="Nova Energy"/>
    <s v="Nova"/>
    <d v="2026-10-01T00:00:00"/>
    <d v="2030-09-30T00:00:00"/>
    <s v="Fixed to 30-Sep-2030"/>
    <n v="1300"/>
    <n v="1500"/>
    <n v="1500"/>
    <s v="Ready"/>
    <m/>
  </r>
  <r>
    <s v="0001702030PG3A7"/>
    <x v="0"/>
    <x v="1"/>
    <x v="9"/>
    <x v="4"/>
    <m/>
    <s v="13 Hobson Street   New Plymouth"/>
    <s v="DOWNER NEW ZEALAND LIMITED (NZBN: 9429039194114)"/>
    <m/>
    <s v="kWh"/>
    <n v="8000"/>
    <s v="Nova Energy"/>
    <s v="Nova"/>
    <d v="2026-10-01T00:00:00"/>
    <d v="2030-09-30T00:00:00"/>
    <s v="Fixed to 30-Sep-2030"/>
    <n v="2100"/>
    <n v="2400"/>
    <n v="2400"/>
    <s v="Ready"/>
    <m/>
  </r>
  <r>
    <s v="0004212495NG7EE"/>
    <x v="0"/>
    <x v="1"/>
    <x v="9"/>
    <x v="4"/>
    <m/>
    <s v="1 69 Hutt Road  Petone Lower Hutt"/>
    <s v="DOWNER NEW ZEALAND LIMITED (NZBN: 9429039194114)"/>
    <m/>
    <s v="kWh"/>
    <n v="3000"/>
    <s v="Nova Energy"/>
    <s v="Nova"/>
    <d v="2026-10-01T00:00:00"/>
    <d v="2030-09-30T00:00:00"/>
    <s v="Fixed to 30-Sep-2030"/>
    <n v="1100"/>
    <n v="1200"/>
    <n v="1200"/>
    <s v="Ready"/>
    <m/>
  </r>
  <r>
    <s v="0004212498NG8B5"/>
    <x v="0"/>
    <x v="1"/>
    <x v="9"/>
    <x v="4"/>
    <m/>
    <s v="3 69 Hutt Road  Petone Lower Hutt"/>
    <s v="DOWNER NEW ZEALAND LIMITED (NZBN: 9429039194114)"/>
    <m/>
    <s v="kWh"/>
    <n v="3000"/>
    <s v="Nova Energy"/>
    <s v="Nova"/>
    <d v="2026-10-01T00:00:00"/>
    <d v="2030-09-30T00:00:00"/>
    <s v="Fixed to 30-Sep-2030"/>
    <n v="1400"/>
    <n v="1400"/>
    <n v="1400"/>
    <s v="Ready"/>
    <m/>
  </r>
  <r>
    <s v="0011001339PGB95"/>
    <x v="0"/>
    <x v="1"/>
    <x v="9"/>
    <x v="4"/>
    <m/>
    <s v="44B Victoria Road   New Plymouth"/>
    <s v="DOWNER NEW ZEALAND LIMITED (NZBN: 9429039194114)"/>
    <m/>
    <s v="kWh"/>
    <n v="7000"/>
    <s v="Nova Energy"/>
    <s v="Nova"/>
    <d v="2026-10-01T00:00:00"/>
    <d v="2030-09-30T00:00:00"/>
    <s v="Fixed to 30-Sep-2030"/>
    <n v="1900"/>
    <n v="2100"/>
    <n v="2100"/>
    <s v="Ready"/>
    <m/>
  </r>
  <r>
    <s v="0011002529PG5DE"/>
    <x v="0"/>
    <x v="1"/>
    <x v="9"/>
    <x v="4"/>
    <m/>
    <s v="149 Vivian Street  New Plymouth Central New Plymouth"/>
    <s v="DOWNER NEW ZEALAND LIMITED (NZBN: 9429039194114)"/>
    <m/>
    <s v="kWh"/>
    <n v="5000"/>
    <s v="Nova Energy"/>
    <s v="Nova"/>
    <d v="2026-10-01T00:00:00"/>
    <d v="2030-09-30T00:00:00"/>
    <s v="Fixed to 30-Sep-2030"/>
    <n v="1600"/>
    <n v="1900"/>
    <n v="1900"/>
    <s v="Ready"/>
    <m/>
  </r>
  <r>
    <s v="0042250800PG852"/>
    <x v="0"/>
    <x v="1"/>
    <x v="9"/>
    <x v="4"/>
    <m/>
    <s v="34 Glover Road   Hawera"/>
    <s v="DOWNER NEW ZEALAND LIMITED (NZBN: 9429039194114)"/>
    <m/>
    <s v="kWh"/>
    <n v="1000"/>
    <s v="Nova Energy"/>
    <s v="Nova"/>
    <d v="2026-10-01T00:00:00"/>
    <d v="2030-09-30T00:00:00"/>
    <s v="Fixed to 30-Sep-2030"/>
    <n v="1000"/>
    <n v="800"/>
    <n v="800"/>
    <s v="Ready"/>
    <m/>
  </r>
  <r>
    <s v="1000516888PGF43"/>
    <x v="0"/>
    <x v="1"/>
    <x v="9"/>
    <x v="4"/>
    <m/>
    <s v="1 32 Bulteel Street  New Plymouth Central New Plymouth"/>
    <s v="DOWNER NEW ZEALAND LIMITED (NZBN: 9429039194114)"/>
    <m/>
    <s v="kWh"/>
    <n v="1000"/>
    <s v="Nova Energy"/>
    <s v="Nova"/>
    <d v="2026-10-01T00:00:00"/>
    <d v="2030-09-30T00:00:00"/>
    <s v="Fixed to 30-Sep-2030"/>
    <n v="800"/>
    <n v="900"/>
    <n v="900"/>
    <s v="Ready"/>
    <m/>
  </r>
  <r>
    <s v="1000581141PGC50"/>
    <x v="0"/>
    <x v="1"/>
    <x v="9"/>
    <x v="4"/>
    <m/>
    <s v="33 Rawiri Drive   New Plymouth"/>
    <s v="DOWNER NEW ZEALAND LIMITED (NZBN: 9429039194114)"/>
    <m/>
    <s v="kWh"/>
    <n v="3000"/>
    <s v="Nova Energy"/>
    <s v="Nova"/>
    <d v="2026-10-01T00:00:00"/>
    <d v="2030-09-30T00:00:00"/>
    <s v="Fixed to 30-Sep-2030"/>
    <n v="1200"/>
    <n v="1300"/>
    <n v="1300"/>
    <s v="Ready"/>
    <m/>
  </r>
  <r>
    <s v="1000590389PGAED"/>
    <x v="0"/>
    <x v="1"/>
    <x v="9"/>
    <x v="4"/>
    <m/>
    <s v="1 30 Downe Street  New Plymouth New Plymouth"/>
    <s v="DOWNER NEW ZEALAND LIMITED (NZBN: 9429039194114)"/>
    <m/>
    <s v="kWh"/>
    <n v="2000"/>
    <s v="Nova Energy"/>
    <s v="Nova"/>
    <d v="2026-10-01T00:00:00"/>
    <d v="2030-09-30T00:00:00"/>
    <s v="Fixed to 30-Sep-2030"/>
    <n v="1300"/>
    <n v="1100"/>
    <n v="1100"/>
    <s v="Ready"/>
    <m/>
  </r>
  <r>
    <s v="1000605558PG1BC"/>
    <x v="0"/>
    <x v="1"/>
    <x v="9"/>
    <x v="4"/>
    <m/>
    <s v="138C Molesworth Street  New Plymouth Central New Plymouth"/>
    <s v="DOWNER NEW ZEALAND LIMITED (NZBN: 9429039194114)"/>
    <m/>
    <s v="kWh"/>
    <n v="1000"/>
    <s v="Nova Energy"/>
    <s v="Nova"/>
    <d v="2026-10-01T00:00:00"/>
    <d v="2030-09-30T00:00:00"/>
    <s v="Fixed to 30-Sep-2030"/>
    <n v="1100"/>
    <n v="900"/>
    <n v="900"/>
    <s v="Ready"/>
    <m/>
  </r>
  <r>
    <s v="0000015023HBABD"/>
    <x v="1"/>
    <x v="1"/>
    <x v="9"/>
    <x v="5"/>
    <m/>
    <s v="1436 OMAHU ROAD FRIMLEY HASTINGS 4120"/>
    <s v="DOWNER NEW ZEALAND LIMITED (NZBN: 9429039194114)"/>
    <m/>
    <s v="kWh"/>
    <n v="43948.43000000001"/>
    <s v="Ecotricity"/>
    <s v="Ecotricity"/>
    <d v="2026-07-01T00:00:00"/>
    <d v="2029-12-31T00:00:00"/>
    <s v="42 months"/>
    <n v="27100"/>
    <n v="25500"/>
    <n v="25500"/>
    <s v="Ready"/>
    <m/>
  </r>
  <r>
    <s v="0000024050WE5E2"/>
    <x v="1"/>
    <x v="1"/>
    <x v="9"/>
    <x v="5"/>
    <m/>
    <s v="16 MANCHESTER PLACE Te Rapa HAMILTON 3200"/>
    <s v="DOWNER NEW ZEALAND LIMITED (NZBN: 9429039194114)"/>
    <m/>
    <s v="kWh"/>
    <n v="598544.088"/>
    <s v="Ecotricity"/>
    <s v="Ecotricity"/>
    <d v="2026-07-01T00:00:00"/>
    <d v="2029-12-31T00:00:00"/>
    <s v="42 months"/>
    <n v="172900"/>
    <n v="144600"/>
    <n v="144600"/>
    <s v="Ready"/>
    <m/>
  </r>
  <r>
    <s v="0000031643WEA48"/>
    <x v="1"/>
    <x v="1"/>
    <x v="9"/>
    <x v="5"/>
    <m/>
    <s v="DOWNER NZ 16 MANCHESTER PLACE Te Rapa HAMILTON 3200"/>
    <s v="DOWNER NEW ZEALAND LIMITED (NZBN: 9429039194114)"/>
    <m/>
    <s v="kWh"/>
    <n v="181231.47"/>
    <s v="Ecotricity"/>
    <s v="Ecotricity"/>
    <d v="2026-07-01T00:00:00"/>
    <d v="2029-12-31T00:00:00"/>
    <s v="42 months"/>
    <n v="59500"/>
    <n v="49600"/>
    <n v="49600"/>
    <s v="Ready"/>
    <m/>
  </r>
  <r>
    <s v="0000044241WEB55"/>
    <x v="1"/>
    <x v="1"/>
    <x v="9"/>
    <x v="5"/>
    <m/>
    <s v="72 HARE PUKE DRIVE,_x000a_FLAGSTAFF, HAMILTON 3210"/>
    <s v="SPOTLESS FACILITY SERVICES (NZ) LIMITED (NZBN: 9429040596099)"/>
    <m/>
    <s v="kWh"/>
    <n v="405000"/>
    <s v="Ecotricity"/>
    <s v="Ecotricity"/>
    <d v="2026-07-01T00:00:00"/>
    <d v="2029-12-31T00:00:00"/>
    <s v="42 months"/>
    <s v=""/>
    <n v="0"/>
    <n v="0"/>
    <s v="Review required"/>
    <m/>
  </r>
  <r>
    <s v="0000052034NT6A8"/>
    <x v="1"/>
    <x v="1"/>
    <x v="8"/>
    <x v="5"/>
    <m/>
    <s v="4/ 750 LOWER QUEEN STREET RICHMOND 7081"/>
    <s v="DOWNER NEW ZEALAND LIMITED (NZBN: 9429039194114)"/>
    <m/>
    <s v="kWh"/>
    <n v="108511.31"/>
    <s v="Ecotricity"/>
    <s v="Ecotricity"/>
    <d v="2026-07-01T00:00:00"/>
    <d v="2029-12-31T00:00:00"/>
    <s v="42 months"/>
    <n v="43300"/>
    <n v="41800"/>
    <n v="41800"/>
    <s v="Ready"/>
    <m/>
  </r>
  <r>
    <s v="0000102308DEAD2"/>
    <x v="1"/>
    <x v="1"/>
    <x v="8"/>
    <x v="5"/>
    <m/>
    <s v="BATCHING PLANT  102 PARRY STREET LOGAN POINT DUNEDIN 9016"/>
    <s v="DOWNER NEW ZEALAND LIMITED (NZBN: 9429039194114)"/>
    <m/>
    <s v="kWh"/>
    <n v="489271.4400000001"/>
    <s v="Ecotricity"/>
    <s v="Ecotricity"/>
    <d v="2026-07-01T00:00:00"/>
    <d v="2029-12-31T00:00:00"/>
    <s v="42 months"/>
    <n v="112200"/>
    <n v="101600"/>
    <n v="101600"/>
    <s v="Ready"/>
    <m/>
  </r>
  <r>
    <s v="0000519132NR7B9"/>
    <x v="1"/>
    <x v="1"/>
    <x v="9"/>
    <x v="5"/>
    <m/>
    <s v="Bitumen Plant 116- 118 PORT ROAD WHANGAREI 110"/>
    <s v="DOWNER NEW ZEALAND LIMITED (NZBN: 9429039194114)"/>
    <m/>
    <s v="kWh"/>
    <n v="511657.968"/>
    <s v="Ecotricity"/>
    <s v="Ecotricity"/>
    <d v="2026-07-01T00:00:00"/>
    <d v="2029-12-31T00:00:00"/>
    <s v="42 months"/>
    <n v="182500"/>
    <n v="152300"/>
    <n v="152300"/>
    <s v="Ready"/>
    <m/>
  </r>
  <r>
    <s v="0000734355NVC9C"/>
    <x v="1"/>
    <x v="1"/>
    <x v="8"/>
    <x v="5"/>
    <m/>
    <s v="PLANT  210 MERSEY STREET INVERCARGILL 0"/>
    <s v="DOWNER NEW ZEALAND LIMITED (NZBN: 9429039194114)"/>
    <m/>
    <s v="kWh"/>
    <n v="241963.668"/>
    <s v="Ecotricity"/>
    <s v="Ecotricity"/>
    <d v="2026-07-01T00:00:00"/>
    <d v="2029-12-31T00:00:00"/>
    <s v="42 months"/>
    <n v="68500"/>
    <n v="61200"/>
    <n v="61200"/>
    <s v="Ready"/>
    <m/>
  </r>
  <r>
    <s v="0000931749NV418"/>
    <x v="1"/>
    <x v="1"/>
    <x v="8"/>
    <x v="5"/>
    <m/>
    <s v="BITUMEN PLANT  50 FORESHORE ROAD BLUFF 0"/>
    <s v="DOWNER NEW ZEALAND LIMITED (NZBN: 9429039194114)"/>
    <m/>
    <s v="kWh"/>
    <n v="994727.3999999999"/>
    <s v="Ecotricity"/>
    <s v="Ecotricity"/>
    <d v="2026-07-01T00:00:00"/>
    <d v="2029-12-31T00:00:00"/>
    <s v="42 months"/>
    <n v="169200"/>
    <n v="147300"/>
    <n v="147300"/>
    <s v="Ready"/>
    <m/>
  </r>
  <r>
    <s v="0000939570TUEC4"/>
    <x v="1"/>
    <x v="1"/>
    <x v="9"/>
    <x v="5"/>
    <m/>
    <s v="198 TOTARA STREET TAURANGA 0"/>
    <s v="DOWNER NEW ZEALAND LIMITED (NZBN: 9429039194114)"/>
    <m/>
    <s v="kWh"/>
    <n v="1483122.656"/>
    <s v="Ecotricity"/>
    <s v="Ecotricity"/>
    <d v="2026-07-01T00:00:00"/>
    <d v="2029-12-31T00:00:00"/>
    <s v="42 months"/>
    <n v="384800"/>
    <n v="311500"/>
    <n v="311500"/>
    <s v="Ready"/>
    <m/>
  </r>
  <r>
    <s v="0001510110PCCA2"/>
    <x v="1"/>
    <x v="1"/>
    <x v="9"/>
    <x v="5"/>
    <m/>
    <s v="TECHNIC BITUMEN LTD  BREAKWATER ROAD MOTUROA NEW PLYMOUTH 4310"/>
    <s v="DOWNER NEW ZEALAND LIMITED (NZBN: 9429039194114)"/>
    <m/>
    <s v="kWh"/>
    <n v="822956.5259999998"/>
    <s v="Ecotricity"/>
    <s v="Ecotricity"/>
    <d v="2026-07-01T00:00:00"/>
    <d v="2029-12-31T00:00:00"/>
    <s v="42 months"/>
    <n v="234800"/>
    <n v="191900"/>
    <n v="191900"/>
    <s v="Ready"/>
    <m/>
  </r>
  <r>
    <s v="0005302992ENB6A"/>
    <x v="1"/>
    <x v="1"/>
    <x v="9"/>
    <x v="5"/>
    <m/>
    <s v="MAIN CRUSHER  2005 TINIROTO ROAD PATUTAHI GISBORNE 4072"/>
    <s v="DOWNER NEW ZEALAND LIMITED (NZBN: 9429039194114)"/>
    <m/>
    <s v="kWh"/>
    <n v="75702.264"/>
    <s v="Ecotricity"/>
    <s v="Ecotricity"/>
    <d v="2026-07-01T00:00:00"/>
    <d v="2029-12-31T00:00:00"/>
    <s v="42 months"/>
    <n v="32900"/>
    <n v="27900"/>
    <n v="27900"/>
    <s v="Ready"/>
    <m/>
  </r>
  <r>
    <s v="0006863450RN0A4"/>
    <x v="1"/>
    <x v="1"/>
    <x v="8"/>
    <x v="5"/>
    <m/>
    <s v="Emulco Ltd  55 Godley Quay Lyttelton 0"/>
    <s v="DOWNER NEW ZEALAND LIMITED (NZBN: 9429039194114)"/>
    <m/>
    <s v="kWh"/>
    <n v="650828.848"/>
    <s v="Ecotricity"/>
    <s v="Ecotricity"/>
    <d v="2026-07-01T00:00:00"/>
    <d v="2029-12-31T00:00:00"/>
    <s v="42 months"/>
    <n v="143800"/>
    <n v="128100"/>
    <n v="128100"/>
    <s v="Ready"/>
    <m/>
  </r>
  <r>
    <s v="0007186219RN9AF"/>
    <x v="1"/>
    <x v="1"/>
    <x v="8"/>
    <x v="5"/>
    <m/>
    <s v="MINISTRY OF EDUCATION - AGHS &amp; SBHS,_x000a_171 TRAVIS ROAD, BURWOOD,_x000a_CHRISTCHURCH 8083"/>
    <s v="SPOTLESS FACILITY SERVICES (NZ) LIMITED (NZBN: 9429040596099)"/>
    <m/>
    <s v="kWh"/>
    <n v="862000"/>
    <s v="Ecotricity"/>
    <s v="Ecotricity"/>
    <d v="2026-07-01T00:00:00"/>
    <d v="2029-12-31T00:00:00"/>
    <s v="42 months"/>
    <s v=""/>
    <n v="0"/>
    <n v="0"/>
    <s v="Review required"/>
    <m/>
  </r>
  <r>
    <s v="0007186221RNC43"/>
    <x v="1"/>
    <x v="1"/>
    <x v="8"/>
    <x v="5"/>
    <m/>
    <s v="171 TRAVIS ROAD,_x000a_BURWOOD, CHRISTCHURCH 8083"/>
    <s v="SPOTLESS FACILITY SERVICES (NZ) LIMITED (NZBN: 9429040596099)"/>
    <m/>
    <s v="kWh"/>
    <n v="998000"/>
    <s v="Ecotricity"/>
    <s v="Ecotricity"/>
    <d v="2026-07-01T00:00:00"/>
    <d v="2029-12-31T00:00:00"/>
    <s v="42 months"/>
    <s v=""/>
    <n v="0"/>
    <n v="0"/>
    <s v="Review required"/>
    <m/>
  </r>
  <r>
    <s v="0007186223RNCC6"/>
    <x v="1"/>
    <x v="1"/>
    <x v="8"/>
    <x v="5"/>
    <m/>
    <s v="MINISTRY OF EDUCATION - SBHS,_x000a_1171 TRAVIS ROAD, BURWOOD,_x000a_CHRISTCHURCH 8083"/>
    <s v="SPOTLESS FACILITY SERVICES (NZ) LIMITED (NZBN: 9429040596099)"/>
    <m/>
    <s v="kWh"/>
    <n v="631000"/>
    <s v="Ecotricity"/>
    <s v="Ecotricity"/>
    <d v="2026-07-01T00:00:00"/>
    <d v="2029-12-31T00:00:00"/>
    <s v="42 months"/>
    <s v=""/>
    <n v="0"/>
    <n v="0"/>
    <s v="Review required"/>
    <m/>
  </r>
  <r>
    <s v="0007202058RN859"/>
    <x v="1"/>
    <x v="1"/>
    <x v="8"/>
    <x v="5"/>
    <m/>
    <s v="10 Charlotte Jane Quay Lyttelton 0"/>
    <s v="DOWNER NEW ZEALAND LIMITED (NZBN: 9429039194114)"/>
    <m/>
    <s v="kWh"/>
    <n v="872761.4399999999"/>
    <s v="Ecotricity"/>
    <s v="Ecotricity"/>
    <d v="2026-07-01T00:00:00"/>
    <d v="2029-12-31T00:00:00"/>
    <s v="42 months"/>
    <n v="168700"/>
    <n v="151000"/>
    <n v="151000"/>
    <s v="Ready"/>
    <m/>
  </r>
  <r>
    <s v="1000522230PCA6E"/>
    <x v="1"/>
    <x v="1"/>
    <x v="9"/>
    <x v="5"/>
    <m/>
    <s v="120 B AERODROME ROAD MOUNT MAUNGANUI 3116"/>
    <s v="DOWNER NEW ZEALAND LIMITED (NZBN: 9429039194114)"/>
    <m/>
    <s v="kWh"/>
    <n v="48441.87999999999"/>
    <s v="Ecotricity"/>
    <s v="Ecotricity"/>
    <d v="2026-07-01T00:00:00"/>
    <d v="2029-12-31T00:00:00"/>
    <s v="42 months"/>
    <n v="44000"/>
    <n v="36700"/>
    <n v="36700"/>
    <s v="Ready"/>
    <m/>
  </r>
  <r>
    <s v="1000610486PC18D"/>
    <x v="1"/>
    <x v="1"/>
    <x v="9"/>
    <x v="5"/>
    <m/>
    <s v="Commercial  345 MATAKOKIRI DRIVE OMANAWA TAURANGA 3171"/>
    <s v="DOWNER NEW ZEALAND LIMITED (NZBN: 9429039194114)"/>
    <m/>
    <s v="kWh"/>
    <n v="298706.66"/>
    <s v="Ecotricity"/>
    <s v="Ecotricity"/>
    <d v="2026-07-01T00:00:00"/>
    <d v="2029-12-31T00:00:00"/>
    <s v="42 months"/>
    <n v="85200"/>
    <n v="75500"/>
    <n v="75500"/>
    <s v="Ready"/>
    <m/>
  </r>
  <r>
    <s v="1001113152UNBF4"/>
    <x v="1"/>
    <x v="1"/>
    <x v="9"/>
    <x v="5"/>
    <m/>
    <s v="1 NGAURANGA GORGE ROAD NGAURANGA WELLINGTON 6035"/>
    <s v="DOWNER NEW ZEALAND LIMITED (NZBN: 9429039194114)"/>
    <m/>
    <s v="kWh"/>
    <n v="913592.952"/>
    <s v="Ecotricity"/>
    <s v="Ecotricity"/>
    <d v="2026-07-01T00:00:00"/>
    <d v="2029-12-31T00:00:00"/>
    <s v="42 months"/>
    <n v="220500"/>
    <n v="178700"/>
    <n v="178700"/>
    <s v="Ready"/>
    <m/>
  </r>
  <r>
    <s v="1001126325LC57C"/>
    <x v="1"/>
    <x v="1"/>
    <x v="9"/>
    <x v="5"/>
    <m/>
    <s v="WORKS INFRASTRUCTURE ASPHALT PLANT  645 GREAT SOUTH ROAD PENROSE AUCKLAND 1061"/>
    <s v="DOWNER NEW ZEALAND LIMITED (NZBN: 9429039194114)"/>
    <m/>
    <s v="kWh"/>
    <n v="1476649"/>
    <s v="Ecotricity"/>
    <s v="Ecotricity"/>
    <d v="2026-07-01T00:00:00"/>
    <d v="2029-12-31T00:00:00"/>
    <s v="42 months"/>
    <n v="420600"/>
    <n v="341400"/>
    <n v="341400"/>
    <s v="Ready"/>
    <m/>
  </r>
  <r>
    <s v="1001151226CK008"/>
    <x v="1"/>
    <x v="1"/>
    <x v="9"/>
    <x v="5"/>
    <m/>
    <s v="14- 16 MAKARO STREET ELSDON PORIRUA 5022"/>
    <s v="DOWNER NEW ZEALAND LIMITED (NZBN: 9429039194114)"/>
    <m/>
    <s v="kWh"/>
    <n v="445723.5699999999"/>
    <s v="Ecotricity"/>
    <s v="Ecotricity"/>
    <d v="2026-07-01T00:00:00"/>
    <d v="2029-12-31T00:00:00"/>
    <s v="42 months"/>
    <n v="106000"/>
    <n v="82900"/>
    <n v="82900"/>
    <s v="Ready"/>
    <m/>
  </r>
  <r>
    <s v="1001240514LC3EB"/>
    <x v="1"/>
    <x v="1"/>
    <x v="9"/>
    <x v="5"/>
    <m/>
    <s v="130 A KERRS ROAD WIRI AUCKLAND 2104"/>
    <s v="DOWNER NEW ZEALAND LIMITED (NZBN: 9429039194114)"/>
    <m/>
    <s v="kWh"/>
    <n v="1152846.384"/>
    <s v="Ecotricity"/>
    <s v="Ecotricity"/>
    <d v="2026-07-01T00:00:00"/>
    <d v="2029-12-31T00:00:00"/>
    <s v="42 months"/>
    <n v="332700"/>
    <n v="267900"/>
    <n v="267900"/>
    <s v="Ready"/>
    <m/>
  </r>
  <r>
    <s v="1002051460LC4EA"/>
    <x v="1"/>
    <x v="1"/>
    <x v="9"/>
    <x v="5"/>
    <m/>
    <s v="221 FLAT BUSH SCHOOL ROAD,_x000a_FLAT BUSH, AUCKLAND 2019"/>
    <s v="SPOTLESS FACILITY SERVICES (NZ) LIMITED (NZBN: 9429040596099)"/>
    <m/>
    <s v="kWh"/>
    <n v="457000"/>
    <s v="Ecotricity"/>
    <s v="Ecotricity"/>
    <d v="2026-07-01T00:00:00"/>
    <d v="2029-12-31T00:00:00"/>
    <s v="42 months"/>
    <s v=""/>
    <n v="0"/>
    <n v="0"/>
    <s v="Review required"/>
    <m/>
  </r>
  <r>
    <s v="1002053509UN51B"/>
    <x v="1"/>
    <x v="1"/>
    <x v="9"/>
    <x v="5"/>
    <m/>
    <s v="1/47 GILBRANSEN ROAD,_x000a_KUMEU 0810"/>
    <s v="SPOTLESS FACILITY SERVICES (NZ) LIMITED (NZBN: 9429040596099)"/>
    <m/>
    <s v="kWh"/>
    <n v="563000"/>
    <s v="Ecotricity"/>
    <s v="Ecotricity"/>
    <d v="2026-07-01T00:00:00"/>
    <d v="2029-12-31T00:00:00"/>
    <s v="42 months"/>
    <s v=""/>
    <n v="0"/>
    <n v="0"/>
    <s v="Review required"/>
    <m/>
  </r>
  <r>
    <s v="1002147325UN75B"/>
    <x v="1"/>
    <x v="1"/>
    <x v="9"/>
    <x v="5"/>
    <m/>
    <s v="BTS LOT 1 KAKANO ROAD WESTGATE AUCKLAND 814"/>
    <s v="DOWNER NEW ZEALAND LIMITED (NZBN: 9429039194114)"/>
    <m/>
    <s v="kWh"/>
    <n v="32015.504"/>
    <s v="Ecotricity"/>
    <s v="Ecotricity"/>
    <d v="2026-07-01T00:00:00"/>
    <d v="2029-12-31T00:00:00"/>
    <s v="42 months"/>
    <n v="49500"/>
    <n v="42400"/>
    <n v="42400"/>
    <s v="Ready"/>
    <m/>
  </r>
  <r>
    <s v="0000073603NAA76"/>
    <x v="0"/>
    <x v="1"/>
    <x v="9"/>
    <x v="6"/>
    <m/>
    <s v="139, Centennial Highway, Ngauranga, Wellington"/>
    <s v="DOWNER NEW ZEALAND LIMITED (NZBN: 9429039194114)"/>
    <m/>
    <s v="GJ"/>
    <n v="23000"/>
    <s v="Nova Energy"/>
    <s v="Nova"/>
    <d v="2026-10-01T00:00:00"/>
    <d v="2030-09-30T00:00:00"/>
    <s v="48 months"/>
    <n v="827700"/>
    <n v="727900"/>
    <n v="727900"/>
    <s v="Ready"/>
    <m/>
  </r>
  <r>
    <s v="0001022593NG2C3"/>
    <x v="0"/>
    <x v="1"/>
    <x v="9"/>
    <x v="6"/>
    <m/>
    <s v="16, Manchester Place, Te Rapa Straight, Hamilton"/>
    <s v="DOWNER NEW ZEALAND LIMITED (NZBN: 9429039194114)"/>
    <m/>
    <s v="GJ"/>
    <n v="18591"/>
    <s v="Nova Energy"/>
    <s v="Nova"/>
    <d v="2026-10-01T00:00:00"/>
    <d v="2030-09-30T00:00:00"/>
    <s v="48 months"/>
    <n v="796500"/>
    <n v="693500"/>
    <n v="693500"/>
    <s v="Ready"/>
    <m/>
  </r>
  <r>
    <s v="0001510110PG48F"/>
    <x v="0"/>
    <x v="1"/>
    <x v="9"/>
    <x v="6"/>
    <m/>
    <s v="Breakwater Road, Moturoa, New Plymouth"/>
    <s v="DOWNER NEW ZEALAND LIMITED (NZBN: 9429039194114)"/>
    <m/>
    <s v="GJ"/>
    <n v="8677"/>
    <s v="Nova Energy"/>
    <s v="Nova"/>
    <d v="2026-10-01T00:00:00"/>
    <d v="2030-09-30T00:00:00"/>
    <s v="48 months"/>
    <n v="339400"/>
    <n v="284600"/>
    <n v="284600"/>
    <s v="Ready"/>
    <m/>
  </r>
  <r>
    <s v="0005591470PG214"/>
    <x v="0"/>
    <x v="1"/>
    <x v="9"/>
    <x v="6"/>
    <m/>
    <s v="106, Rifle Range Road, Waiwhakaiho, New Plymouth"/>
    <s v="DOWNER NEW ZEALAND LIMITED (NZBN: 9429039194114)"/>
    <m/>
    <s v="GJ"/>
    <n v="8624"/>
    <s v="Nova Energy"/>
    <s v="Nova"/>
    <d v="2026-10-01T00:00:00"/>
    <d v="2030-09-30T00:00:00"/>
    <s v="48 months"/>
    <n v="367400"/>
    <n v="313500"/>
    <n v="313500"/>
    <s v="Ready"/>
    <m/>
  </r>
  <r>
    <s v="0009000218NG904"/>
    <x v="0"/>
    <x v="1"/>
    <x v="9"/>
    <x v="6"/>
    <m/>
    <s v="198, Totara Street, Mount Maunganui, Tauranga"/>
    <s v="DOWNER NEW ZEALAND LIMITED (NZBN: 9429039194114)"/>
    <m/>
    <s v="GJ"/>
    <n v="13930"/>
    <s v="Nova Energy"/>
    <s v="Nova"/>
    <d v="2026-10-01T00:00:00"/>
    <d v="2030-09-30T00:00:00"/>
    <s v="48 months"/>
    <n v="617000"/>
    <n v="527000"/>
    <n v="527000"/>
    <s v="Ready"/>
    <m/>
  </r>
  <r>
    <s v="0009000601NG1F9"/>
    <x v="0"/>
    <x v="1"/>
    <x v="9"/>
    <x v="6"/>
    <m/>
    <s v="Awapuni Road, Awapuni, Gisborne"/>
    <s v="DOWNER NEW ZEALAND LIMITED (NZBN: 9429039194114)"/>
    <m/>
    <s v="GJ"/>
    <n v="1148"/>
    <s v="Nova Energy"/>
    <s v="Nova"/>
    <d v="2026-10-01T00:00:00"/>
    <d v="2030-09-30T00:00:00"/>
    <s v="48 months"/>
    <n v="57700"/>
    <n v="48600"/>
    <n v="48600"/>
    <s v="Ready"/>
    <m/>
  </r>
  <r>
    <s v="1000521442PG37D"/>
    <x v="0"/>
    <x v="1"/>
    <x v="9"/>
    <x v="6"/>
    <m/>
    <s v="Breakwater Road, Moturoa, New Plymouth"/>
    <s v="DOWNER NEW ZEALAND LIMITED (NZBN: 9429039194114)"/>
    <m/>
    <s v="GJ"/>
    <n v="10285"/>
    <s v="Nova Energy"/>
    <s v="Nova"/>
    <d v="2026-10-01T00:00:00"/>
    <d v="2030-09-30T00:00:00"/>
    <s v="48 months"/>
    <n v="404300"/>
    <n v="358600"/>
    <n v="358600"/>
    <s v="Ready"/>
    <m/>
  </r>
  <r>
    <s v="1001126516QT2A3"/>
    <x v="0"/>
    <x v="1"/>
    <x v="9"/>
    <x v="6"/>
    <m/>
    <s v="645, Great South Road, Penrose, Auckland"/>
    <s v="DOWNER NEW ZEALAND LIMITED (NZBN: 9429039194114)"/>
    <m/>
    <s v="GJ"/>
    <n v="49433"/>
    <s v="Nova Energy"/>
    <s v="Nova"/>
    <d v="2026-10-01T00:00:00"/>
    <d v="2030-09-30T00:00:00"/>
    <s v="48 months"/>
    <n v="1915500"/>
    <n v="1649100"/>
    <n v="1649100"/>
    <s v="Ready"/>
    <m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 /></Relationships>
</file>

<file path=xl/pivotTables/pivotTable1.xml><?xml version="1.0" encoding="utf-8"?>
<pivotTableDefinition xmlns:r="http://schemas.openxmlformats.org/officeDocument/2006/relationships" xmlns="http://schemas.openxmlformats.org/spreadsheetml/2006/main" name="PivotTable2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0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H6:L25" firstHeaderRow="0" firstDataRow="1" firstDataCol="1" rowPageCount="1" colPageCount="1"/>
  <pivotFields count="21">
    <pivotField dataField="1" showDropDowns="1" compact="1" outline="1" subtotalTop="0" dragToRow="1" dragToCol="1" dragToPage="1" dragToData="1" dragOff="1" showAll="0" topAutoShow="1" itemPageCount="10" sortType="manual" defaultSubtotal="1"/>
    <pivotField axis="axisRow" showDropDowns="1" compact="1" outline="1" subtotalTop="0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axis="axisPage" showDropDowns="1" compact="1" outline="1" subtotalTop="0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axis="axisRow" showDropDowns="1" compact="1" outline="1" subtotalTop="0" dragToRow="1" dragToCol="1" dragToPage="1" dragToData="1" dragOff="1" showAll="0" topAutoShow="1" itemPageCount="10" sortType="manual" defaultSubtotal="1">
      <items count="11">
        <item t="data" sd="1" x="0"/>
        <item t="data" sd="1" x="9"/>
        <item t="data" sd="1" x="1"/>
        <item t="data" sd="1" x="7"/>
        <item t="data" sd="1" x="6"/>
        <item t="data" sd="1" x="2"/>
        <item t="data" sd="1" x="8"/>
        <item t="data" sd="1" x="3"/>
        <item t="data" sd="1" x="4"/>
        <item t="data" sd="1" x="5"/>
        <item t="default" sd="1"/>
      </items>
    </pivotField>
    <pivotField axis="axisRow" showDropDowns="1" compact="1" outline="1" subtotalTop="0" dragToRow="1" dragToCol="1" dragToPage="1" dragToData="1" dragOff="1" showAll="0" topAutoShow="1" itemPageCount="10" sortType="manual" defaultSubtotal="1">
      <items count="20">
        <item t="data" sd="1" m="1" x="7"/>
        <item t="data" sd="1" x="1"/>
        <item t="data" sd="1" m="1" x="8"/>
        <item t="data" sd="1" m="1" x="9"/>
        <item t="data" sd="1" m="1" x="10"/>
        <item t="data" sd="1" m="1" x="15"/>
        <item t="data" sd="1" m="1" x="16"/>
        <item t="data" sd="1" m="1" x="11"/>
        <item t="data" sd="1" m="1" x="12"/>
        <item t="data" sd="1" m="1" x="13"/>
        <item t="data" sd="1" m="1" x="17"/>
        <item t="data" sd="1" m="1" x="18"/>
        <item t="data" sd="1" m="1" x="14"/>
        <item t="data" sd="1" x="0"/>
        <item t="data" sd="1" x="2"/>
        <item t="data" sd="1" x="3"/>
        <item t="data" sd="1" x="4"/>
        <item t="data" sd="1" x="5"/>
        <item t="data" sd="1" x="6"/>
        <item t="default" sd="1"/>
      </items>
    </pivotField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numFmtId="164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dataField="1" showDropDowns="1" compact="1" outline="1" subtotalTop="0" dragToRow="1" dragToCol="1" dragToPage="1" dragToData="1" dragOff="1" showAll="0" topAutoShow="1" itemPageCount="10" sortType="manual" defaultSubtotal="1"/>
    <pivotField dataField="1" showDropDowns="1" compact="1" outline="1" subtotalTop="0" dragToRow="1" dragToCol="1" dragToPage="1" dragToData="1" dragOff="1" showAll="0" topAutoShow="1" itemPageCount="10" sortType="manual" defaultSubtotal="1"/>
    <pivotField dataField="1"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</pivotFields>
  <rowFields count="3">
    <field x="1"/>
    <field x="4"/>
    <field x="3"/>
  </rowFields>
  <rowItems count="19">
    <i t="data" r="0" i="0">
      <x v="0"/>
    </i>
    <i t="data" r="1" i="0">
      <x v="15"/>
    </i>
    <i t="data" r="2" i="0">
      <x v="1"/>
    </i>
    <i t="data" r="2" i="0">
      <x v="6"/>
    </i>
    <i t="default" r="1" i="0">
      <x v="15"/>
    </i>
    <i t="data" r="1" i="0">
      <x v="17"/>
    </i>
    <i t="data" r="2" i="0">
      <x v="1"/>
    </i>
    <i t="data" r="2" i="0">
      <x v="6"/>
    </i>
    <i t="default" r="1" i="0">
      <x v="17"/>
    </i>
    <i t="default" r="0" i="0">
      <x v="0"/>
    </i>
    <i t="data" r="0" i="0">
      <x v="1"/>
    </i>
    <i t="data" r="1" i="0">
      <x v="16"/>
    </i>
    <i t="data" r="2" i="0">
      <x v="1"/>
    </i>
    <i t="default" r="1" i="0">
      <x v="16"/>
    </i>
    <i t="data" r="1" i="0">
      <x v="18"/>
    </i>
    <i t="data" r="2" i="0">
      <x v="1"/>
    </i>
    <i t="default" r="1" i="0">
      <x v="18"/>
    </i>
    <i t="default" r="0" i="0">
      <x v="1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pageFields count="1">
    <pageField fld="2" item="1" hier="-1"/>
  </pageFields>
  <dataFields count="4">
    <dataField name="Count of Connection ID" fld="0" subtotal="count" showDataAs="normal" baseField="0" baseItem="0"/>
    <dataField name="Sum of FY26 Budget" fld="16" subtotal="sum" showDataAs="normal" baseField="1" baseItem="0"/>
    <dataField name="Sum of FY27 Budget" fld="17" subtotal="sum" showDataAs="normal" baseField="1" baseItem="0"/>
    <dataField name="Sum of FY28 Budget" fld="18" subtotal="sum" showDataAs="normal" baseField="1" baseItem="0"/>
  </dataFields>
  <formats count="5">
    <format action="formatting" dxfId="16">
      <pivotArea type="normal" dataOnly="1" outline="0" collapsedLevelsAreSubtotals="1" fieldPosition="0"/>
    </format>
    <format action="formatting" dxfId="15">
      <pivotArea type="normal" dataOnly="0" labelOnly="1" outline="0" fieldPosition="0">
        <references count="1">
          <reference field="4294967294">
            <x v="1"/>
            <x v="2"/>
            <x v="3"/>
          </reference>
        </references>
      </pivotArea>
    </format>
    <format action="formatting" dxfId="14">
      <pivotArea type="normal" dataOnly="0" labelOnly="1" outline="0" fieldPosition="0">
        <references count="1">
          <reference field="4294967294">
            <x v="1"/>
            <x v="2"/>
            <x v="3"/>
          </reference>
        </references>
      </pivotArea>
    </format>
    <format action="formatting" dxfId="13">
      <pivotArea type="normal" dataOnly="1" outline="0" collapsedLevelsAreSubtotals="1" fieldPosition="0">
        <references count="1">
          <reference field="4294967294" selected="0">
            <x v="0"/>
          </reference>
        </references>
      </pivotArea>
    </format>
    <format action="formatting" dxfId="12">
      <pivotArea type="normal" dataOnly="0" labelOnly="1" outline="0" fieldPosition="0">
        <references count="1">
          <reference field="4294967294">
            <x v="0"/>
          </reference>
        </references>
      </pivotArea>
    </format>
  </formats>
  <pivotTableStyleInfo name="PivotStyleLight19" showRowHeaders="1" showColHeaders="1" showRowStripes="0" showColStripes="0" showLastColumn="1"/>
</pivotTableDefinition>
</file>

<file path=xl/pivotTables/pivotTable2.xml><?xml version="1.0" encoding="utf-8"?>
<pivotTableDefinition xmlns:r="http://schemas.openxmlformats.org/officeDocument/2006/relationships" xmlns="http://schemas.openxmlformats.org/spreadsheetml/2006/main" name="PivotTable1" cacheId="0" dataOnRows="0" dataCaption="Values" showError="0" showMissing="1" updatedVersion="8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0" fieldPrintTitles="0" itemPrintTitles="1" mergeItem="0" showDropZones="1" createdVersion="8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 r:id="rId1">
  <location ref="B6:F41" firstHeaderRow="0" firstDataRow="1" firstDataCol="1" rowPageCount="1" colPageCount="1"/>
  <pivotFields count="21">
    <pivotField dataField="1" showDropDowns="1" compact="1" outline="1" subtotalTop="0" dragToRow="1" dragToCol="1" dragToPage="1" dragToData="1" dragOff="1" showAll="0" topAutoShow="1" itemPageCount="10" sortType="manual" defaultSubtotal="1"/>
    <pivotField axis="axisRow" showDropDowns="1" compact="1" outline="1" subtotalTop="0" dragToRow="1" dragToCol="1" dragToPage="1" dragToData="1" dragOff="1" showAll="0" topAutoShow="1" itemPageCount="10" sortType="manual" defaultSubtotal="1">
      <items count="3">
        <item t="data" sd="1" x="1"/>
        <item t="data" sd="1" x="0"/>
        <item t="default" sd="1"/>
      </items>
    </pivotField>
    <pivotField axis="axisPage" showDropDowns="1" compact="1" outline="1" subtotalTop="0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axis="axisRow" showDropDowns="1" compact="1" outline="1" subtotalTop="0" dragToRow="1" dragToCol="1" dragToPage="1" dragToData="1" dragOff="1" showAll="0" topAutoShow="1" itemPageCount="10" sortType="manual" defaultSubtotal="1">
      <items count="11">
        <item t="data" sd="1" x="0"/>
        <item t="data" sd="1" x="9"/>
        <item t="data" sd="1" x="1"/>
        <item t="data" sd="1" x="7"/>
        <item t="data" sd="1" x="6"/>
        <item t="data" sd="1" x="2"/>
        <item t="data" sd="1" x="8"/>
        <item t="data" sd="1" x="3"/>
        <item t="data" sd="1" x="4"/>
        <item t="data" sd="1" x="5"/>
        <item t="default" sd="1"/>
      </items>
    </pivotField>
    <pivotField axis="axisRow" showDropDowns="1" compact="1" outline="1" subtotalTop="0" dragToRow="1" dragToCol="1" dragToPage="1" dragToData="1" dragOff="1" showAll="0" topAutoShow="1" itemPageCount="10" sortType="manual" defaultSubtotal="1">
      <items count="20">
        <item t="data" sd="1" m="1" x="7"/>
        <item t="data" sd="1" x="1"/>
        <item t="data" sd="1" m="1" x="8"/>
        <item t="data" sd="1" m="1" x="9"/>
        <item t="data" sd="1" m="1" x="10"/>
        <item t="data" sd="1" m="1" x="15"/>
        <item t="data" sd="1" m="1" x="16"/>
        <item t="data" sd="1" m="1" x="11"/>
        <item t="data" sd="1" m="1" x="12"/>
        <item t="data" sd="1" m="1" x="13"/>
        <item t="data" sd="1" m="1" x="17"/>
        <item t="data" sd="1" m="1" x="18"/>
        <item t="data" sd="1" m="1" x="14"/>
        <item t="data" sd="1" x="0"/>
        <item t="data" sd="1" x="2"/>
        <item t="data" sd="1" x="3"/>
        <item t="data" sd="1" x="4"/>
        <item t="data" sd="1" x="5"/>
        <item t="data" sd="1" x="6"/>
        <item t="default" sd="1"/>
      </items>
    </pivotField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numFmtId="164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dataField="1" showDropDowns="1" compact="1" outline="1" subtotalTop="0" dragToRow="1" dragToCol="1" dragToPage="1" dragToData="1" dragOff="1" showAll="0" topAutoShow="1" itemPageCount="10" sortType="manual" defaultSubtotal="1"/>
    <pivotField dataField="1" showDropDowns="1" compact="1" outline="1" subtotalTop="0" dragToRow="1" dragToCol="1" dragToPage="1" dragToData="1" dragOff="1" showAll="0" topAutoShow="1" itemPageCount="10" sortType="manual" defaultSubtotal="1"/>
    <pivotField dataField="1"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  <pivotField showDropDowns="1" compact="1" outline="1" subtotalTop="0" dragToRow="1" dragToCol="1" dragToPage="1" dragToData="1" dragOff="1" showAll="0" topAutoShow="1" itemPageCount="10" sortType="manual" defaultSubtotal="1"/>
  </pivotFields>
  <rowFields count="3">
    <field x="1"/>
    <field x="4"/>
    <field x="3"/>
  </rowFields>
  <rowItems count="35">
    <i t="data" r="0" i="0">
      <x v="0"/>
    </i>
    <i t="data" r="1" i="0">
      <x v="1"/>
    </i>
    <i t="data" r="2" i="0">
      <x v="0"/>
    </i>
    <i t="data" r="2" i="0">
      <x v="2"/>
    </i>
    <i t="data" r="2" i="0">
      <x v="3"/>
    </i>
    <i t="data" r="2" i="0">
      <x v="4"/>
    </i>
    <i t="data" r="2" i="0">
      <x v="5"/>
    </i>
    <i t="data" r="2" i="0">
      <x v="7"/>
    </i>
    <i t="data" r="2" i="0">
      <x v="8"/>
    </i>
    <i t="data" r="2" i="0">
      <x v="9"/>
    </i>
    <i t="default" r="1" i="0">
      <x v="1"/>
    </i>
    <i t="data" r="1" i="0">
      <x v="14"/>
    </i>
    <i t="data" r="2" i="0">
      <x v="2"/>
    </i>
    <i t="data" r="2" i="0">
      <x v="4"/>
    </i>
    <i t="data" r="2" i="0">
      <x v="5"/>
    </i>
    <i t="data" r="2" i="0">
      <x v="8"/>
    </i>
    <i t="default" r="1" i="0">
      <x v="14"/>
    </i>
    <i t="default" r="0" i="0">
      <x v="0"/>
    </i>
    <i t="data" r="0" i="0">
      <x v="1"/>
    </i>
    <i t="data" r="1" i="0">
      <x v="13"/>
    </i>
    <i t="data" r="2" i="0">
      <x v="0"/>
    </i>
    <i t="data" r="2" i="0">
      <x v="2"/>
    </i>
    <i t="data" r="2" i="0">
      <x v="5"/>
    </i>
    <i t="data" r="2" i="0">
      <x v="7"/>
    </i>
    <i t="data" r="2" i="0">
      <x v="8"/>
    </i>
    <i t="data" r="2" i="0">
      <x v="9"/>
    </i>
    <i t="default" r="1" i="0">
      <x v="13"/>
    </i>
    <i t="data" r="1" i="0">
      <x v="14"/>
    </i>
    <i t="data" r="2" i="0">
      <x v="2"/>
    </i>
    <i t="data" r="2" i="0">
      <x v="4"/>
    </i>
    <i t="data" r="2" i="0">
      <x v="5"/>
    </i>
    <i t="data" r="2" i="0">
      <x v="8"/>
    </i>
    <i t="default" r="1" i="0">
      <x v="14"/>
    </i>
    <i t="default" r="0" i="0">
      <x v="1"/>
    </i>
    <i t="grand" r="0" i="0">
      <x v="0"/>
    </i>
  </rowItems>
  <colFields count="1">
    <field x="-2"/>
  </colFields>
  <colItems count="4">
    <i t="data" r="0" i="0">
      <x v="0"/>
    </i>
    <i t="data" r="0" i="1">
      <x v="1"/>
    </i>
    <i t="data" r="0" i="2">
      <x v="2"/>
    </i>
    <i t="data" r="0" i="3">
      <x v="3"/>
    </i>
  </colItems>
  <pageFields count="1">
    <pageField fld="2" item="0" hier="-1"/>
  </pageFields>
  <dataFields count="4">
    <dataField name="Count of Connection ID" fld="0" subtotal="count" showDataAs="normal" baseField="0" baseItem="0"/>
    <dataField name="Sum of FY26 Budget" fld="16" subtotal="sum" showDataAs="normal" baseField="1" baseItem="0"/>
    <dataField name="Sum of FY27 Budget" fld="17" subtotal="sum" showDataAs="normal" baseField="1" baseItem="0"/>
    <dataField name="Sum of FY28 Budget" fld="18" subtotal="sum" showDataAs="normal" baseField="1" baseItem="0"/>
  </dataFields>
  <formats count="7">
    <format action="formatting" dxfId="11">
      <pivotArea type="normal" dataOnly="1" outline="0" collapsedLevelsAreSubtotals="1" fieldPosition="0"/>
    </format>
    <format action="formatting" dxfId="10">
      <pivotArea type="normal" dataOnly="0" labelOnly="1" outline="0" fieldPosition="0">
        <references count="1">
          <reference field="4294967294">
            <x v="1"/>
            <x v="2"/>
            <x v="3"/>
          </reference>
        </references>
      </pivotArea>
    </format>
    <format action="formatting" dxfId="9">
      <pivotArea type="normal" dataOnly="0" labelOnly="1" outline="0" fieldPosition="0">
        <references count="1">
          <reference field="4294967294">
            <x v="1"/>
            <x v="2"/>
            <x v="3"/>
          </reference>
        </references>
      </pivotArea>
    </format>
    <format action="formatting" dxfId="8">
      <pivotArea type="normal" dataOnly="1" outline="0" collapsedLevelsAreSubtotals="1" fieldPosition="0">
        <references count="1">
          <reference field="4294967294" selected="0">
            <x v="0"/>
          </reference>
        </references>
      </pivotArea>
    </format>
    <format action="formatting" dxfId="7">
      <pivotArea type="normal" dataOnly="0" labelOnly="1" outline="0" fieldPosition="0">
        <references count="1">
          <reference field="4294967294">
            <x v="0"/>
          </reference>
        </references>
      </pivotArea>
    </format>
    <format action="formatting" dxfId="6">
      <pivotArea type="normal" dataOnly="1" outline="1" collapsedLevelsAreSubtotals="1" fieldPosition="0">
        <references count="4">
          <reference field="4294967294" selected="0">
            <x v="2"/>
            <x v="3"/>
          </reference>
          <reference field="1" selected="0">
            <x v="1"/>
          </reference>
          <reference field="3">
            <x v="7"/>
          </reference>
          <reference field="4" selected="0">
            <x v="13"/>
          </reference>
        </references>
      </pivotArea>
    </format>
    <format action="formatting" dxfId="5">
      <pivotArea type="normal" dataOnly="1" outline="1" collapsedLevelsAreSubtotals="1" fieldPosition="0">
        <references count="4">
          <reference field="4294967294" selected="0">
            <x v="3"/>
          </reference>
          <reference field="1" selected="0">
            <x v="1"/>
          </reference>
          <reference field="3">
            <x v="9"/>
          </reference>
          <reference field="4" selected="0">
            <x v="13"/>
          </reference>
        </references>
      </pivotArea>
    </format>
  </formats>
  <pivotTableStyleInfo name="PivotStyleLight19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Utilizer Branding 2024 Theme_New">
  <a:themeElements>
    <a:clrScheme name="UtilizerBranding_2024">
      <a:dk1>
        <a:srgbClr val="301C52"/>
      </a:dk1>
      <a:lt1>
        <a:srgbClr val="F2F2F2"/>
      </a:lt1>
      <a:dk2>
        <a:srgbClr val="301C52"/>
      </a:dk2>
      <a:lt2>
        <a:srgbClr val="FFFFFF"/>
      </a:lt2>
      <a:accent1>
        <a:srgbClr val="0CF4E3"/>
      </a:accent1>
      <a:accent2>
        <a:srgbClr val="0AE2CD"/>
      </a:accent2>
      <a:accent3>
        <a:srgbClr val="009684"/>
      </a:accent3>
      <a:accent4>
        <a:srgbClr val="301C52"/>
      </a:accent4>
      <a:accent5>
        <a:srgbClr val="9D8DF1"/>
      </a:accent5>
      <a:accent6>
        <a:srgbClr val="DE6449"/>
      </a:accent6>
      <a:hlink>
        <a:srgbClr val="0CF4E3"/>
      </a:hlink>
      <a:folHlink>
        <a:srgbClr val="9D8DF1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UtilizerBranding_2024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 /><Relationship Type="http://schemas.openxmlformats.org/officeDocument/2006/relationships/pivotTable" Target="/xl/pivotTables/pivotTable2.xml" Id="rId2" 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41"/>
  <sheetViews>
    <sheetView showGridLines="0" zoomScale="90" zoomScaleNormal="90" workbookViewId="0">
      <selection activeCell="I6" sqref="I6"/>
    </sheetView>
  </sheetViews>
  <sheetFormatPr baseColWidth="8" defaultRowHeight="14.25"/>
  <cols>
    <col width="2.875" customWidth="1" min="1" max="1"/>
    <col width="22.875" bestFit="1" customWidth="1" min="2" max="2"/>
    <col width="19" bestFit="1" customWidth="1" min="3" max="3"/>
    <col width="16.5" bestFit="1" customWidth="1" style="46" min="4" max="5"/>
    <col width="16.5" bestFit="1" customWidth="1" min="6" max="6"/>
    <col width="2.5" customWidth="1" min="7" max="7"/>
    <col width="23.125" bestFit="1" customWidth="1" min="8" max="8"/>
    <col width="19" bestFit="1" customWidth="1" min="9" max="9"/>
    <col width="16.5" bestFit="1" customWidth="1" min="10" max="12"/>
  </cols>
  <sheetData>
    <row r="2" ht="15" customHeight="1">
      <c r="B2" s="65" t="inlineStr">
        <is>
          <t>Forecast Buffer</t>
        </is>
      </c>
      <c r="C2" s="64" t="n">
        <v>0.05</v>
      </c>
    </row>
    <row r="4">
      <c r="B4" s="42" t="inlineStr">
        <is>
          <t>Country</t>
        </is>
      </c>
      <c r="C4" t="inlineStr">
        <is>
          <t>Australia</t>
        </is>
      </c>
      <c r="H4" s="42" t="inlineStr">
        <is>
          <t>Country</t>
        </is>
      </c>
      <c r="I4" t="inlineStr">
        <is>
          <t>New Zealand</t>
        </is>
      </c>
      <c r="J4" s="46" t="n"/>
      <c r="K4" s="46" t="n"/>
    </row>
    <row r="5">
      <c r="J5" s="46" t="n"/>
      <c r="K5" s="46" t="n"/>
    </row>
    <row r="6">
      <c r="B6" s="42" t="inlineStr">
        <is>
          <t>Row Labels</t>
        </is>
      </c>
      <c r="C6" t="inlineStr">
        <is>
          <t>Count of Connection ID</t>
        </is>
      </c>
      <c r="D6" s="47" t="inlineStr">
        <is>
          <t>Sum of FY26 Budget</t>
        </is>
      </c>
      <c r="E6" s="47" t="inlineStr">
        <is>
          <t>Sum of FY27 Budget</t>
        </is>
      </c>
      <c r="F6" s="47" t="inlineStr">
        <is>
          <t>Sum of FY28 Budget</t>
        </is>
      </c>
      <c r="H6" s="42" t="inlineStr">
        <is>
          <t>Row Labels</t>
        </is>
      </c>
      <c r="I6" t="inlineStr">
        <is>
          <t>Count of Connection ID</t>
        </is>
      </c>
      <c r="J6" s="47" t="inlineStr">
        <is>
          <t>Sum of FY26 Budget</t>
        </is>
      </c>
      <c r="K6" s="47" t="inlineStr">
        <is>
          <t>Sum of FY27 Budget</t>
        </is>
      </c>
      <c r="L6" s="47" t="inlineStr">
        <is>
          <t>Sum of FY28 Budget</t>
        </is>
      </c>
    </row>
    <row r="7">
      <c r="B7" s="43" t="inlineStr">
        <is>
          <t>Electricity</t>
        </is>
      </c>
      <c r="F7" s="46" t="n"/>
      <c r="H7" s="43" t="inlineStr">
        <is>
          <t>Electricity</t>
        </is>
      </c>
      <c r="J7" s="46" t="n"/>
      <c r="K7" s="46" t="n"/>
      <c r="L7" s="46" t="n"/>
    </row>
    <row r="8">
      <c r="B8" s="44" t="inlineStr">
        <is>
          <t>AU Large Electricity</t>
        </is>
      </c>
      <c r="F8" s="46" t="n"/>
      <c r="H8" s="44" t="inlineStr">
        <is>
          <t>NZ NTOU Electricity</t>
        </is>
      </c>
      <c r="J8" s="46" t="n"/>
      <c r="K8" s="46" t="n"/>
      <c r="L8" s="46" t="n"/>
    </row>
    <row r="9">
      <c r="B9" s="45" t="inlineStr">
        <is>
          <t>ACT</t>
        </is>
      </c>
      <c r="C9" t="n">
        <v>1</v>
      </c>
      <c r="D9" s="46" t="n">
        <v>250500</v>
      </c>
      <c r="E9" s="46" t="n">
        <v>194100</v>
      </c>
      <c r="F9" s="46" t="n">
        <v>192500</v>
      </c>
      <c r="H9" s="45" t="inlineStr">
        <is>
          <t>North Island</t>
        </is>
      </c>
      <c r="I9" t="n">
        <v>96</v>
      </c>
      <c r="J9" s="46" t="n">
        <v>894400</v>
      </c>
      <c r="K9" s="46" t="n">
        <v>1046200</v>
      </c>
      <c r="L9" s="46" t="n">
        <v>1046200</v>
      </c>
    </row>
    <row r="10">
      <c r="B10" s="45" t="inlineStr">
        <is>
          <t>NSW</t>
        </is>
      </c>
      <c r="C10" t="n">
        <v>36</v>
      </c>
      <c r="D10" s="46" t="n">
        <v>8697700</v>
      </c>
      <c r="E10" s="46" t="n">
        <v>7443200</v>
      </c>
      <c r="F10" s="46" t="n">
        <v>7402300</v>
      </c>
      <c r="H10" s="45" t="inlineStr">
        <is>
          <t>South Island</t>
        </is>
      </c>
      <c r="I10" t="n">
        <v>36</v>
      </c>
      <c r="J10" s="46" t="n">
        <v>367000</v>
      </c>
      <c r="K10" s="46" t="n">
        <v>405300</v>
      </c>
      <c r="L10" s="46" t="n">
        <v>405300</v>
      </c>
    </row>
    <row r="11">
      <c r="B11" s="45" t="inlineStr">
        <is>
          <t>NT</t>
        </is>
      </c>
      <c r="C11" t="n">
        <v>3</v>
      </c>
      <c r="D11" s="46" t="n">
        <v>718000</v>
      </c>
      <c r="E11" s="46" t="n">
        <v>822300</v>
      </c>
      <c r="F11" s="46" t="n">
        <v>822300</v>
      </c>
      <c r="H11" s="44" t="inlineStr">
        <is>
          <t>NZ NTOU Electricity Total</t>
        </is>
      </c>
      <c r="I11" t="n">
        <v>132</v>
      </c>
      <c r="J11" s="46" t="n">
        <v>1261400</v>
      </c>
      <c r="K11" s="46" t="n">
        <v>1451500</v>
      </c>
      <c r="L11" s="46" t="n">
        <v>1451500</v>
      </c>
    </row>
    <row r="12">
      <c r="B12" s="45" t="inlineStr">
        <is>
          <t>QLD</t>
        </is>
      </c>
      <c r="C12" t="n">
        <v>17</v>
      </c>
      <c r="D12" s="46" t="n">
        <v>4434000</v>
      </c>
      <c r="E12" s="46" t="n">
        <v>4031200</v>
      </c>
      <c r="F12" s="46" t="n">
        <v>4061800</v>
      </c>
      <c r="H12" s="44" t="inlineStr">
        <is>
          <t>NZ TOU Electricity</t>
        </is>
      </c>
      <c r="J12" s="46" t="n"/>
      <c r="K12" s="46" t="n"/>
      <c r="L12" s="46" t="n"/>
    </row>
    <row r="13">
      <c r="B13" s="45" t="inlineStr">
        <is>
          <t>SA</t>
        </is>
      </c>
      <c r="C13" t="n">
        <v>4</v>
      </c>
      <c r="D13" s="46" t="n">
        <v>556200</v>
      </c>
      <c r="E13" s="46" t="n">
        <v>452900</v>
      </c>
      <c r="F13" s="46" t="n">
        <v>454900</v>
      </c>
      <c r="H13" s="45" t="inlineStr">
        <is>
          <t>North Island</t>
        </is>
      </c>
      <c r="I13" t="n">
        <v>17</v>
      </c>
      <c r="J13" s="46" t="n">
        <v>2353000</v>
      </c>
      <c r="K13" s="46" t="n">
        <v>1928800</v>
      </c>
      <c r="L13" s="46" t="n">
        <v>1928800</v>
      </c>
    </row>
    <row r="14">
      <c r="B14" s="45" t="inlineStr">
        <is>
          <t>TAS</t>
        </is>
      </c>
      <c r="C14" t="n">
        <v>3</v>
      </c>
      <c r="D14" s="46" t="n">
        <v>402900</v>
      </c>
      <c r="E14" s="46" t="n">
        <v>321700</v>
      </c>
      <c r="F14" s="46" t="n">
        <v>321300</v>
      </c>
      <c r="H14" s="45" t="inlineStr">
        <is>
          <t>South Island</t>
        </is>
      </c>
      <c r="I14" t="n">
        <v>9</v>
      </c>
      <c r="J14" s="46" t="n">
        <v>705700</v>
      </c>
      <c r="K14" s="46" t="n">
        <v>631000</v>
      </c>
      <c r="L14" s="46" t="n">
        <v>631000</v>
      </c>
    </row>
    <row r="15">
      <c r="B15" s="45" t="inlineStr">
        <is>
          <t>VIC</t>
        </is>
      </c>
      <c r="C15" t="n">
        <v>10</v>
      </c>
      <c r="D15" s="46" t="n">
        <v>1082100</v>
      </c>
      <c r="E15" s="46" t="n">
        <v>1056600</v>
      </c>
      <c r="F15" s="46" t="n">
        <v>1061500</v>
      </c>
      <c r="H15" s="44" t="inlineStr">
        <is>
          <t>NZ TOU Electricity Total</t>
        </is>
      </c>
      <c r="I15" t="n">
        <v>26</v>
      </c>
      <c r="J15" s="46" t="n">
        <v>3058700</v>
      </c>
      <c r="K15" s="46" t="n">
        <v>2559800</v>
      </c>
      <c r="L15" s="46" t="n">
        <v>2559800</v>
      </c>
    </row>
    <row r="16">
      <c r="B16" s="45" t="inlineStr">
        <is>
          <t>WA</t>
        </is>
      </c>
      <c r="C16" t="n">
        <v>7</v>
      </c>
      <c r="D16" s="46" t="n">
        <v>2045700</v>
      </c>
      <c r="E16" s="46" t="n">
        <v>1937600</v>
      </c>
      <c r="F16" s="46" t="n">
        <v>1937600</v>
      </c>
      <c r="H16" s="43" t="inlineStr">
        <is>
          <t>Electricity Total</t>
        </is>
      </c>
      <c r="I16" t="n">
        <v>158</v>
      </c>
      <c r="J16" s="46" t="n">
        <v>4320100</v>
      </c>
      <c r="K16" s="46" t="n">
        <v>4011300</v>
      </c>
      <c r="L16" s="46" t="n">
        <v>4011300</v>
      </c>
    </row>
    <row r="17">
      <c r="B17" s="44" t="inlineStr">
        <is>
          <t>AU Large Electricity Total</t>
        </is>
      </c>
      <c r="C17" t="n">
        <v>81</v>
      </c>
      <c r="D17" s="46" t="n">
        <v>18187100</v>
      </c>
      <c r="E17" s="46" t="n">
        <v>16259600</v>
      </c>
      <c r="F17" s="46" t="n">
        <v>16254200</v>
      </c>
      <c r="H17" s="43" t="inlineStr">
        <is>
          <t>Natural Gas</t>
        </is>
      </c>
      <c r="J17" s="46" t="n"/>
      <c r="K17" s="46" t="n"/>
      <c r="L17" s="46" t="n"/>
    </row>
    <row r="18">
      <c r="B18" s="44" t="inlineStr">
        <is>
          <t>AU Small Energy</t>
        </is>
      </c>
      <c r="F18" s="46" t="n"/>
      <c r="H18" s="44" t="inlineStr">
        <is>
          <t>NZ NTOU Natural Gas</t>
        </is>
      </c>
      <c r="J18" s="46" t="n"/>
      <c r="K18" s="46" t="n"/>
      <c r="L18" s="46" t="n"/>
    </row>
    <row r="19">
      <c r="B19" s="45" t="inlineStr">
        <is>
          <t>NSW</t>
        </is>
      </c>
      <c r="C19" t="n">
        <v>11</v>
      </c>
      <c r="D19" s="46" t="n">
        <v>198000</v>
      </c>
      <c r="E19" s="46" t="n">
        <v>150000</v>
      </c>
      <c r="F19" s="46" t="n">
        <v>150000</v>
      </c>
      <c r="H19" s="45" t="inlineStr">
        <is>
          <t>North Island</t>
        </is>
      </c>
      <c r="I19" t="n">
        <v>12</v>
      </c>
      <c r="J19" s="46" t="n">
        <v>17100</v>
      </c>
      <c r="K19" s="46" t="n">
        <v>17900</v>
      </c>
      <c r="L19" s="46" t="n">
        <v>17900</v>
      </c>
    </row>
    <row r="20">
      <c r="B20" s="45" t="inlineStr">
        <is>
          <t>QLD</t>
        </is>
      </c>
      <c r="C20" t="n">
        <v>5</v>
      </c>
      <c r="D20" s="46" t="n">
        <v>62400</v>
      </c>
      <c r="E20" s="46" t="n">
        <v>61500</v>
      </c>
      <c r="F20" s="46" t="n">
        <v>61500</v>
      </c>
      <c r="H20" s="44" t="inlineStr">
        <is>
          <t>NZ NTOU Natural Gas Total</t>
        </is>
      </c>
      <c r="I20" t="n">
        <v>12</v>
      </c>
      <c r="J20" s="46" t="n">
        <v>17100</v>
      </c>
      <c r="K20" s="46" t="n">
        <v>17900</v>
      </c>
      <c r="L20" s="46" t="n">
        <v>17900</v>
      </c>
    </row>
    <row r="21">
      <c r="B21" s="45" t="inlineStr">
        <is>
          <t>SA</t>
        </is>
      </c>
      <c r="C21" t="n">
        <v>10</v>
      </c>
      <c r="D21" s="46" t="n">
        <v>74600</v>
      </c>
      <c r="E21" s="46" t="n">
        <v>66500</v>
      </c>
      <c r="F21" s="46" t="n">
        <v>66500</v>
      </c>
      <c r="H21" s="44" t="inlineStr">
        <is>
          <t>NZ TOU Natural Gas</t>
        </is>
      </c>
      <c r="J21" s="46" t="n"/>
      <c r="K21" s="46" t="n"/>
      <c r="L21" s="46" t="n"/>
    </row>
    <row r="22">
      <c r="B22" s="45" t="inlineStr">
        <is>
          <t>VIC</t>
        </is>
      </c>
      <c r="C22" t="n">
        <v>24</v>
      </c>
      <c r="D22" s="46" t="n">
        <v>152500</v>
      </c>
      <c r="E22" s="46" t="n">
        <v>117100</v>
      </c>
      <c r="F22" s="46" t="n">
        <v>117100</v>
      </c>
      <c r="H22" s="45" t="inlineStr">
        <is>
          <t>North Island</t>
        </is>
      </c>
      <c r="I22" t="n">
        <v>8</v>
      </c>
      <c r="J22" s="46" t="n">
        <v>5325500</v>
      </c>
      <c r="K22" s="46" t="n">
        <v>4602800</v>
      </c>
      <c r="L22" s="46" t="n">
        <v>4602800</v>
      </c>
    </row>
    <row r="23">
      <c r="B23" s="44" t="inlineStr">
        <is>
          <t>AU Small Energy Total</t>
        </is>
      </c>
      <c r="C23" t="n">
        <v>50</v>
      </c>
      <c r="D23" s="46" t="n">
        <v>487500</v>
      </c>
      <c r="E23" s="46" t="n">
        <v>395100</v>
      </c>
      <c r="F23" s="46" t="n">
        <v>395100</v>
      </c>
      <c r="H23" s="44" t="inlineStr">
        <is>
          <t>NZ TOU Natural Gas Total</t>
        </is>
      </c>
      <c r="I23" t="n">
        <v>8</v>
      </c>
      <c r="J23" s="46" t="n">
        <v>5325500</v>
      </c>
      <c r="K23" s="46" t="n">
        <v>4602800</v>
      </c>
      <c r="L23" s="46" t="n">
        <v>4602800</v>
      </c>
    </row>
    <row r="24">
      <c r="B24" s="43" t="inlineStr">
        <is>
          <t>Electricity Total</t>
        </is>
      </c>
      <c r="C24" t="n">
        <v>131</v>
      </c>
      <c r="D24" s="46" t="n">
        <v>18674600</v>
      </c>
      <c r="E24" s="46" t="n">
        <v>16654700</v>
      </c>
      <c r="F24" s="46" t="n">
        <v>16649300</v>
      </c>
      <c r="H24" s="43" t="inlineStr">
        <is>
          <t>Natural Gas Total</t>
        </is>
      </c>
      <c r="I24" t="n">
        <v>20</v>
      </c>
      <c r="J24" s="46" t="n">
        <v>5342600</v>
      </c>
      <c r="K24" s="46" t="n">
        <v>4620700</v>
      </c>
      <c r="L24" s="46" t="n">
        <v>4620700</v>
      </c>
    </row>
    <row r="25">
      <c r="B25" s="43" t="inlineStr">
        <is>
          <t>Natural Gas</t>
        </is>
      </c>
      <c r="F25" s="46" t="n"/>
      <c r="H25" s="43" t="inlineStr">
        <is>
          <t>Grand Total</t>
        </is>
      </c>
      <c r="I25" t="n">
        <v>178</v>
      </c>
      <c r="J25" s="46" t="n">
        <v>9662700</v>
      </c>
      <c r="K25" s="46" t="n">
        <v>8632000</v>
      </c>
      <c r="L25" s="46" t="n">
        <v>8632000</v>
      </c>
    </row>
    <row r="26">
      <c r="B26" s="44" t="inlineStr">
        <is>
          <t>AU Large Natural Gas</t>
        </is>
      </c>
      <c r="F26" s="46" t="n"/>
    </row>
    <row r="27">
      <c r="B27" s="45" t="inlineStr">
        <is>
          <t>ACT</t>
        </is>
      </c>
      <c r="C27" t="n">
        <v>1</v>
      </c>
      <c r="D27" s="46" t="n">
        <v>1015100</v>
      </c>
      <c r="E27" s="46" t="n">
        <v>982100</v>
      </c>
      <c r="F27" s="46" t="n">
        <v>975800</v>
      </c>
    </row>
    <row r="28">
      <c r="B28" s="45" t="inlineStr">
        <is>
          <t>NSW</t>
        </is>
      </c>
      <c r="C28" t="n">
        <v>4</v>
      </c>
      <c r="D28" s="46" t="n">
        <v>3310300</v>
      </c>
      <c r="E28" s="46" t="n">
        <v>3173000</v>
      </c>
      <c r="F28" s="46" t="n">
        <v>3188000</v>
      </c>
    </row>
    <row r="29">
      <c r="B29" s="45" t="inlineStr">
        <is>
          <t>SA</t>
        </is>
      </c>
      <c r="C29" t="n">
        <v>2</v>
      </c>
      <c r="D29" s="46" t="n">
        <v>2820800</v>
      </c>
      <c r="E29" s="46" t="n">
        <v>2750300</v>
      </c>
      <c r="F29" s="46" t="n">
        <v>2797600</v>
      </c>
    </row>
    <row r="30">
      <c r="B30" s="45" t="inlineStr">
        <is>
          <t>TAS</t>
        </is>
      </c>
      <c r="C30" t="n">
        <v>1</v>
      </c>
      <c r="D30" s="46" t="n">
        <v>283000</v>
      </c>
      <c r="E30" s="61" t="n">
        <v>283000</v>
      </c>
      <c r="F30" s="61" t="n">
        <v>283000</v>
      </c>
    </row>
    <row r="31">
      <c r="B31" s="45" t="inlineStr">
        <is>
          <t>VIC</t>
        </is>
      </c>
      <c r="C31" t="n">
        <v>3</v>
      </c>
      <c r="D31" s="46" t="n">
        <v>3976100</v>
      </c>
      <c r="E31" s="46" t="n">
        <v>3553100</v>
      </c>
      <c r="F31" s="46" t="n">
        <v>3559400</v>
      </c>
    </row>
    <row r="32">
      <c r="B32" s="45" t="inlineStr">
        <is>
          <t>WA</t>
        </is>
      </c>
      <c r="C32" t="n">
        <v>4</v>
      </c>
      <c r="D32" s="46" t="n">
        <v>985200</v>
      </c>
      <c r="E32" s="46" t="n">
        <v>959200</v>
      </c>
      <c r="F32" s="61" t="n">
        <v>959200</v>
      </c>
    </row>
    <row r="33">
      <c r="B33" s="44" t="inlineStr">
        <is>
          <t>AU Large Natural Gas Total</t>
        </is>
      </c>
      <c r="C33" t="n">
        <v>15</v>
      </c>
      <c r="D33" s="46" t="n">
        <v>12390500</v>
      </c>
      <c r="E33" s="46" t="n">
        <v>11700700</v>
      </c>
      <c r="F33" s="46" t="n">
        <v>11763000</v>
      </c>
    </row>
    <row r="34">
      <c r="B34" s="44" t="inlineStr">
        <is>
          <t>AU Small Energy</t>
        </is>
      </c>
      <c r="F34" s="46" t="n"/>
    </row>
    <row r="35">
      <c r="B35" s="45" t="inlineStr">
        <is>
          <t>NSW</t>
        </is>
      </c>
      <c r="C35" t="n">
        <v>11</v>
      </c>
      <c r="D35" s="46" t="n">
        <v>6500</v>
      </c>
      <c r="E35" s="46" t="n">
        <v>5500</v>
      </c>
      <c r="F35" s="46" t="n">
        <v>5500</v>
      </c>
    </row>
    <row r="36">
      <c r="B36" s="45" t="inlineStr">
        <is>
          <t>QLD</t>
        </is>
      </c>
      <c r="C36" t="n">
        <v>4</v>
      </c>
      <c r="D36" s="46" t="n">
        <v>67700</v>
      </c>
      <c r="E36" s="46" t="n">
        <v>69700</v>
      </c>
      <c r="F36" s="46" t="n">
        <v>69700</v>
      </c>
    </row>
    <row r="37">
      <c r="B37" s="45" t="inlineStr">
        <is>
          <t>SA</t>
        </is>
      </c>
      <c r="C37" t="n">
        <v>1</v>
      </c>
      <c r="D37" s="46" t="n">
        <v>22800</v>
      </c>
      <c r="E37" s="46" t="n">
        <v>26500</v>
      </c>
      <c r="F37" s="46" t="n">
        <v>26500</v>
      </c>
    </row>
    <row r="38">
      <c r="B38" s="45" t="inlineStr">
        <is>
          <t>VIC</t>
        </is>
      </c>
      <c r="C38" t="n">
        <v>1</v>
      </c>
      <c r="D38" s="46" t="n">
        <v>500</v>
      </c>
      <c r="E38" s="46" t="n">
        <v>500</v>
      </c>
      <c r="F38" s="46" t="n">
        <v>500</v>
      </c>
    </row>
    <row r="39">
      <c r="B39" s="44" t="inlineStr">
        <is>
          <t>AU Small Energy Total</t>
        </is>
      </c>
      <c r="C39" t="n">
        <v>17</v>
      </c>
      <c r="D39" s="46" t="n">
        <v>97500</v>
      </c>
      <c r="E39" s="46" t="n">
        <v>102200</v>
      </c>
      <c r="F39" s="46" t="n">
        <v>102200</v>
      </c>
    </row>
    <row r="40">
      <c r="B40" s="43" t="inlineStr">
        <is>
          <t>Natural Gas Total</t>
        </is>
      </c>
      <c r="C40" t="n">
        <v>32</v>
      </c>
      <c r="D40" s="46" t="n">
        <v>12488000</v>
      </c>
      <c r="E40" s="46" t="n">
        <v>11802900</v>
      </c>
      <c r="F40" s="46" t="n">
        <v>11865200</v>
      </c>
    </row>
    <row r="41">
      <c r="B41" s="43" t="inlineStr">
        <is>
          <t>Grand Total</t>
        </is>
      </c>
      <c r="C41" t="n">
        <v>163</v>
      </c>
      <c r="D41" s="46" t="n">
        <v>31162600</v>
      </c>
      <c r="E41" s="46" t="n">
        <v>28457600</v>
      </c>
      <c r="F41" s="46" t="n">
        <v>28514500</v>
      </c>
    </row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343"/>
  <sheetViews>
    <sheetView showGridLines="0" tabSelected="1" topLeftCell="A127" zoomScale="80" zoomScaleNormal="80" workbookViewId="0">
      <pane xSplit="1" ySplit="2" topLeftCell="B3" activePane="bottomRight" state="frozen"/>
      <selection pane="topRight"/>
      <selection pane="bottomLeft"/>
      <selection pane="bottomRight" activeCell="A20" sqref="A20:XFD86"/>
    </sheetView>
  </sheetViews>
  <sheetFormatPr baseColWidth="8" defaultRowHeight="21.75"/>
  <cols>
    <col width="18" customWidth="1" style="48" min="1" max="1"/>
    <col width="15" customWidth="1" style="48" min="2" max="2"/>
    <col width="14" customWidth="1" style="48" min="3" max="3"/>
    <col width="13" customWidth="1" style="48" min="4" max="4"/>
    <col width="29.875" customWidth="1" style="48" min="5" max="5"/>
    <col width="28" customWidth="1" style="48" min="6" max="6"/>
    <col width="62.25" customWidth="1" style="48" min="7" max="7"/>
    <col width="63.375" customWidth="1" style="48" min="8" max="8"/>
    <col width="17" customWidth="1" style="48" min="9" max="9"/>
    <col width="10" customWidth="1" style="48" min="10" max="10"/>
    <col width="15" customWidth="1" style="48" min="11" max="11"/>
    <col width="18" customWidth="1" style="48" min="12" max="12"/>
    <col width="26.375" bestFit="1" customWidth="1" style="48" min="13" max="13"/>
    <col width="14" customWidth="1" style="48" min="14" max="15"/>
    <col width="30.5" customWidth="1" style="48" min="16" max="16"/>
    <col width="17" customWidth="1" style="48" min="17" max="19"/>
    <col width="15" customWidth="1" style="48" min="20" max="20"/>
    <col width="44" customWidth="1" style="48" min="21" max="21"/>
    <col width="34" customWidth="1" style="48" min="22" max="16384"/>
    <col width="26" customWidth="1" min="23" max="23"/>
    <col width="24" customWidth="1" min="24" max="24"/>
    <col width="16" customWidth="1" min="25" max="25"/>
    <col width="34" customWidth="1" min="26" max="26"/>
    <col width="16" customWidth="1" min="27" max="27"/>
    <col width="20" customWidth="1" min="28" max="28"/>
    <col width="34" customWidth="1" min="29" max="29"/>
    <col width="46" customWidth="1" min="30" max="30"/>
    <col width="34" customWidth="1" min="31" max="31"/>
  </cols>
  <sheetData>
    <row r="1" ht="27.95" customHeight="1">
      <c r="A1" s="38" t="inlineStr">
        <is>
          <t>Downer Energy Portfolio – Consolidated Site Register</t>
        </is>
      </c>
      <c r="B1" s="38" t="n"/>
      <c r="C1" s="38" t="n"/>
      <c r="D1" s="38" t="n"/>
      <c r="E1" s="38" t="n"/>
      <c r="F1" s="38" t="n"/>
      <c r="G1" s="38" t="n"/>
      <c r="H1" s="38" t="n"/>
      <c r="I1" s="38" t="n"/>
      <c r="J1" s="38" t="n"/>
      <c r="K1" s="38" t="n"/>
      <c r="L1" s="38" t="n"/>
      <c r="M1" s="38" t="n"/>
      <c r="N1" s="38" t="n"/>
      <c r="O1" s="38" t="n"/>
      <c r="P1" s="38" t="n"/>
      <c r="Q1" s="38" t="n"/>
      <c r="R1" s="38" t="n"/>
      <c r="S1" s="38" t="n"/>
      <c r="T1" s="38" t="n"/>
      <c r="U1" s="38" t="n"/>
    </row>
    <row r="2" ht="65.25" customHeight="1">
      <c r="A2" s="39" t="inlineStr">
        <is>
          <t>Connection ID</t>
        </is>
      </c>
      <c r="B2" s="40" t="inlineStr">
        <is>
          <t>Commodity</t>
        </is>
      </c>
      <c r="C2" s="40" t="inlineStr">
        <is>
          <t>Country</t>
        </is>
      </c>
      <c r="D2" s="40" t="inlineStr">
        <is>
          <t>State / Region</t>
        </is>
      </c>
      <c r="E2" s="40" t="inlineStr">
        <is>
          <t>Portfolio Group</t>
        </is>
      </c>
      <c r="F2" s="40" t="inlineStr">
        <is>
          <t>Site Name</t>
        </is>
      </c>
      <c r="G2" s="40" t="inlineStr">
        <is>
          <t>Address</t>
        </is>
      </c>
      <c r="H2" s="40" t="inlineStr">
        <is>
          <t>Entity</t>
        </is>
      </c>
      <c r="I2" s="40" t="inlineStr">
        <is>
          <t>Business Unit</t>
        </is>
      </c>
      <c r="J2" s="40" t="inlineStr">
        <is>
          <t>Units</t>
        </is>
      </c>
      <c r="K2" s="40" t="inlineStr">
        <is>
          <t>Annual Consumption</t>
        </is>
      </c>
      <c r="L2" s="40" t="inlineStr">
        <is>
          <t>Retailer at Tender</t>
        </is>
      </c>
      <c r="M2" s="40" t="inlineStr">
        <is>
          <t>Contracted Retailer</t>
        </is>
      </c>
      <c r="N2" s="40" t="inlineStr">
        <is>
          <t>New Contract Start</t>
        </is>
      </c>
      <c r="O2" s="40" t="inlineStr">
        <is>
          <t>New Contract End</t>
        </is>
      </c>
      <c r="P2" s="40" t="inlineStr">
        <is>
          <t>Term</t>
        </is>
      </c>
      <c r="Q2" s="40" t="inlineStr">
        <is>
          <t>FY26 Budget</t>
        </is>
      </c>
      <c r="R2" s="40" t="inlineStr">
        <is>
          <t>FY27 Budget</t>
        </is>
      </c>
      <c r="S2" s="40" t="inlineStr">
        <is>
          <t>FY28 Budget</t>
        </is>
      </c>
      <c r="T2" s="40" t="inlineStr">
        <is>
          <t>Budget Status</t>
        </is>
      </c>
      <c r="U2" s="41" t="inlineStr">
        <is>
          <t>Notes</t>
        </is>
      </c>
      <c r="V2" s="80" t="inlineStr">
        <is>
          <t>Envizi Account Number</t>
        </is>
      </c>
      <c r="W2" s="80" t="inlineStr">
        <is>
          <t>Envizi Account Style</t>
        </is>
      </c>
      <c r="X2" s="80" t="inlineStr">
        <is>
          <t>Envizi Data Type</t>
        </is>
      </c>
      <c r="Y2" s="80" t="inlineStr">
        <is>
          <t>Envizi Supplier</t>
        </is>
      </c>
      <c r="Z2" s="80" t="inlineStr">
        <is>
          <t>Envizi Location</t>
        </is>
      </c>
      <c r="AA2" s="80" t="inlineStr">
        <is>
          <t>Envizi Location Ref</t>
        </is>
      </c>
      <c r="AB2" s="80" t="inlineStr">
        <is>
          <t>Account Status</t>
        </is>
      </c>
      <c r="AC2" s="80" t="inlineStr">
        <is>
          <t>Match Basis</t>
        </is>
      </c>
      <c r="AD2" s="80" t="inlineStr">
        <is>
          <t>Other Envizi accounts on this ID</t>
        </is>
      </c>
      <c r="AE2" s="80" t="inlineStr">
        <is>
          <t>Certificate / virtual meter account</t>
        </is>
      </c>
    </row>
    <row r="3">
      <c r="A3" s="49" t="n">
        <v>5265773931</v>
      </c>
      <c r="B3" s="50" t="inlineStr">
        <is>
          <t>Natural Gas</t>
        </is>
      </c>
      <c r="C3" s="50" t="inlineStr">
        <is>
          <t>Australia</t>
        </is>
      </c>
      <c r="D3" s="50" t="inlineStr">
        <is>
          <t>ACT</t>
        </is>
      </c>
      <c r="E3" s="50" t="inlineStr">
        <is>
          <t>AU Large Natural Gas</t>
        </is>
      </c>
      <c r="F3" s="50" t="n"/>
      <c r="G3" s="50" t="inlineStr">
        <is>
          <t>7 Tralee Street, Hume ACT 2620</t>
        </is>
      </c>
      <c r="H3" s="50" t="inlineStr">
        <is>
          <t>DOWNER EDI WORKS PTY LTD (ABN: 66 008 709 608)</t>
        </is>
      </c>
      <c r="I3" s="50" t="inlineStr">
        <is>
          <t>T&amp;I</t>
        </is>
      </c>
      <c r="J3" s="50" t="inlineStr">
        <is>
          <t>GJ</t>
        </is>
      </c>
      <c r="K3" s="81" t="n">
        <v>30729.026</v>
      </c>
      <c r="L3" s="50" t="inlineStr">
        <is>
          <t>Origin</t>
        </is>
      </c>
      <c r="M3" s="82" t="inlineStr">
        <is>
          <t>Origin</t>
        </is>
      </c>
      <c r="N3" s="82" t="n">
        <v>46388</v>
      </c>
      <c r="O3" s="82" t="n">
        <v>47483</v>
      </c>
      <c r="P3" s="50" t="inlineStr">
        <is>
          <t>36 months</t>
        </is>
      </c>
      <c r="Q3" s="83">
        <f t="array" ref="Q3:S3">IFERROR(ROUNDUP(_xlfn.XLOOKUP(A3,'Budget FY26-28'!A:A,'Budget FY26-28'!M:O)*(1+Summary!$C$2), -2), "")</f>
        <v/>
      </c>
      <c r="R3" s="83" t="n">
        <v>982100</v>
      </c>
      <c r="S3" s="83" t="n">
        <v>975800</v>
      </c>
      <c r="T3" s="50" t="inlineStr">
        <is>
          <t>Ready</t>
        </is>
      </c>
      <c r="U3" s="54" t="n"/>
      <c r="V3" s="84" t="inlineStr">
        <is>
          <t>50002801028_5265773931</t>
        </is>
      </c>
      <c r="W3" s="84" t="inlineStr">
        <is>
          <t>Natural Gas - PDF Parsing</t>
        </is>
      </c>
      <c r="X3" s="84" t="inlineStr">
        <is>
          <t>Natural Gas [GJ]</t>
        </is>
      </c>
      <c r="Y3" s="84" t="inlineStr">
        <is>
          <t>Origin</t>
        </is>
      </c>
      <c r="Z3" s="84" t="inlineStr">
        <is>
          <t>Asphalt Prod - Hume (101)</t>
        </is>
      </c>
      <c r="AA3" s="84" t="inlineStr">
        <is>
          <t>101</t>
        </is>
      </c>
      <c r="AB3" s="84" t="inlineStr">
        <is>
          <t>Active</t>
        </is>
      </c>
      <c r="AC3" s="84" t="inlineStr">
        <is>
          <t>Connection ID is the account number suffix</t>
        </is>
      </c>
      <c r="AD3" s="85" t="inlineStr">
        <is>
          <t>1963107867_5265773931; 50000353781_5265773931</t>
        </is>
      </c>
      <c r="AE3" s="85" t="inlineStr">
        <is>
          <t>LGCS_7001184714 (at this location, different ID) - historical</t>
        </is>
      </c>
    </row>
    <row r="4">
      <c r="A4" s="49" t="n">
        <v>5242077399</v>
      </c>
      <c r="B4" s="50" t="inlineStr">
        <is>
          <t>Natural Gas</t>
        </is>
      </c>
      <c r="C4" s="50" t="inlineStr">
        <is>
          <t>Australia</t>
        </is>
      </c>
      <c r="D4" s="50" t="inlineStr">
        <is>
          <t>NSW</t>
        </is>
      </c>
      <c r="E4" s="50" t="inlineStr">
        <is>
          <t>AU Large Natural Gas</t>
        </is>
      </c>
      <c r="F4" s="50" t="n"/>
      <c r="G4" s="50" t="inlineStr">
        <is>
          <t>ICC Darling Drive, Darling Harbour NSW 2000</t>
        </is>
      </c>
      <c r="H4" s="50" t="inlineStr">
        <is>
          <t>SPOTLESS FACILITY SERVICES PTY LTD (ABN: 83 072 293 880)</t>
        </is>
      </c>
      <c r="I4" s="50" t="inlineStr">
        <is>
          <t>SICS</t>
        </is>
      </c>
      <c r="J4" s="50" t="inlineStr">
        <is>
          <t>GJ</t>
        </is>
      </c>
      <c r="K4" s="81" t="n">
        <v>19847.41099999998</v>
      </c>
      <c r="L4" s="50" t="inlineStr">
        <is>
          <t>ShellEnergyAU</t>
        </is>
      </c>
      <c r="M4" s="82" t="inlineStr">
        <is>
          <t>Shell</t>
        </is>
      </c>
      <c r="N4" s="82" t="n">
        <v>46023</v>
      </c>
      <c r="O4" s="82" t="n">
        <v>46752</v>
      </c>
      <c r="P4" s="50" t="inlineStr">
        <is>
          <t>12 months</t>
        </is>
      </c>
      <c r="Q4" s="83">
        <f t="array" ref="Q4:S4">IFERROR(ROUNDUP(_xlfn.XLOOKUP(A4,'Budget FY26-28'!A:A,'Budget FY26-28'!M:O)*(1+Summary!$C$2), -2), "")</f>
        <v/>
      </c>
      <c r="R4" s="83" t="n">
        <v>580400</v>
      </c>
      <c r="S4" s="83" t="n">
        <v>589800</v>
      </c>
      <c r="T4" s="50" t="inlineStr">
        <is>
          <t>Ready</t>
        </is>
      </c>
      <c r="U4" s="54" t="n"/>
      <c r="V4" s="84" t="inlineStr">
        <is>
          <t>2100433_5242077399</t>
        </is>
      </c>
      <c r="W4" s="84" t="inlineStr">
        <is>
          <t>Natural Gas - PDF Parsing</t>
        </is>
      </c>
      <c r="X4" s="84" t="inlineStr">
        <is>
          <t>Natural Gas [GJ]</t>
        </is>
      </c>
      <c r="Y4" s="84" t="inlineStr">
        <is>
          <t>ShellEnergyAU</t>
        </is>
      </c>
      <c r="Z4" s="84" t="inlineStr">
        <is>
          <t>PPP - SICEEP</t>
        </is>
      </c>
      <c r="AA4" s="84" t="inlineStr">
        <is>
          <t>9077</t>
        </is>
      </c>
      <c r="AB4" s="84" t="inlineStr">
        <is>
          <t>Active</t>
        </is>
      </c>
      <c r="AC4" s="84" t="inlineStr">
        <is>
          <t>Connection ID is the account number suffix</t>
        </is>
      </c>
      <c r="AD4" s="85" t="inlineStr">
        <is>
          <t>50000102373_5242077399</t>
        </is>
      </c>
      <c r="AE4" s="85" t="inlineStr">
        <is>
          <t>LGCS_4103927804 (at this location, different ID) - historical · LGCS_4103927806 (at this location, different ID) - historical · LGCS_4103927808 (at this location, different ID) - historical · LGCS_4103927809 (at this location, different ID) - historical</t>
        </is>
      </c>
    </row>
    <row r="5">
      <c r="A5" s="49" t="n">
        <v>5247064745</v>
      </c>
      <c r="B5" s="50" t="inlineStr">
        <is>
          <t>Natural Gas</t>
        </is>
      </c>
      <c r="C5" s="50" t="inlineStr">
        <is>
          <t>Australia</t>
        </is>
      </c>
      <c r="D5" s="50" t="inlineStr">
        <is>
          <t>NSW</t>
        </is>
      </c>
      <c r="E5" s="50" t="inlineStr">
        <is>
          <t>AU Large Natural Gas</t>
        </is>
      </c>
      <c r="F5" s="50" t="n"/>
      <c r="G5" s="50" t="inlineStr">
        <is>
          <t>460 Main Road, Glendale NSW 2285</t>
        </is>
      </c>
      <c r="H5" s="50" t="inlineStr">
        <is>
          <t>DOWNER EDI RAIL PTY LTD (ABN: 92 000 002 031)</t>
        </is>
      </c>
      <c r="I5" s="50" t="inlineStr">
        <is>
          <t>RAIL</t>
        </is>
      </c>
      <c r="J5" s="50" t="inlineStr">
        <is>
          <t>GJ</t>
        </is>
      </c>
      <c r="K5" s="81" t="n">
        <v>2500</v>
      </c>
      <c r="L5" s="50" t="inlineStr">
        <is>
          <t>Origin</t>
        </is>
      </c>
      <c r="M5" s="82" t="inlineStr">
        <is>
          <t>Origin</t>
        </is>
      </c>
      <c r="N5" s="82" t="n">
        <v>46388</v>
      </c>
      <c r="O5" s="82" t="n">
        <v>47483</v>
      </c>
      <c r="P5" s="50" t="inlineStr">
        <is>
          <t>36 months</t>
        </is>
      </c>
      <c r="Q5" s="83">
        <f t="array" ref="Q5:S5">IFERROR(ROUNDUP(_xlfn.XLOOKUP(A5,'Budget FY26-28'!A:A,'Budget FY26-28'!M:O)*(1+Summary!$C$2), -2), "")</f>
        <v/>
      </c>
      <c r="R5" s="83" t="n">
        <v>64000</v>
      </c>
      <c r="S5" s="83" t="n">
        <v>65700</v>
      </c>
      <c r="T5" s="50" t="inlineStr">
        <is>
          <t>Ready</t>
        </is>
      </c>
      <c r="U5" s="54" t="n"/>
      <c r="V5" s="84" t="inlineStr">
        <is>
          <t>50002958793_5247064745</t>
        </is>
      </c>
      <c r="W5" s="84" t="inlineStr">
        <is>
          <t>Natural Gas - PDF Parsing</t>
        </is>
      </c>
      <c r="X5" s="84" t="inlineStr">
        <is>
          <t>Natural Gas [GJ]</t>
        </is>
      </c>
      <c r="Y5" s="84" t="inlineStr">
        <is>
          <t>Origin</t>
        </is>
      </c>
      <c r="Z5" s="84" t="inlineStr">
        <is>
          <t>Cardiff - Rail</t>
        </is>
      </c>
      <c r="AA5" s="84" t="inlineStr">
        <is>
          <t>3004</t>
        </is>
      </c>
      <c r="AB5" s="84" t="inlineStr">
        <is>
          <t>Active</t>
        </is>
      </c>
      <c r="AC5" s="84" t="inlineStr">
        <is>
          <t>Connection ID is the account number suffix</t>
        </is>
      </c>
      <c r="AD5" s="85" t="inlineStr">
        <is>
          <t>51632065_5247064745; Tenant 51632065_5247064745; 1109120_5247064745; Tenant 1109120_5247064745; 7733066771_5247064745; 9248380435_5247064745; Tenant 7733066771_5247064745; Tenant 9248380435_5247064745; A-DF77364D_5247064745; Tenant A-DF77364D_5247064745; Tenant Apportionment 50002958793_5247064745</t>
        </is>
      </c>
      <c r="AE5" s="85" t="inlineStr"/>
    </row>
    <row r="6">
      <c r="A6" s="49" t="n">
        <v>5248353654</v>
      </c>
      <c r="B6" s="50" t="inlineStr">
        <is>
          <t>Natural Gas</t>
        </is>
      </c>
      <c r="C6" s="50" t="inlineStr">
        <is>
          <t>Australia</t>
        </is>
      </c>
      <c r="D6" s="50" t="inlineStr">
        <is>
          <t>NSW</t>
        </is>
      </c>
      <c r="E6" s="50" t="inlineStr">
        <is>
          <t>AU Large Natural Gas</t>
        </is>
      </c>
      <c r="F6" s="50" t="n"/>
      <c r="G6" s="50" t="inlineStr">
        <is>
          <t>9 Devon St, Rosehill NSW 2142</t>
        </is>
      </c>
      <c r="H6" s="50" t="inlineStr">
        <is>
          <t>DOWNER EDI SERVICES PTY LTD (ABN: 71 137 732 042)</t>
        </is>
      </c>
      <c r="I6" s="50" t="inlineStr">
        <is>
          <t>T&amp;I</t>
        </is>
      </c>
      <c r="J6" s="50" t="inlineStr">
        <is>
          <t>GJ</t>
        </is>
      </c>
      <c r="K6" s="81" t="n">
        <v>108015.3710000001</v>
      </c>
      <c r="L6" s="50" t="inlineStr">
        <is>
          <t>ShellEnergyAU</t>
        </is>
      </c>
      <c r="M6" s="82" t="inlineStr">
        <is>
          <t>Shell</t>
        </is>
      </c>
      <c r="N6" s="82" t="n">
        <v>46023</v>
      </c>
      <c r="O6" s="82" t="n">
        <v>46752</v>
      </c>
      <c r="P6" s="50" t="inlineStr">
        <is>
          <t>12 months</t>
        </is>
      </c>
      <c r="Q6" s="83">
        <f t="array" ref="Q6:S6">IFERROR(ROUNDUP(_xlfn.XLOOKUP(A6,'Budget FY26-28'!A:A,'Budget FY26-28'!M:O)*(1+Summary!$C$2), -2), "")</f>
        <v/>
      </c>
      <c r="R6" s="83" t="n">
        <v>2465100</v>
      </c>
      <c r="S6" s="83" t="n">
        <v>2532500</v>
      </c>
      <c r="T6" s="50" t="inlineStr">
        <is>
          <t>Ready</t>
        </is>
      </c>
      <c r="U6" s="54" t="n"/>
      <c r="V6" s="84" t="inlineStr">
        <is>
          <t>2100432_5248353654</t>
        </is>
      </c>
      <c r="W6" s="84" t="inlineStr">
        <is>
          <t>Natural Gas - PDF Parsing</t>
        </is>
      </c>
      <c r="X6" s="84" t="inlineStr">
        <is>
          <t>Natural Gas [GJ]</t>
        </is>
      </c>
      <c r="Y6" s="84" t="inlineStr">
        <is>
          <t>ShellEnergyAU</t>
        </is>
      </c>
      <c r="Z6" s="84" t="inlineStr">
        <is>
          <t>Asphalt Prod - Rosehill (163)</t>
        </is>
      </c>
      <c r="AA6" s="84" t="inlineStr">
        <is>
          <t>163</t>
        </is>
      </c>
      <c r="AB6" s="84" t="inlineStr">
        <is>
          <t>Active</t>
        </is>
      </c>
      <c r="AC6" s="84" t="inlineStr">
        <is>
          <t>Connection ID is the account number suffix</t>
        </is>
      </c>
      <c r="AD6" s="85" t="inlineStr">
        <is>
          <t>50002719045_5248353654</t>
        </is>
      </c>
      <c r="AE6" s="85" t="inlineStr">
        <is>
          <t>LGCS_4311396021 (at this location, different ID) - historical · LGCS_4311396022 (at this location, different ID) - historical</t>
        </is>
      </c>
    </row>
    <row r="7">
      <c r="A7" s="49" t="n">
        <v>5265761108</v>
      </c>
      <c r="B7" s="50" t="inlineStr">
        <is>
          <t>Natural Gas</t>
        </is>
      </c>
      <c r="C7" s="50" t="inlineStr">
        <is>
          <t>Australia</t>
        </is>
      </c>
      <c r="D7" s="50" t="inlineStr">
        <is>
          <t>NSW</t>
        </is>
      </c>
      <c r="E7" s="50" t="inlineStr">
        <is>
          <t>AU Large Natural Gas</t>
        </is>
      </c>
      <c r="F7" s="50" t="n"/>
      <c r="G7" s="50" t="inlineStr">
        <is>
          <t>5800 Kings Highway, Bungendore NSW 2621</t>
        </is>
      </c>
      <c r="H7" s="50" t="inlineStr">
        <is>
          <t>SPOTLESS FACILITY SERVICES PTY LTD (ABN: 83 072 293 880)</t>
        </is>
      </c>
      <c r="I7" s="50" t="inlineStr">
        <is>
          <t>SICS</t>
        </is>
      </c>
      <c r="J7" s="50" t="inlineStr">
        <is>
          <t>GJ</t>
        </is>
      </c>
      <c r="K7" s="81" t="n">
        <v>1300</v>
      </c>
      <c r="L7" s="50" t="inlineStr">
        <is>
          <t>Origin</t>
        </is>
      </c>
      <c r="M7" s="82" t="inlineStr">
        <is>
          <t>Origin</t>
        </is>
      </c>
      <c r="N7" s="82" t="n">
        <v>46388</v>
      </c>
      <c r="O7" s="82" t="n">
        <v>46752</v>
      </c>
      <c r="P7" s="50" t="inlineStr">
        <is>
          <t>12 months</t>
        </is>
      </c>
      <c r="Q7" s="83">
        <f t="array" ref="Q7:S7">IFERROR(ROUNDUP(_xlfn.XLOOKUP(A7,'Budget FY26-28'!A:A,'Budget FY26-28'!M:O)*(1+Summary!$C$2), -2), "")</f>
        <v/>
      </c>
      <c r="R7" s="83" t="n">
        <v>63500</v>
      </c>
      <c r="S7" s="83" t="n">
        <v>0</v>
      </c>
      <c r="T7" s="50" t="inlineStr">
        <is>
          <t>Ready</t>
        </is>
      </c>
      <c r="U7" s="54" t="n"/>
      <c r="V7" s="84" t="inlineStr">
        <is>
          <t>50002959329_5265761108</t>
        </is>
      </c>
      <c r="W7" s="84" t="inlineStr">
        <is>
          <t>Natural Gas - PDF Parsing</t>
        </is>
      </c>
      <c r="X7" s="84" t="inlineStr">
        <is>
          <t>Natural Gas [GJ]</t>
        </is>
      </c>
      <c r="Y7" s="84" t="inlineStr">
        <is>
          <t>Origin</t>
        </is>
      </c>
      <c r="Z7" s="84" t="inlineStr">
        <is>
          <t>PPP - HQJOC (ACT)</t>
        </is>
      </c>
      <c r="AA7" s="84" t="inlineStr">
        <is>
          <t>9092</t>
        </is>
      </c>
      <c r="AB7" s="84" t="inlineStr">
        <is>
          <t>Active</t>
        </is>
      </c>
      <c r="AC7" s="84" t="inlineStr">
        <is>
          <t>Connection ID is the account number suffix</t>
        </is>
      </c>
      <c r="AD7" s="85" t="inlineStr">
        <is>
          <t>701221629213_5265761108; A-D62CBEED_5265761108</t>
        </is>
      </c>
      <c r="AE7" s="85" t="inlineStr"/>
    </row>
    <row r="8">
      <c r="A8" s="49" t="n">
        <v>5510072233</v>
      </c>
      <c r="B8" s="50" t="inlineStr">
        <is>
          <t>Natural Gas</t>
        </is>
      </c>
      <c r="C8" s="50" t="inlineStr">
        <is>
          <t>Australia</t>
        </is>
      </c>
      <c r="D8" s="50" t="inlineStr">
        <is>
          <t>SA</t>
        </is>
      </c>
      <c r="E8" s="50" t="inlineStr">
        <is>
          <t>AU Large Natural Gas</t>
        </is>
      </c>
      <c r="F8" s="50" t="n"/>
      <c r="G8" s="50" t="inlineStr">
        <is>
          <t>557 Grand Junction Road, Wingfield SA 5013</t>
        </is>
      </c>
      <c r="H8" s="50" t="inlineStr">
        <is>
          <t>DOWNER EDI SERVICES PTY LTD (ABN: 71 137 732 042)</t>
        </is>
      </c>
      <c r="I8" s="50" t="inlineStr">
        <is>
          <t>T&amp;I</t>
        </is>
      </c>
      <c r="J8" s="50" t="inlineStr">
        <is>
          <t>GJ</t>
        </is>
      </c>
      <c r="K8" s="81" t="n">
        <v>92565.36000000002</v>
      </c>
      <c r="L8" s="50" t="inlineStr">
        <is>
          <t>ShellEnergyAU</t>
        </is>
      </c>
      <c r="M8" s="82" t="inlineStr">
        <is>
          <t>Shell</t>
        </is>
      </c>
      <c r="N8" s="82" t="n">
        <v>46023</v>
      </c>
      <c r="O8" s="82" t="n">
        <v>46752</v>
      </c>
      <c r="P8" s="50" t="inlineStr">
        <is>
          <t>12 months</t>
        </is>
      </c>
      <c r="Q8" s="83">
        <f t="array" ref="Q8:S8">IFERROR(ROUNDUP(_xlfn.XLOOKUP(A8,'Budget FY26-28'!A:A,'Budget FY26-28'!M:O)*(1+Summary!$C$2), -2), "")</f>
        <v/>
      </c>
      <c r="R8" s="83" t="n">
        <v>2403600</v>
      </c>
      <c r="S8" s="83" t="n">
        <v>2449300</v>
      </c>
      <c r="T8" s="50" t="inlineStr">
        <is>
          <t>Ready</t>
        </is>
      </c>
      <c r="U8" s="54" t="n"/>
      <c r="V8" s="84" t="inlineStr">
        <is>
          <t>2100431_5510072233</t>
        </is>
      </c>
      <c r="W8" s="84" t="inlineStr">
        <is>
          <t>Natural Gas - PDF Parsing</t>
        </is>
      </c>
      <c r="X8" s="84" t="inlineStr">
        <is>
          <t>Natural Gas [GJ]</t>
        </is>
      </c>
      <c r="Y8" s="84" t="inlineStr">
        <is>
          <t>ShellEnergyAU</t>
        </is>
      </c>
      <c r="Z8" s="84" t="inlineStr">
        <is>
          <t>Asphalt Prod - Wingfield (523)</t>
        </is>
      </c>
      <c r="AA8" s="84" t="inlineStr">
        <is>
          <t>523</t>
        </is>
      </c>
      <c r="AB8" s="84" t="inlineStr">
        <is>
          <t>Active</t>
        </is>
      </c>
      <c r="AC8" s="84" t="inlineStr">
        <is>
          <t>Connection ID is the account number suffix</t>
        </is>
      </c>
      <c r="AD8" s="85" t="inlineStr">
        <is>
          <t>15005551610_5510072233</t>
        </is>
      </c>
      <c r="AE8" s="85" t="inlineStr">
        <is>
          <t>LGCS_2002254877 (at this location, different ID) - historical</t>
        </is>
      </c>
    </row>
    <row r="9">
      <c r="A9" s="49" t="n">
        <v>5510485000</v>
      </c>
      <c r="B9" s="50" t="inlineStr">
        <is>
          <t>Natural Gas</t>
        </is>
      </c>
      <c r="C9" s="50" t="inlineStr">
        <is>
          <t>Australia</t>
        </is>
      </c>
      <c r="D9" s="50" t="inlineStr">
        <is>
          <t>SA</t>
        </is>
      </c>
      <c r="E9" s="50" t="inlineStr">
        <is>
          <t>AU Large Natural Gas</t>
        </is>
      </c>
      <c r="F9" s="50" t="n"/>
      <c r="G9" s="50" t="inlineStr">
        <is>
          <t>Wills Street, Largs Bay SA 5016</t>
        </is>
      </c>
      <c r="H9" s="50" t="inlineStr">
        <is>
          <t>DOWNER EDI SERVICES PTY LTD (ABN: 71 137 732 042)</t>
        </is>
      </c>
      <c r="I9" s="50" t="inlineStr">
        <is>
          <t>T&amp;I</t>
        </is>
      </c>
      <c r="J9" s="50" t="inlineStr">
        <is>
          <t>GJ</t>
        </is>
      </c>
      <c r="K9" s="81" t="n">
        <v>13214.10399999999</v>
      </c>
      <c r="L9" s="50" t="inlineStr">
        <is>
          <t>ShellEnergyAU</t>
        </is>
      </c>
      <c r="M9" s="82" t="inlineStr">
        <is>
          <t>Shell</t>
        </is>
      </c>
      <c r="N9" s="82" t="n">
        <v>46023</v>
      </c>
      <c r="O9" s="82" t="n">
        <v>46752</v>
      </c>
      <c r="P9" s="50" t="inlineStr">
        <is>
          <t>12 months</t>
        </is>
      </c>
      <c r="Q9" s="83">
        <f t="array" ref="Q9:S9">IFERROR(ROUNDUP(_xlfn.XLOOKUP(A9,'Budget FY26-28'!A:A,'Budget FY26-28'!M:O)*(1+Summary!$C$2), -2), "")</f>
        <v/>
      </c>
      <c r="R9" s="83" t="n">
        <v>346700</v>
      </c>
      <c r="S9" s="83" t="n">
        <v>348300</v>
      </c>
      <c r="T9" s="50" t="inlineStr">
        <is>
          <t>Ready</t>
        </is>
      </c>
      <c r="U9" s="54" t="n"/>
      <c r="V9" s="84" t="inlineStr">
        <is>
          <t>2100430_5510485000</t>
        </is>
      </c>
      <c r="W9" s="84" t="inlineStr">
        <is>
          <t>Natural Gas - PDF Parsing</t>
        </is>
      </c>
      <c r="X9" s="84" t="inlineStr">
        <is>
          <t>Natural Gas [GJ]</t>
        </is>
      </c>
      <c r="Y9" s="84" t="inlineStr">
        <is>
          <t>ShellEnergyAU</t>
        </is>
      </c>
      <c r="Z9" s="84" t="inlineStr">
        <is>
          <t>Largs Bay</t>
        </is>
      </c>
      <c r="AA9" s="84" t="inlineStr">
        <is>
          <t>163</t>
        </is>
      </c>
      <c r="AB9" s="84" t="inlineStr">
        <is>
          <t>Active</t>
        </is>
      </c>
      <c r="AC9" s="84" t="inlineStr">
        <is>
          <t>Connection ID is the account number suffix</t>
        </is>
      </c>
      <c r="AD9" s="85" t="inlineStr">
        <is>
          <t>15000948910_5510485000</t>
        </is>
      </c>
      <c r="AE9" s="85" t="inlineStr">
        <is>
          <t>LGCS_SAAAAAB023 (at this location, different ID) - historical · LGCS_SAAAAAC481 (at this location, different ID) - historical</t>
        </is>
      </c>
    </row>
    <row r="10">
      <c r="A10" s="49" t="n">
        <v>5762711908</v>
      </c>
      <c r="B10" s="50" t="inlineStr">
        <is>
          <t>Natural Gas</t>
        </is>
      </c>
      <c r="C10" s="50" t="inlineStr">
        <is>
          <t>Australia</t>
        </is>
      </c>
      <c r="D10" s="50" t="inlineStr">
        <is>
          <t>TAS</t>
        </is>
      </c>
      <c r="E10" s="50" t="inlineStr">
        <is>
          <t>AU Large Natural Gas</t>
        </is>
      </c>
      <c r="F10" s="50" t="n"/>
      <c r="G10" s="50" t="inlineStr">
        <is>
          <t>59 Remount Road, Mowbray TAS 7248</t>
        </is>
      </c>
      <c r="H10" s="50" t="inlineStr">
        <is>
          <t>DOWNER EDI WORKS PTY LTD (ABN: 66 008 709 608)</t>
        </is>
      </c>
      <c r="I10" s="50" t="inlineStr">
        <is>
          <t>T&amp;I</t>
        </is>
      </c>
      <c r="J10" s="50" t="inlineStr">
        <is>
          <t>GJ</t>
        </is>
      </c>
      <c r="K10" s="81" t="n">
        <v>15621.56412</v>
      </c>
      <c r="L10" s="50" t="inlineStr">
        <is>
          <t>Solstice</t>
        </is>
      </c>
      <c r="M10" s="82" t="inlineStr">
        <is>
          <t>Solstice Energy</t>
        </is>
      </c>
      <c r="N10" s="82" t="n">
        <v>45658</v>
      </c>
      <c r="O10" s="82" t="n">
        <v>46387</v>
      </c>
      <c r="P10" s="50" t="inlineStr">
        <is>
          <t>Existing term to 31-Dec-2026</t>
        </is>
      </c>
      <c r="Q10" s="83">
        <f t="array" ref="Q10:S10">IFERROR(ROUNDUP(_xlfn.XLOOKUP(A10,'Budget FY26-28'!A:A,'Budget FY26-28'!M:O)*(1+Summary!$C$2), -2), "")</f>
        <v/>
      </c>
      <c r="R10" s="83" t="n">
        <v>283000</v>
      </c>
      <c r="S10" s="83" t="n">
        <v>283000</v>
      </c>
      <c r="T10" s="50" t="inlineStr">
        <is>
          <t>FY26 secured</t>
        </is>
      </c>
      <c r="U10" s="54" t="inlineStr">
        <is>
          <t>No further term secured</t>
        </is>
      </c>
      <c r="V10" s="84" t="inlineStr">
        <is>
          <t>2000120410_5762711908</t>
        </is>
      </c>
      <c r="W10" s="84" t="inlineStr">
        <is>
          <t>Natural Gas - PDF Parsing</t>
        </is>
      </c>
      <c r="X10" s="84" t="inlineStr">
        <is>
          <t>Natural Gas [GJ]</t>
        </is>
      </c>
      <c r="Y10" s="84" t="inlineStr">
        <is>
          <t>SolsticeEnergy</t>
        </is>
      </c>
      <c r="Z10" s="84" t="inlineStr">
        <is>
          <t>Asphalt Prod - Mowbray (360)</t>
        </is>
      </c>
      <c r="AA10" s="84" t="inlineStr">
        <is>
          <t>360</t>
        </is>
      </c>
      <c r="AB10" s="84" t="inlineStr">
        <is>
          <t>Active</t>
        </is>
      </c>
      <c r="AC10" s="84" t="inlineStr">
        <is>
          <t>Connection ID is the account number suffix</t>
        </is>
      </c>
      <c r="AD10" s="85" t="inlineStr"/>
      <c r="AE10" s="85" t="inlineStr"/>
    </row>
    <row r="11">
      <c r="A11" s="49" t="n">
        <v>5310000243</v>
      </c>
      <c r="B11" s="50" t="inlineStr">
        <is>
          <t>Natural Gas</t>
        </is>
      </c>
      <c r="C11" s="50" t="inlineStr">
        <is>
          <t>Australia</t>
        </is>
      </c>
      <c r="D11" s="50" t="inlineStr">
        <is>
          <t>VIC</t>
        </is>
      </c>
      <c r="E11" s="50" t="inlineStr">
        <is>
          <t>AU Large Natural Gas</t>
        </is>
      </c>
      <c r="F11" s="50" t="n"/>
      <c r="G11" s="50" t="inlineStr">
        <is>
          <t>18 Jersey Road, Bayswater VIC 3153</t>
        </is>
      </c>
      <c r="H11" s="50" t="inlineStr">
        <is>
          <t>DOWNER EDI SERVICES PTY LTD (ABN: 71 137 732 042)</t>
        </is>
      </c>
      <c r="I11" s="50" t="inlineStr">
        <is>
          <t>T&amp;I</t>
        </is>
      </c>
      <c r="J11" s="50" t="inlineStr">
        <is>
          <t>GJ</t>
        </is>
      </c>
      <c r="K11" s="81" t="n">
        <v>57783.717189303</v>
      </c>
      <c r="L11" s="50" t="inlineStr">
        <is>
          <t>ShellEnergyAU</t>
        </is>
      </c>
      <c r="M11" s="82" t="inlineStr">
        <is>
          <t>Shell</t>
        </is>
      </c>
      <c r="N11" s="82" t="n">
        <v>46023</v>
      </c>
      <c r="O11" s="82" t="n">
        <v>46752</v>
      </c>
      <c r="P11" s="50" t="inlineStr">
        <is>
          <t>12 months</t>
        </is>
      </c>
      <c r="Q11" s="83">
        <f t="array" ref="Q11:S11">IFERROR(ROUNDUP(_xlfn.XLOOKUP(A11,'Budget FY26-28'!A:A,'Budget FY26-28'!M:O)*(1+Summary!$C$2), -2), "")</f>
        <v/>
      </c>
      <c r="R11" s="83" t="n">
        <v>1132200</v>
      </c>
      <c r="S11" s="83" t="n">
        <v>1134900</v>
      </c>
      <c r="T11" s="50" t="inlineStr">
        <is>
          <t>Ready</t>
        </is>
      </c>
      <c r="U11" s="54" t="n"/>
      <c r="V11" s="84" t="inlineStr">
        <is>
          <t>2100427_5310000243</t>
        </is>
      </c>
      <c r="W11" s="84" t="inlineStr">
        <is>
          <t>Natural Gas - PDF Parsing</t>
        </is>
      </c>
      <c r="X11" s="84" t="inlineStr">
        <is>
          <t>Natural Gas [GJ]</t>
        </is>
      </c>
      <c r="Y11" s="84" t="inlineStr">
        <is>
          <t>ShellEnergyAU</t>
        </is>
      </c>
      <c r="Z11" s="84" t="inlineStr">
        <is>
          <t>Asphalt Prod - Bayswater (302)</t>
        </is>
      </c>
      <c r="AA11" s="84" t="inlineStr">
        <is>
          <t>302</t>
        </is>
      </c>
      <c r="AB11" s="84" t="inlineStr">
        <is>
          <t>Active</t>
        </is>
      </c>
      <c r="AC11" s="84" t="inlineStr">
        <is>
          <t>Connection ID is the account number suffix</t>
        </is>
      </c>
      <c r="AD11" s="85" t="inlineStr">
        <is>
          <t>15000096411_5310000243</t>
        </is>
      </c>
      <c r="AE11" s="85" t="inlineStr">
        <is>
          <t>LGCS_6305920528 (at this location, different ID) - historical</t>
        </is>
      </c>
    </row>
    <row r="12">
      <c r="A12" s="49" t="n">
        <v>5320000943</v>
      </c>
      <c r="B12" s="50" t="inlineStr">
        <is>
          <t>Natural Gas</t>
        </is>
      </c>
      <c r="C12" s="50" t="inlineStr">
        <is>
          <t>Australia</t>
        </is>
      </c>
      <c r="D12" s="50" t="inlineStr">
        <is>
          <t>VIC</t>
        </is>
      </c>
      <c r="E12" s="50" t="inlineStr">
        <is>
          <t>AU Large Natural Gas</t>
        </is>
      </c>
      <c r="F12" s="50" t="n"/>
      <c r="G12" s="50" t="inlineStr">
        <is>
          <t>Apollo Drive, Shepparton VIC 3630</t>
        </is>
      </c>
      <c r="H12" s="50" t="inlineStr">
        <is>
          <t>DOWNER EDI SERVICES PTY LTD (ABN: 71 137 732 042)</t>
        </is>
      </c>
      <c r="I12" s="50" t="inlineStr">
        <is>
          <t>T&amp;I</t>
        </is>
      </c>
      <c r="J12" s="50" t="inlineStr">
        <is>
          <t>GJ</t>
        </is>
      </c>
      <c r="K12" s="81" t="n">
        <v>23114.486190759</v>
      </c>
      <c r="L12" s="50" t="inlineStr">
        <is>
          <t>ShellEnergyAU</t>
        </is>
      </c>
      <c r="M12" s="82" t="inlineStr">
        <is>
          <t>Shell</t>
        </is>
      </c>
      <c r="N12" s="82" t="n">
        <v>46023</v>
      </c>
      <c r="O12" s="82" t="n">
        <v>46752</v>
      </c>
      <c r="P12" s="50" t="inlineStr">
        <is>
          <t>12 months</t>
        </is>
      </c>
      <c r="Q12" s="83">
        <f t="array" ref="Q12:S12">IFERROR(ROUNDUP(_xlfn.XLOOKUP(A12,'Budget FY26-28'!A:A,'Budget FY26-28'!M:O)*(1+Summary!$C$2), -2), "")</f>
        <v/>
      </c>
      <c r="R12" s="83" t="n">
        <v>481500</v>
      </c>
      <c r="S12" s="83" t="n">
        <v>483200</v>
      </c>
      <c r="T12" s="50" t="inlineStr">
        <is>
          <t>Ready</t>
        </is>
      </c>
      <c r="U12" s="54" t="n"/>
      <c r="V12" s="84" t="inlineStr">
        <is>
          <t>2100428_5320000943</t>
        </is>
      </c>
      <c r="W12" s="84" t="inlineStr">
        <is>
          <t>Natural Gas - PDF Parsing</t>
        </is>
      </c>
      <c r="X12" s="84" t="inlineStr">
        <is>
          <t>Natural Gas [GJ]</t>
        </is>
      </c>
      <c r="Y12" s="84" t="inlineStr">
        <is>
          <t>ShellEnergyAU</t>
        </is>
      </c>
      <c r="Z12" s="84" t="inlineStr">
        <is>
          <t>Asphalt Prod - Shepparton (308)</t>
        </is>
      </c>
      <c r="AA12" s="84" t="inlineStr">
        <is>
          <t>308</t>
        </is>
      </c>
      <c r="AB12" s="84" t="inlineStr">
        <is>
          <t>Active</t>
        </is>
      </c>
      <c r="AC12" s="84" t="inlineStr">
        <is>
          <t>Connection ID is the account number suffix</t>
        </is>
      </c>
      <c r="AD12" s="85" t="inlineStr">
        <is>
          <t>15000093211_5320000943</t>
        </is>
      </c>
      <c r="AE12" s="85" t="inlineStr">
        <is>
          <t>LGCS_VCCCSC0020 (at this location, different ID) - historical</t>
        </is>
      </c>
    </row>
    <row r="13">
      <c r="A13" s="49" t="n">
        <v>5330662312</v>
      </c>
      <c r="B13" s="50" t="inlineStr">
        <is>
          <t>Natural Gas</t>
        </is>
      </c>
      <c r="C13" s="50" t="inlineStr">
        <is>
          <t>Australia</t>
        </is>
      </c>
      <c r="D13" s="50" t="inlineStr">
        <is>
          <t>VIC</t>
        </is>
      </c>
      <c r="E13" s="50" t="inlineStr">
        <is>
          <t>AU Large Natural Gas</t>
        </is>
      </c>
      <c r="F13" s="50" t="n"/>
      <c r="G13" s="50" t="inlineStr">
        <is>
          <t>125 Somerton Road, Somerton VIC 3062</t>
        </is>
      </c>
      <c r="H13" s="50" t="inlineStr">
        <is>
          <t>DOWNER EDI SERVICES PTY LTD (ABN: 71 137 732 042)</t>
        </is>
      </c>
      <c r="I13" s="50" t="inlineStr">
        <is>
          <t>T&amp;I</t>
        </is>
      </c>
      <c r="J13" s="50" t="inlineStr">
        <is>
          <t>GJ</t>
        </is>
      </c>
      <c r="K13" s="81" t="n">
        <v>103871.24325094</v>
      </c>
      <c r="L13" s="50" t="inlineStr">
        <is>
          <t>ShellEnergyAU</t>
        </is>
      </c>
      <c r="M13" s="82" t="inlineStr">
        <is>
          <t>Shell</t>
        </is>
      </c>
      <c r="N13" s="82" t="n">
        <v>46023</v>
      </c>
      <c r="O13" s="82" t="n">
        <v>46752</v>
      </c>
      <c r="P13" s="50" t="inlineStr">
        <is>
          <t>12 months</t>
        </is>
      </c>
      <c r="Q13" s="83">
        <f t="array" ref="Q13:S13">IFERROR(ROUNDUP(_xlfn.XLOOKUP(A13,'Budget FY26-28'!A:A,'Budget FY26-28'!M:O)*(1+Summary!$C$2), -2), "")</f>
        <v/>
      </c>
      <c r="R13" s="83" t="n">
        <v>1939400</v>
      </c>
      <c r="S13" s="83" t="n">
        <v>1941300</v>
      </c>
      <c r="T13" s="50" t="inlineStr">
        <is>
          <t>Ready</t>
        </is>
      </c>
      <c r="U13" s="54" t="n"/>
      <c r="V13" s="84" t="inlineStr">
        <is>
          <t>2100429_5330662312</t>
        </is>
      </c>
      <c r="W13" s="84" t="inlineStr">
        <is>
          <t>Natural Gas - PDF Parsing</t>
        </is>
      </c>
      <c r="X13" s="84" t="inlineStr">
        <is>
          <t>Natural Gas [GJ]</t>
        </is>
      </c>
      <c r="Y13" s="84" t="inlineStr">
        <is>
          <t>ShellEnergyAU</t>
        </is>
      </c>
      <c r="Z13" s="84" t="inlineStr">
        <is>
          <t>Asphalt Prod - Somerton (303)</t>
        </is>
      </c>
      <c r="AA13" s="84" t="inlineStr">
        <is>
          <t>L9.J.17032627</t>
        </is>
      </c>
      <c r="AB13" s="84" t="inlineStr">
        <is>
          <t>Active</t>
        </is>
      </c>
      <c r="AC13" s="84" t="inlineStr">
        <is>
          <t>Connection ID is the account number suffix</t>
        </is>
      </c>
      <c r="AD13" s="85" t="inlineStr">
        <is>
          <t>15005712110_5330662312</t>
        </is>
      </c>
      <c r="AE13" s="85" t="inlineStr">
        <is>
          <t>LGCS_6001311036 (at this location, different ID) - historical</t>
        </is>
      </c>
    </row>
    <row r="14">
      <c r="A14" s="49" t="n">
        <v>5600405263</v>
      </c>
      <c r="B14" s="50" t="inlineStr">
        <is>
          <t>Natural Gas</t>
        </is>
      </c>
      <c r="C14" s="50" t="inlineStr">
        <is>
          <t>Australia</t>
        </is>
      </c>
      <c r="D14" s="50" t="inlineStr">
        <is>
          <t>WA</t>
        </is>
      </c>
      <c r="E14" s="50" t="inlineStr">
        <is>
          <t>AU Large Natural Gas</t>
        </is>
      </c>
      <c r="F14" s="50" t="n"/>
      <c r="G14" s="50" t="inlineStr">
        <is>
          <t>73 Bickley Road, Beckenham WA 6107</t>
        </is>
      </c>
      <c r="H14" s="50" t="inlineStr">
        <is>
          <t>DOWNER EDI SERVICES PTY LTD (ABN: 71 137 732 042)</t>
        </is>
      </c>
      <c r="I14" s="50" t="inlineStr">
        <is>
          <t>T&amp;I</t>
        </is>
      </c>
      <c r="J14" s="50" t="inlineStr">
        <is>
          <t>GJ</t>
        </is>
      </c>
      <c r="K14" s="81" t="n">
        <v>590</v>
      </c>
      <c r="L14" s="50" t="inlineStr">
        <is>
          <t>Perth Energy</t>
        </is>
      </c>
      <c r="M14" s="82" t="inlineStr">
        <is>
          <t>Kleenheat</t>
        </is>
      </c>
      <c r="N14" s="82" t="n">
        <v>46023</v>
      </c>
      <c r="O14" s="82" t="n">
        <v>46752</v>
      </c>
      <c r="P14" s="50" t="inlineStr">
        <is>
          <t>To 31-Dec-2027</t>
        </is>
      </c>
      <c r="Q14" s="83">
        <f t="array" ref="Q14:S14">IFERROR(ROUNDUP(_xlfn.XLOOKUP(A14,'Budget FY26-28'!A:A,'Budget FY26-28'!M:O)*(1+Summary!$C$2), -2), "")</f>
        <v/>
      </c>
      <c r="R14" s="83" t="n">
        <v>12000</v>
      </c>
      <c r="S14" s="83" t="n">
        <v>12000</v>
      </c>
      <c r="T14" s="50" t="inlineStr">
        <is>
          <t>Ready</t>
        </is>
      </c>
      <c r="U14" s="54" t="n"/>
      <c r="V14" s="84" t="inlineStr">
        <is>
          <t>3228711_5600405263</t>
        </is>
      </c>
      <c r="W14" s="84" t="inlineStr">
        <is>
          <t>Natural Gas - PDF Parsing</t>
        </is>
      </c>
      <c r="X14" s="84" t="inlineStr">
        <is>
          <t>Natural Gas [GJ]</t>
        </is>
      </c>
      <c r="Y14" s="84" t="inlineStr">
        <is>
          <t>Kleenheat</t>
        </is>
      </c>
      <c r="Z14" s="84" t="inlineStr">
        <is>
          <t>Cannington Emulsion Plant</t>
        </is>
      </c>
      <c r="AA14" s="84" t="inlineStr">
        <is>
          <t>39</t>
        </is>
      </c>
      <c r="AB14" s="84" t="inlineStr">
        <is>
          <t>Active</t>
        </is>
      </c>
      <c r="AC14" s="84" t="inlineStr">
        <is>
          <t>Connection ID is the account number suffix</t>
        </is>
      </c>
      <c r="AD14" s="85" t="inlineStr">
        <is>
          <t>129001507_5600405263; 805045016_5600405263; 3176624_5600405263; 605461_5600405263; 608258_5600405263</t>
        </is>
      </c>
      <c r="AE14" s="85" t="inlineStr"/>
    </row>
    <row r="15">
      <c r="A15" s="49" t="n">
        <v>5600436929</v>
      </c>
      <c r="B15" s="50" t="inlineStr">
        <is>
          <t>Natural Gas</t>
        </is>
      </c>
      <c r="C15" s="50" t="inlineStr">
        <is>
          <t>Australia</t>
        </is>
      </c>
      <c r="D15" s="50" t="inlineStr">
        <is>
          <t>WA</t>
        </is>
      </c>
      <c r="E15" s="50" t="inlineStr">
        <is>
          <t>AU Large Natural Gas</t>
        </is>
      </c>
      <c r="F15" s="50" t="n"/>
      <c r="G15" s="50" t="inlineStr">
        <is>
          <t>95 Cockram Road, Martin WA 6110</t>
        </is>
      </c>
      <c r="H15" s="50" t="inlineStr">
        <is>
          <t>DOWNER EDI SERVICES PTY LTD (ABN: 71 137 732 042)</t>
        </is>
      </c>
      <c r="I15" s="50" t="inlineStr">
        <is>
          <t>T&amp;I</t>
        </is>
      </c>
      <c r="J15" s="50" t="inlineStr">
        <is>
          <t>GJ</t>
        </is>
      </c>
      <c r="K15" s="81" t="n">
        <v>23242.13673913043</v>
      </c>
      <c r="L15" s="50" t="inlineStr">
        <is>
          <t>Perth Energy</t>
        </is>
      </c>
      <c r="M15" s="82" t="inlineStr">
        <is>
          <t>Kleenheat</t>
        </is>
      </c>
      <c r="N15" s="82" t="n">
        <v>46023</v>
      </c>
      <c r="O15" s="82" t="n">
        <v>46752</v>
      </c>
      <c r="P15" s="50" t="inlineStr">
        <is>
          <t>To 31-Dec-2027</t>
        </is>
      </c>
      <c r="Q15" s="83">
        <f t="array" ref="Q15:S15">IFERROR(ROUNDUP(_xlfn.XLOOKUP(A15,'Budget FY26-28'!A:A,'Budget FY26-28'!M:O)*(1+Summary!$C$2), -2), "")</f>
        <v/>
      </c>
      <c r="R15" s="83" t="n">
        <v>326700</v>
      </c>
      <c r="S15" s="83" t="n">
        <v>326700</v>
      </c>
      <c r="T15" s="50" t="inlineStr">
        <is>
          <t>Ready</t>
        </is>
      </c>
      <c r="U15" s="54" t="n"/>
      <c r="V15" s="84" t="inlineStr">
        <is>
          <t>3176624_5600436929</t>
        </is>
      </c>
      <c r="W15" s="84" t="inlineStr">
        <is>
          <t>Natural Gas - PDF Parsing</t>
        </is>
      </c>
      <c r="X15" s="84" t="inlineStr">
        <is>
          <t>Natural Gas [GJ]</t>
        </is>
      </c>
      <c r="Y15" s="84" t="inlineStr">
        <is>
          <t>Kleenheat</t>
        </is>
      </c>
      <c r="Z15" s="84" t="inlineStr">
        <is>
          <t>Asphalt Prod - Gosnells (621)</t>
        </is>
      </c>
      <c r="AA15" s="84" t="inlineStr">
        <is>
          <t>621</t>
        </is>
      </c>
      <c r="AB15" s="84" t="inlineStr">
        <is>
          <t>Active</t>
        </is>
      </c>
      <c r="AC15" s="84" t="inlineStr">
        <is>
          <t>Connection ID is the account number suffix</t>
        </is>
      </c>
      <c r="AD15" s="85" t="inlineStr">
        <is>
          <t>11804846_5600436929; 80005968_5600436929; 606714_5600436929</t>
        </is>
      </c>
      <c r="AE15" s="85" t="inlineStr"/>
    </row>
    <row r="16">
      <c r="A16" s="49" t="n">
        <v>5600604830</v>
      </c>
      <c r="B16" s="50" t="inlineStr">
        <is>
          <t>Natural Gas</t>
        </is>
      </c>
      <c r="C16" s="50" t="inlineStr">
        <is>
          <t>Australia</t>
        </is>
      </c>
      <c r="D16" s="50" t="inlineStr">
        <is>
          <t>WA</t>
        </is>
      </c>
      <c r="E16" s="50" t="inlineStr">
        <is>
          <t>AU Large Natural Gas</t>
        </is>
      </c>
      <c r="F16" s="50" t="n"/>
      <c r="G16" s="50" t="inlineStr">
        <is>
          <t>Unit 1, 5 Mounts Bay Road, Perth WA 6000</t>
        </is>
      </c>
      <c r="H16" s="50" t="inlineStr">
        <is>
          <t>SPOTLESS FACILITY SERVICES PTY LTD (ABN: 83 072 293 880)</t>
        </is>
      </c>
      <c r="I16" s="50" t="inlineStr">
        <is>
          <t>SICS</t>
        </is>
      </c>
      <c r="J16" s="50" t="inlineStr">
        <is>
          <t>GJ</t>
        </is>
      </c>
      <c r="K16" s="81" t="n">
        <v>9471.607275641016</v>
      </c>
      <c r="L16" s="50" t="inlineStr">
        <is>
          <t>Perth Energy</t>
        </is>
      </c>
      <c r="M16" s="82" t="inlineStr">
        <is>
          <t>Kleenheat</t>
        </is>
      </c>
      <c r="N16" s="82" t="n">
        <v>46023</v>
      </c>
      <c r="O16" s="82" t="n">
        <v>46752</v>
      </c>
      <c r="P16" s="50" t="inlineStr">
        <is>
          <t>To 31-Dec-2027</t>
        </is>
      </c>
      <c r="Q16" s="83">
        <f t="array" ref="Q16:S16">IFERROR(ROUNDUP(_xlfn.XLOOKUP(A16,'Budget FY26-28'!A:A,'Budget FY26-28'!M:O)*(1+Summary!$C$2), -2), "")</f>
        <v/>
      </c>
      <c r="R16" s="83" t="n">
        <v>156500</v>
      </c>
      <c r="S16" s="83" t="n">
        <v>156500</v>
      </c>
      <c r="T16" s="50" t="inlineStr">
        <is>
          <t>Ready</t>
        </is>
      </c>
      <c r="U16" s="54" t="n"/>
      <c r="V16" s="84" t="inlineStr">
        <is>
          <t>3176620_5600604830</t>
        </is>
      </c>
      <c r="W16" s="84" t="inlineStr">
        <is>
          <t>Natural Gas - PDF Parsing</t>
        </is>
      </c>
      <c r="X16" s="84" t="inlineStr">
        <is>
          <t>Natural Gas [GJ]</t>
        </is>
      </c>
      <c r="Y16" s="84" t="inlineStr">
        <is>
          <t>Kleenheat</t>
        </is>
      </c>
      <c r="Z16" s="84" t="inlineStr">
        <is>
          <t>LSE - Perth Convention &amp; Exhibition Centre (WA)</t>
        </is>
      </c>
      <c r="AA16" s="84" t="inlineStr">
        <is>
          <t>9068</t>
        </is>
      </c>
      <c r="AB16" s="84" t="inlineStr">
        <is>
          <t>Active</t>
        </is>
      </c>
      <c r="AC16" s="84" t="inlineStr">
        <is>
          <t>Connection ID is the account number suffix</t>
        </is>
      </c>
      <c r="AD16" s="85" t="inlineStr">
        <is>
          <t>11804879_5600604830; 80012725_5600604830; 606716_5600604830</t>
        </is>
      </c>
      <c r="AE16" s="85" t="inlineStr"/>
    </row>
    <row r="17">
      <c r="A17" s="49" t="n">
        <v>5600945901</v>
      </c>
      <c r="B17" s="50" t="inlineStr">
        <is>
          <t>Natural Gas</t>
        </is>
      </c>
      <c r="C17" s="50" t="inlineStr">
        <is>
          <t>Australia</t>
        </is>
      </c>
      <c r="D17" s="50" t="inlineStr">
        <is>
          <t>WA</t>
        </is>
      </c>
      <c r="E17" s="50" t="inlineStr">
        <is>
          <t>AU Large Natural Gas</t>
        </is>
      </c>
      <c r="F17" s="50" t="n"/>
      <c r="G17" s="50" t="inlineStr">
        <is>
          <t>Lot 106 Corner Hoyle &amp; Conway Road, Hope Valley WA 6165</t>
        </is>
      </c>
      <c r="H17" s="50" t="inlineStr">
        <is>
          <t>DOWNER EDI SERVICES PTY LTD (ABN: 71 137 732 042)</t>
        </is>
      </c>
      <c r="I17" s="50" t="inlineStr">
        <is>
          <t>T&amp;I</t>
        </is>
      </c>
      <c r="J17" s="50" t="inlineStr">
        <is>
          <t>GJ</t>
        </is>
      </c>
      <c r="K17" s="81" t="n">
        <v>34066.92792410716</v>
      </c>
      <c r="L17" s="50" t="inlineStr">
        <is>
          <t>Perth Energy</t>
        </is>
      </c>
      <c r="M17" s="82" t="inlineStr">
        <is>
          <t>Kleenheat</t>
        </is>
      </c>
      <c r="N17" s="82" t="n">
        <v>46023</v>
      </c>
      <c r="O17" s="82" t="n">
        <v>46752</v>
      </c>
      <c r="P17" s="50" t="inlineStr">
        <is>
          <t>To 31-Dec-2027</t>
        </is>
      </c>
      <c r="Q17" s="83">
        <f t="array" ref="Q17:S17">IFERROR(ROUNDUP(_xlfn.XLOOKUP(A17,'Budget FY26-28'!A:A,'Budget FY26-28'!M:O)*(1+Summary!$C$2), -2), "")</f>
        <v/>
      </c>
      <c r="R17" s="83" t="n">
        <v>464000</v>
      </c>
      <c r="S17" s="83" t="n">
        <v>464000</v>
      </c>
      <c r="T17" s="50" t="inlineStr">
        <is>
          <t>Ready</t>
        </is>
      </c>
      <c r="U17" s="54" t="n"/>
      <c r="V17" s="84" t="inlineStr">
        <is>
          <t>3228713_5600945901</t>
        </is>
      </c>
      <c r="W17" s="84" t="inlineStr">
        <is>
          <t>Natural Gas - PDF Parsing</t>
        </is>
      </c>
      <c r="X17" s="84" t="inlineStr">
        <is>
          <t>Natural Gas [GJ]</t>
        </is>
      </c>
      <c r="Y17" s="84" t="inlineStr">
        <is>
          <t>Kleenheat</t>
        </is>
      </c>
      <c r="Z17" s="84" t="inlineStr">
        <is>
          <t>Asphalt Prod - Hope Valley (628)</t>
        </is>
      </c>
      <c r="AA17" s="84" t="inlineStr">
        <is>
          <t>628</t>
        </is>
      </c>
      <c r="AB17" s="84" t="inlineStr">
        <is>
          <t>Active</t>
        </is>
      </c>
      <c r="AC17" s="84" t="inlineStr">
        <is>
          <t>Connection ID is the account number suffix</t>
        </is>
      </c>
      <c r="AD17" s="85" t="inlineStr">
        <is>
          <t>11804853_5600945901; 80010413_5600945901; 3176624_5600945901; 606715_5600945901</t>
        </is>
      </c>
      <c r="AE17" s="85" t="inlineStr"/>
    </row>
    <row r="18" customFormat="1" s="72">
      <c r="A18" s="66" t="n">
        <v>3053253239</v>
      </c>
      <c r="B18" s="67" t="inlineStr">
        <is>
          <t>Electricity</t>
        </is>
      </c>
      <c r="C18" s="67" t="inlineStr">
        <is>
          <t>Australia</t>
        </is>
      </c>
      <c r="D18" s="67" t="inlineStr">
        <is>
          <t>QLD</t>
        </is>
      </c>
      <c r="E18" s="67" t="inlineStr">
        <is>
          <t>AU Large Electricity</t>
        </is>
      </c>
      <c r="F18" s="67" t="inlineStr">
        <is>
          <t>Torbanlea</t>
        </is>
      </c>
      <c r="G18" s="67" t="inlineStr">
        <is>
          <t>TRAIN FACILTY BRUCE HWY TORBANLEA 35 QLD 4662</t>
        </is>
      </c>
      <c r="H18" s="67" t="inlineStr">
        <is>
          <t>DOWNER EDI SERVICES PTY LTD (ABN: 71 137 732 042)</t>
        </is>
      </c>
      <c r="I18" s="67" t="inlineStr">
        <is>
          <t>RAIL</t>
        </is>
      </c>
      <c r="J18" s="67" t="inlineStr">
        <is>
          <t>kWh</t>
        </is>
      </c>
      <c r="K18" s="86" t="n">
        <v>6208798</v>
      </c>
      <c r="L18" s="67" t="inlineStr">
        <is>
          <t>CS Energy</t>
        </is>
      </c>
      <c r="M18" s="87" t="inlineStr">
        <is>
          <t>Engie</t>
        </is>
      </c>
      <c r="N18" s="87" t="n">
        <v>46204</v>
      </c>
      <c r="O18" s="87" t="n">
        <v>46934</v>
      </c>
      <c r="P18" s="67" t="inlineStr">
        <is>
          <t>24 months</t>
        </is>
      </c>
      <c r="Q18" s="88">
        <f t="array" ref="Q18:S18">IFERROR(ROUNDUP(_xlfn.XLOOKUP(A18,'Budget FY26-28'!A:A,'Budget FY26-28'!M:O)*(1+Summary!$C$2), -2), "")</f>
        <v/>
      </c>
      <c r="R18" s="88" t="n">
        <v>1165400</v>
      </c>
      <c r="S18" s="88" t="n">
        <v>1174900</v>
      </c>
      <c r="T18" s="67" t="inlineStr">
        <is>
          <t>Ready</t>
        </is>
      </c>
      <c r="U18" s="71" t="n"/>
      <c r="V18" s="84" t="inlineStr">
        <is>
          <t>900018201_3053253239</t>
        </is>
      </c>
      <c r="W18" s="84" t="inlineStr">
        <is>
          <t>Electricity Small Market</t>
        </is>
      </c>
      <c r="X18" s="84" t="inlineStr">
        <is>
          <t>Electricity [kWh]</t>
        </is>
      </c>
      <c r="Y18" s="84" t="inlineStr">
        <is>
          <t>EngieAU</t>
        </is>
      </c>
      <c r="Z18" s="84" t="inlineStr">
        <is>
          <t>Torbanlea - QTMP</t>
        </is>
      </c>
      <c r="AA18" s="84" t="inlineStr"/>
      <c r="AB18" s="84" t="inlineStr">
        <is>
          <t>Active</t>
        </is>
      </c>
      <c r="AC18" s="84" t="inlineStr">
        <is>
          <t>Connection ID is the account number suffix</t>
        </is>
      </c>
      <c r="AD18" s="85" t="inlineStr">
        <is>
          <t>1003571_3053253239; 5000021_3053253239</t>
        </is>
      </c>
      <c r="AE18" s="85" t="inlineStr">
        <is>
          <t>900018201_3053253239_CERTS (to create)</t>
        </is>
      </c>
    </row>
    <row r="19" customFormat="1" s="72">
      <c r="A19" s="66" t="n">
        <v>6305885252</v>
      </c>
      <c r="B19" s="67" t="inlineStr">
        <is>
          <t>Electricity</t>
        </is>
      </c>
      <c r="C19" s="67" t="inlineStr">
        <is>
          <t>Australia</t>
        </is>
      </c>
      <c r="D19" s="67" t="inlineStr">
        <is>
          <t>VIC</t>
        </is>
      </c>
      <c r="E19" s="67" t="inlineStr">
        <is>
          <t>AU Large Electricity</t>
        </is>
      </c>
      <c r="F19" s="67" t="n"/>
      <c r="G19" s="67" t="inlineStr">
        <is>
          <t>81 MCMILLAN STREET LUCKNOW VIC 3875 LUCKNOW VIC</t>
        </is>
      </c>
      <c r="H19" s="67" t="inlineStr">
        <is>
          <t>DOWNER EDI SERVICES PTY LTD (ABN: 71 137 732 042)</t>
        </is>
      </c>
      <c r="I19" s="67" t="n"/>
      <c r="J19" s="67" t="inlineStr">
        <is>
          <t>kWh</t>
        </is>
      </c>
      <c r="K19" s="86" t="n">
        <v>201844</v>
      </c>
      <c r="L19" s="67" t="inlineStr">
        <is>
          <t>Origin</t>
        </is>
      </c>
      <c r="M19" s="87" t="inlineStr">
        <is>
          <t>Engie</t>
        </is>
      </c>
      <c r="N19" s="87" t="n">
        <v>46204</v>
      </c>
      <c r="O19" s="87" t="n">
        <v>46934</v>
      </c>
      <c r="P19" s="67" t="inlineStr">
        <is>
          <t>24 months</t>
        </is>
      </c>
      <c r="Q19" s="88">
        <f t="array" ref="Q19:S19">IFERROR(ROUNDUP(_xlfn.XLOOKUP(A19,'Budget FY26-28'!A:A,'Budget FY26-28'!M:O)*(1+Summary!$C$2), -2), "")</f>
        <v/>
      </c>
      <c r="R19" s="88" t="n">
        <v>57800</v>
      </c>
      <c r="S19" s="88" t="n">
        <v>58100</v>
      </c>
      <c r="T19" s="67" t="inlineStr">
        <is>
          <t>Ready</t>
        </is>
      </c>
      <c r="U19" s="71" t="n"/>
      <c r="V19" s="84" t="inlineStr">
        <is>
          <t>900018218_6305885252</t>
        </is>
      </c>
      <c r="W19" s="84" t="inlineStr">
        <is>
          <t>Electricity Small Market</t>
        </is>
      </c>
      <c r="X19" s="84" t="inlineStr">
        <is>
          <t>Electricity [kWh]</t>
        </is>
      </c>
      <c r="Y19" s="84" t="inlineStr">
        <is>
          <t>EngieAU</t>
        </is>
      </c>
      <c r="Z19" s="84" t="inlineStr">
        <is>
          <t>Gippsland Asphalt - Bairnsdale</t>
        </is>
      </c>
      <c r="AA19" s="84" t="inlineStr">
        <is>
          <t>103.1</t>
        </is>
      </c>
      <c r="AB19" s="84" t="inlineStr">
        <is>
          <t>Active</t>
        </is>
      </c>
      <c r="AC19" s="84" t="inlineStr">
        <is>
          <t>Connection ID is the account number suffix</t>
        </is>
      </c>
      <c r="AD19" s="85" t="inlineStr">
        <is>
          <t>900018218_6305885252_CERTS; 50002976775_6305885252</t>
        </is>
      </c>
      <c r="AE19" s="85" t="inlineStr">
        <is>
          <t>900018218_6305885252_CERTS (live)</t>
        </is>
      </c>
    </row>
    <row r="20" customFormat="1" s="79">
      <c r="A20" s="73" t="n">
        <v>4001050448</v>
      </c>
      <c r="B20" s="74" t="inlineStr">
        <is>
          <t>Electricity</t>
        </is>
      </c>
      <c r="C20" s="74" t="inlineStr">
        <is>
          <t>Australia</t>
        </is>
      </c>
      <c r="D20" s="74" t="inlineStr">
        <is>
          <t>NSW</t>
        </is>
      </c>
      <c r="E20" s="74" t="inlineStr">
        <is>
          <t>AU Small Energy</t>
        </is>
      </c>
      <c r="F20" s="74" t="inlineStr">
        <is>
          <t>Roads - Forbes</t>
        </is>
      </c>
      <c r="G20" s="74" t="inlineStr">
        <is>
          <t>SAM STREET FORBES NSW 2871</t>
        </is>
      </c>
      <c r="H20" s="74" t="inlineStr">
        <is>
          <t>DOWNER EDI WORKS PTY LTD (ABN: 66 008 709 608)</t>
        </is>
      </c>
      <c r="I20" s="74" t="inlineStr">
        <is>
          <t>ROAD SERVICES</t>
        </is>
      </c>
      <c r="J20" s="74" t="inlineStr">
        <is>
          <t>kWh</t>
        </is>
      </c>
      <c r="K20" s="89" t="n">
        <v>28354</v>
      </c>
      <c r="L20" s="74" t="inlineStr">
        <is>
          <t>Origin</t>
        </is>
      </c>
      <c r="M20" s="90" t="inlineStr">
        <is>
          <t>Origin</t>
        </is>
      </c>
      <c r="N20" s="90" t="n">
        <v>46204</v>
      </c>
      <c r="O20" s="90" t="n">
        <v>46934</v>
      </c>
      <c r="P20" s="74" t="inlineStr">
        <is>
          <t>24 months</t>
        </is>
      </c>
      <c r="Q20" s="91">
        <f t="array" ref="Q20:S20">IFERROR(ROUNDUP(_xlfn.XLOOKUP(A20,'Budget FY26-28'!A:A,'Budget FY26-28'!M:O)*(1+Summary!$C$2), -2), "")</f>
        <v/>
      </c>
      <c r="R20" s="91" t="n">
        <v>9400</v>
      </c>
      <c r="S20" s="91" t="n">
        <v>9400</v>
      </c>
      <c r="T20" s="74" t="inlineStr">
        <is>
          <t>Ready</t>
        </is>
      </c>
      <c r="U20" s="78" t="n"/>
      <c r="V20" s="84" t="inlineStr">
        <is>
          <t>A-5F3C0784_4001050448</t>
        </is>
      </c>
      <c r="W20" s="84" t="inlineStr">
        <is>
          <t>Electricity Small Market</t>
        </is>
      </c>
      <c r="X20" s="84" t="inlineStr">
        <is>
          <t>Electricity [kWh]</t>
        </is>
      </c>
      <c r="Y20" s="84" t="inlineStr">
        <is>
          <t>Origin</t>
        </is>
      </c>
      <c r="Z20" s="84" t="inlineStr">
        <is>
          <t>Forbes</t>
        </is>
      </c>
      <c r="AA20" s="84" t="inlineStr">
        <is>
          <t>116</t>
        </is>
      </c>
      <c r="AB20" s="84" t="inlineStr">
        <is>
          <t>Active</t>
        </is>
      </c>
      <c r="AC20" s="84" t="inlineStr">
        <is>
          <t>Connection ID is the account number suffix</t>
        </is>
      </c>
      <c r="AD20" s="85" t="inlineStr">
        <is>
          <t>200021563685_4001050448</t>
        </is>
      </c>
      <c r="AE20" s="85" t="inlineStr"/>
    </row>
    <row r="21" customFormat="1" s="79">
      <c r="A21" s="73" t="n">
        <v>4001128707</v>
      </c>
      <c r="B21" s="74" t="inlineStr">
        <is>
          <t>Electricity</t>
        </is>
      </c>
      <c r="C21" s="74" t="inlineStr">
        <is>
          <t>Australia</t>
        </is>
      </c>
      <c r="D21" s="74" t="inlineStr">
        <is>
          <t>NSW</t>
        </is>
      </c>
      <c r="E21" s="74" t="inlineStr">
        <is>
          <t>AU Small Energy</t>
        </is>
      </c>
      <c r="F21" s="74" t="inlineStr">
        <is>
          <t>Roads - Westdale (Tamworth)</t>
        </is>
      </c>
      <c r="G21" s="74" t="inlineStr">
        <is>
          <t>15 ARMSTRONG STREET WESTDALE NSW 2340</t>
        </is>
      </c>
      <c r="H21" s="74" t="inlineStr">
        <is>
          <t>DOWNER EDI WORKS PTY LTD (ABN: 66 008 709 608)</t>
        </is>
      </c>
      <c r="I21" s="74" t="inlineStr">
        <is>
          <t>ROAD SERVICES</t>
        </is>
      </c>
      <c r="J21" s="74" t="inlineStr">
        <is>
          <t>kWh</t>
        </is>
      </c>
      <c r="K21" s="89" t="n">
        <v>0</v>
      </c>
      <c r="L21" s="74" t="inlineStr">
        <is>
          <t>Origin</t>
        </is>
      </c>
      <c r="M21" s="90" t="inlineStr">
        <is>
          <t>Origin</t>
        </is>
      </c>
      <c r="N21" s="90" t="n">
        <v>46204</v>
      </c>
      <c r="O21" s="90" t="n">
        <v>46934</v>
      </c>
      <c r="P21" s="74" t="inlineStr">
        <is>
          <t>24 months</t>
        </is>
      </c>
      <c r="Q21" s="91">
        <f t="array" ref="Q21:S21">IFERROR(ROUNDUP(_xlfn.XLOOKUP(A21,'Budget FY26-28'!A:A,'Budget FY26-28'!M:O)*(1+Summary!$C$2), -2), "")</f>
        <v/>
      </c>
      <c r="R21" s="91" t="n">
        <v>0</v>
      </c>
      <c r="S21" s="91" t="n">
        <v>0</v>
      </c>
      <c r="T21" s="74" t="inlineStr">
        <is>
          <t>Review required</t>
        </is>
      </c>
      <c r="U21" s="78" t="inlineStr">
        <is>
          <t>No consumption reported</t>
        </is>
      </c>
      <c r="V21" s="84" t="inlineStr">
        <is>
          <t>A-2A4343BB_4001128707</t>
        </is>
      </c>
      <c r="W21" s="84" t="inlineStr">
        <is>
          <t>Electricity Small Market</t>
        </is>
      </c>
      <c r="X21" s="84" t="inlineStr">
        <is>
          <t>Electricity [kWh]</t>
        </is>
      </c>
      <c r="Y21" s="84" t="inlineStr">
        <is>
          <t>Origin</t>
        </is>
      </c>
      <c r="Z21" s="84" t="inlineStr">
        <is>
          <t>Tamworth</t>
        </is>
      </c>
      <c r="AA21" s="84" t="inlineStr">
        <is>
          <t>170937</t>
        </is>
      </c>
      <c r="AB21" s="84" t="inlineStr">
        <is>
          <t>Active</t>
        </is>
      </c>
      <c r="AC21" s="84" t="inlineStr">
        <is>
          <t>Connection ID is the account number suffix</t>
        </is>
      </c>
      <c r="AD21" s="85" t="inlineStr">
        <is>
          <t>200021563628_4001128707</t>
        </is>
      </c>
      <c r="AE21" s="85" t="inlineStr">
        <is>
          <t>LGCS_4001158058 (at this location, different ID) - historical</t>
        </is>
      </c>
    </row>
    <row r="22" customFormat="1" s="79">
      <c r="A22" s="73" t="n">
        <v>4001174306</v>
      </c>
      <c r="B22" s="74" t="inlineStr">
        <is>
          <t>Electricity</t>
        </is>
      </c>
      <c r="C22" s="74" t="inlineStr">
        <is>
          <t>Australia</t>
        </is>
      </c>
      <c r="D22" s="74" t="inlineStr">
        <is>
          <t>NSW</t>
        </is>
      </c>
      <c r="E22" s="74" t="inlineStr">
        <is>
          <t>AU Small Energy</t>
        </is>
      </c>
      <c r="F22" s="74" t="inlineStr">
        <is>
          <t>Roads - Westdale (Tamworth)</t>
        </is>
      </c>
      <c r="G22" s="74" t="inlineStr">
        <is>
          <t>23 ARMSTRONG STREET WESTDALE NSW 2340</t>
        </is>
      </c>
      <c r="H22" s="74" t="inlineStr">
        <is>
          <t>DOWNER EDI WORKS PTY LTD (ABN: 66 008 709 608)</t>
        </is>
      </c>
      <c r="I22" s="74" t="inlineStr">
        <is>
          <t>ROAD SERVICES</t>
        </is>
      </c>
      <c r="J22" s="74" t="inlineStr">
        <is>
          <t>kWh</t>
        </is>
      </c>
      <c r="K22" s="89" t="n">
        <v>254401</v>
      </c>
      <c r="L22" s="74" t="inlineStr">
        <is>
          <t>Origin</t>
        </is>
      </c>
      <c r="M22" s="90" t="inlineStr">
        <is>
          <t>Origin</t>
        </is>
      </c>
      <c r="N22" s="90" t="n">
        <v>46204</v>
      </c>
      <c r="O22" s="90" t="n">
        <v>46934</v>
      </c>
      <c r="P22" s="74" t="inlineStr">
        <is>
          <t>24 months</t>
        </is>
      </c>
      <c r="Q22" s="91">
        <f t="array" ref="Q22:S22">IFERROR(ROUNDUP(_xlfn.XLOOKUP(A22,'Budget FY26-28'!A:A,'Budget FY26-28'!M:O)*(1+Summary!$C$2), -2), "")</f>
        <v/>
      </c>
      <c r="R22" s="91" t="n">
        <v>74700</v>
      </c>
      <c r="S22" s="91" t="n">
        <v>74700</v>
      </c>
      <c r="T22" s="74" t="inlineStr">
        <is>
          <t>Ready</t>
        </is>
      </c>
      <c r="U22" s="78" t="n"/>
      <c r="V22" s="84" t="inlineStr">
        <is>
          <t>A-0B2330E0_4001174306</t>
        </is>
      </c>
      <c r="W22" s="84" t="inlineStr">
        <is>
          <t>Electricity Small Market</t>
        </is>
      </c>
      <c r="X22" s="84" t="inlineStr">
        <is>
          <t>Electricity [kWh]</t>
        </is>
      </c>
      <c r="Y22" s="84" t="inlineStr">
        <is>
          <t>Origin</t>
        </is>
      </c>
      <c r="Z22" s="84" t="inlineStr">
        <is>
          <t>Tamworth</t>
        </is>
      </c>
      <c r="AA22" s="84" t="inlineStr">
        <is>
          <t>170937</t>
        </is>
      </c>
      <c r="AB22" s="84" t="inlineStr">
        <is>
          <t>Active</t>
        </is>
      </c>
      <c r="AC22" s="84" t="inlineStr">
        <is>
          <t>Connection ID is the account number suffix</t>
        </is>
      </c>
      <c r="AD22" s="85" t="inlineStr"/>
      <c r="AE22" s="85" t="inlineStr">
        <is>
          <t>LGCS_4001158058 (at this location, different ID) - historical</t>
        </is>
      </c>
    </row>
    <row r="23" customFormat="1" s="79">
      <c r="A23" s="73" t="n">
        <v>4001231357</v>
      </c>
      <c r="B23" s="74" t="inlineStr">
        <is>
          <t>Electricity</t>
        </is>
      </c>
      <c r="C23" s="74" t="inlineStr">
        <is>
          <t>Australia</t>
        </is>
      </c>
      <c r="D23" s="74" t="inlineStr">
        <is>
          <t>NSW</t>
        </is>
      </c>
      <c r="E23" s="74" t="inlineStr">
        <is>
          <t>AU Small Energy</t>
        </is>
      </c>
      <c r="F23" s="74" t="inlineStr">
        <is>
          <t>Surfacing Lismore</t>
        </is>
      </c>
      <c r="G23" s="74" t="inlineStr">
        <is>
          <t>64 Lancaster Drive Goonellabah NSW 2480</t>
        </is>
      </c>
      <c r="H23" s="74" t="inlineStr">
        <is>
          <t>DOWNER EDI WORKS PTY LTD (ABN: 66 008 709 608)</t>
        </is>
      </c>
      <c r="I23" s="74" t="inlineStr">
        <is>
          <t>Roads</t>
        </is>
      </c>
      <c r="J23" s="74" t="inlineStr">
        <is>
          <t>kWh</t>
        </is>
      </c>
      <c r="K23" s="89" t="n">
        <v>30776</v>
      </c>
      <c r="L23" s="74" t="inlineStr">
        <is>
          <t>Origin</t>
        </is>
      </c>
      <c r="M23" s="90" t="inlineStr">
        <is>
          <t>Origin</t>
        </is>
      </c>
      <c r="N23" s="90" t="n">
        <v>46204</v>
      </c>
      <c r="O23" s="90" t="n">
        <v>46934</v>
      </c>
      <c r="P23" s="74" t="inlineStr">
        <is>
          <t>24 months</t>
        </is>
      </c>
      <c r="Q23" s="91">
        <f t="array" ref="Q23:S23">IFERROR(ROUNDUP(_xlfn.XLOOKUP(A23,'Budget FY26-28'!A:A,'Budget FY26-28'!M:O)*(1+Summary!$C$2), -2), "")</f>
        <v/>
      </c>
      <c r="R23" s="91" t="n">
        <v>13200</v>
      </c>
      <c r="S23" s="91" t="n">
        <v>13200</v>
      </c>
      <c r="T23" s="74" t="inlineStr">
        <is>
          <t>Ready</t>
        </is>
      </c>
      <c r="U23" s="78" t="n"/>
      <c r="V23" s="84" t="inlineStr">
        <is>
          <t>A-12B8B627_4001231357</t>
        </is>
      </c>
      <c r="W23" s="84" t="inlineStr">
        <is>
          <t>Electricity Small Market</t>
        </is>
      </c>
      <c r="X23" s="84" t="inlineStr">
        <is>
          <t>Electricity [kWh]</t>
        </is>
      </c>
      <c r="Y23" s="84" t="inlineStr">
        <is>
          <t>Origin</t>
        </is>
      </c>
      <c r="Z23" s="84" t="inlineStr">
        <is>
          <t>RPQ NSW Lismore Depot</t>
        </is>
      </c>
      <c r="AA23" s="84" t="inlineStr">
        <is>
          <t>170426</t>
        </is>
      </c>
      <c r="AB23" s="84" t="inlineStr">
        <is>
          <t>Active</t>
        </is>
      </c>
      <c r="AC23" s="84" t="inlineStr">
        <is>
          <t>Connection ID is the account number suffix</t>
        </is>
      </c>
      <c r="AD23" s="85" t="inlineStr"/>
      <c r="AE23" s="85" t="inlineStr"/>
    </row>
    <row r="24" customFormat="1" s="79">
      <c r="A24" s="73" t="n">
        <v>4001277522</v>
      </c>
      <c r="B24" s="74" t="inlineStr">
        <is>
          <t>Electricity</t>
        </is>
      </c>
      <c r="C24" s="74" t="inlineStr">
        <is>
          <t>Australia</t>
        </is>
      </c>
      <c r="D24" s="74" t="inlineStr">
        <is>
          <t>NSW</t>
        </is>
      </c>
      <c r="E24" s="74" t="inlineStr">
        <is>
          <t>AU Small Energy</t>
        </is>
      </c>
      <c r="F24" s="74" t="inlineStr">
        <is>
          <t>RPQ South Grafton</t>
        </is>
      </c>
      <c r="G24" s="74" t="inlineStr">
        <is>
          <t>Lot 42 Tyson St, , South Grafton NSW 2460</t>
        </is>
      </c>
      <c r="H24" s="74" t="inlineStr">
        <is>
          <t>RPQ PTY LTD (ABN: 53 010 760 826)</t>
        </is>
      </c>
      <c r="I24" s="74" t="inlineStr">
        <is>
          <t>RPQ</t>
        </is>
      </c>
      <c r="J24" s="74" t="inlineStr">
        <is>
          <t>kWh</t>
        </is>
      </c>
      <c r="K24" s="89" t="n">
        <v>9299</v>
      </c>
      <c r="L24" s="74" t="inlineStr">
        <is>
          <t>Origin</t>
        </is>
      </c>
      <c r="M24" s="90" t="inlineStr">
        <is>
          <t>Origin</t>
        </is>
      </c>
      <c r="N24" s="90" t="n">
        <v>46204</v>
      </c>
      <c r="O24" s="90" t="n">
        <v>46934</v>
      </c>
      <c r="P24" s="74" t="inlineStr">
        <is>
          <t>24 months</t>
        </is>
      </c>
      <c r="Q24" s="91">
        <f t="array" ref="Q24:S24">IFERROR(ROUNDUP(_xlfn.XLOOKUP(A24,'Budget FY26-28'!A:A,'Budget FY26-28'!M:O)*(1+Summary!$C$2), -2), "")</f>
        <v/>
      </c>
      <c r="R24" s="91" t="n">
        <v>3800</v>
      </c>
      <c r="S24" s="91" t="n">
        <v>3800</v>
      </c>
      <c r="T24" s="74" t="inlineStr">
        <is>
          <t>Ready</t>
        </is>
      </c>
      <c r="U24" s="78" t="n"/>
      <c r="V24" s="84" t="inlineStr">
        <is>
          <t>A-480CA3BE_4001277522</t>
        </is>
      </c>
      <c r="W24" s="84" t="inlineStr">
        <is>
          <t>Electricity Small Market</t>
        </is>
      </c>
      <c r="X24" s="84" t="inlineStr">
        <is>
          <t>Electricity [kWh]</t>
        </is>
      </c>
      <c r="Y24" s="84" t="inlineStr">
        <is>
          <t>Origin</t>
        </is>
      </c>
      <c r="Z24" s="84" t="inlineStr">
        <is>
          <t>RPQ NSW South Grafton</t>
        </is>
      </c>
      <c r="AA24" s="84" t="inlineStr">
        <is>
          <t>L9.J.171215</t>
        </is>
      </c>
      <c r="AB24" s="84" t="inlineStr">
        <is>
          <t>Active</t>
        </is>
      </c>
      <c r="AC24" s="84" t="inlineStr">
        <is>
          <t>Connection ID is the account number suffix</t>
        </is>
      </c>
      <c r="AD24" s="85" t="inlineStr">
        <is>
          <t>A-B500CC5F_4001277522</t>
        </is>
      </c>
      <c r="AE24" s="85" t="inlineStr"/>
    </row>
    <row r="25" customFormat="1" s="79">
      <c r="A25" s="73" t="n">
        <v>4103512903</v>
      </c>
      <c r="B25" s="74" t="inlineStr">
        <is>
          <t>Electricity</t>
        </is>
      </c>
      <c r="C25" s="74" t="inlineStr">
        <is>
          <t>Australia</t>
        </is>
      </c>
      <c r="D25" s="74" t="inlineStr">
        <is>
          <t>NSW</t>
        </is>
      </c>
      <c r="E25" s="74" t="inlineStr">
        <is>
          <t>AU Small Energy</t>
        </is>
      </c>
      <c r="F25" s="74" t="inlineStr">
        <is>
          <t>Rail Hornsby</t>
        </is>
      </c>
      <c r="G25" s="74" t="inlineStr">
        <is>
          <t>29 Leighton Place Hornsby NSW 2077</t>
        </is>
      </c>
      <c r="H25" s="74" t="inlineStr">
        <is>
          <t>DOWNER EDI RAIL PTY LTD (ABN: 92 000 002 031)</t>
        </is>
      </c>
      <c r="I25" s="74" t="inlineStr">
        <is>
          <t>Rail</t>
        </is>
      </c>
      <c r="J25" s="74" t="inlineStr">
        <is>
          <t>kWh</t>
        </is>
      </c>
      <c r="K25" s="89" t="n">
        <v>15039</v>
      </c>
      <c r="L25" s="74" t="inlineStr">
        <is>
          <t>AGL</t>
        </is>
      </c>
      <c r="M25" s="90" t="inlineStr">
        <is>
          <t>Origin</t>
        </is>
      </c>
      <c r="N25" s="90" t="n">
        <v>46204</v>
      </c>
      <c r="O25" s="90" t="n">
        <v>46934</v>
      </c>
      <c r="P25" s="74" t="inlineStr">
        <is>
          <t>24 months</t>
        </is>
      </c>
      <c r="Q25" s="91">
        <f t="array" ref="Q25:S25">IFERROR(ROUNDUP(_xlfn.XLOOKUP(A25,'Budget FY26-28'!A:A,'Budget FY26-28'!M:O)*(1+Summary!$C$2), -2), "")</f>
        <v/>
      </c>
      <c r="R25" s="91" t="n">
        <v>4100</v>
      </c>
      <c r="S25" s="91" t="n">
        <v>4100</v>
      </c>
      <c r="T25" s="74" t="inlineStr">
        <is>
          <t>Ready</t>
        </is>
      </c>
      <c r="U25" s="78" t="n"/>
      <c r="V25" s="84" t="inlineStr">
        <is>
          <t>7093364037_4103512903</t>
        </is>
      </c>
      <c r="W25" s="84" t="inlineStr">
        <is>
          <t>Electricity Small Market</t>
        </is>
      </c>
      <c r="X25" s="84" t="inlineStr">
        <is>
          <t>Electricity [kWh]</t>
        </is>
      </c>
      <c r="Y25" s="84" t="inlineStr">
        <is>
          <t>AGL</t>
        </is>
      </c>
      <c r="Z25" s="84" t="inlineStr">
        <is>
          <t>WTP Mobile Tech Hornsby</t>
        </is>
      </c>
      <c r="AA25" s="84" t="inlineStr">
        <is>
          <t>3025</t>
        </is>
      </c>
      <c r="AB25" s="84" t="inlineStr">
        <is>
          <t>Active</t>
        </is>
      </c>
      <c r="AC25" s="84" t="inlineStr">
        <is>
          <t>Connection ID is the account number suffix</t>
        </is>
      </c>
      <c r="AD25" s="85" t="inlineStr"/>
      <c r="AE25" s="85" t="inlineStr"/>
    </row>
    <row r="26" customFormat="1" s="79">
      <c r="A26" s="73" t="n">
        <v>4104037195</v>
      </c>
      <c r="B26" s="74" t="inlineStr">
        <is>
          <t>Electricity</t>
        </is>
      </c>
      <c r="C26" s="74" t="inlineStr">
        <is>
          <t>Australia</t>
        </is>
      </c>
      <c r="D26" s="74" t="inlineStr">
        <is>
          <t>NSW</t>
        </is>
      </c>
      <c r="E26" s="74" t="inlineStr">
        <is>
          <t>AU Small Energy</t>
        </is>
      </c>
      <c r="F26" s="74" t="inlineStr">
        <is>
          <t>Whole of Government -Riverwood</t>
        </is>
      </c>
      <c r="G26" s="74" t="inlineStr">
        <is>
          <t>5-7 Littleton St Riverwood NSW 2190</t>
        </is>
      </c>
      <c r="H26" s="74" t="inlineStr">
        <is>
          <t>SPOTLESS FACILITY SERVICES PTY LTD (ABN: 83 072 293 880)</t>
        </is>
      </c>
      <c r="I26" s="74" t="inlineStr">
        <is>
          <t>Spotless</t>
        </is>
      </c>
      <c r="J26" s="74" t="inlineStr">
        <is>
          <t>kWh</t>
        </is>
      </c>
      <c r="K26" s="89" t="n">
        <v>2938</v>
      </c>
      <c r="L26" s="74" t="inlineStr">
        <is>
          <t>Origin</t>
        </is>
      </c>
      <c r="M26" s="90" t="inlineStr">
        <is>
          <t>Origin</t>
        </is>
      </c>
      <c r="N26" s="90" t="n">
        <v>46204</v>
      </c>
      <c r="O26" s="90" t="n">
        <v>46934</v>
      </c>
      <c r="P26" s="74" t="inlineStr">
        <is>
          <t>24 months</t>
        </is>
      </c>
      <c r="Q26" s="91">
        <f t="array" ref="Q26:S26">IFERROR(ROUNDUP(_xlfn.XLOOKUP(A26,'Budget FY26-28'!A:A,'Budget FY26-28'!M:O)*(1+Summary!$C$2), -2), "")</f>
        <v/>
      </c>
      <c r="R26" s="91" t="n">
        <v>1500</v>
      </c>
      <c r="S26" s="91" t="n">
        <v>1500</v>
      </c>
      <c r="T26" s="74" t="inlineStr">
        <is>
          <t>Ready</t>
        </is>
      </c>
      <c r="U26" s="78" t="n"/>
      <c r="V26" s="84" t="inlineStr">
        <is>
          <t>A-EE80EEC5_4104037195</t>
        </is>
      </c>
      <c r="W26" s="84" t="inlineStr">
        <is>
          <t>Electricity Small Market</t>
        </is>
      </c>
      <c r="X26" s="84" t="inlineStr">
        <is>
          <t>Electricity [kWh]</t>
        </is>
      </c>
      <c r="Y26" s="84" t="inlineStr">
        <is>
          <t>Origin</t>
        </is>
      </c>
      <c r="Z26" s="84" t="inlineStr">
        <is>
          <t>Spotless FM - Riverwood office</t>
        </is>
      </c>
      <c r="AA26" s="84" t="inlineStr"/>
      <c r="AB26" s="84" t="inlineStr">
        <is>
          <t>Active</t>
        </is>
      </c>
      <c r="AC26" s="84" t="inlineStr">
        <is>
          <t>Connection ID is the account number suffix</t>
        </is>
      </c>
      <c r="AD26" s="85" t="inlineStr">
        <is>
          <t>A-67BE8F15_4104037195</t>
        </is>
      </c>
      <c r="AE26" s="85" t="inlineStr"/>
    </row>
    <row r="27" customFormat="1" s="79">
      <c r="A27" s="73" t="n">
        <v>4204234430</v>
      </c>
      <c r="B27" s="74" t="inlineStr">
        <is>
          <t>Electricity</t>
        </is>
      </c>
      <c r="C27" s="74" t="inlineStr">
        <is>
          <t>Australia</t>
        </is>
      </c>
      <c r="D27" s="74" t="inlineStr">
        <is>
          <t>NSW</t>
        </is>
      </c>
      <c r="E27" s="74" t="inlineStr">
        <is>
          <t>AU Small Energy</t>
        </is>
      </c>
      <c r="F27" s="74" t="inlineStr">
        <is>
          <t>Roads - Narrandera</t>
        </is>
      </c>
      <c r="G27" s="74" t="inlineStr">
        <is>
          <t>1 DRISCOLL DRIVE NARRANDERA NSW 2700</t>
        </is>
      </c>
      <c r="H27" s="74" t="inlineStr">
        <is>
          <t>DOWNER EDI WORKS PTY LTD (ABN: 66 008 709 608)</t>
        </is>
      </c>
      <c r="I27" s="74" t="inlineStr">
        <is>
          <t>ROAD SERVICES</t>
        </is>
      </c>
      <c r="J27" s="74" t="inlineStr">
        <is>
          <t>kWh</t>
        </is>
      </c>
      <c r="K27" s="89" t="n">
        <v>16709</v>
      </c>
      <c r="L27" s="74" t="inlineStr">
        <is>
          <t>Origin</t>
        </is>
      </c>
      <c r="M27" s="90" t="inlineStr">
        <is>
          <t>Origin</t>
        </is>
      </c>
      <c r="N27" s="90" t="n">
        <v>46204</v>
      </c>
      <c r="O27" s="90" t="n">
        <v>46934</v>
      </c>
      <c r="P27" s="74" t="inlineStr">
        <is>
          <t>24 months</t>
        </is>
      </c>
      <c r="Q27" s="91">
        <f t="array" ref="Q27:S27">IFERROR(ROUNDUP(_xlfn.XLOOKUP(A27,'Budget FY26-28'!A:A,'Budget FY26-28'!M:O)*(1+Summary!$C$2), -2), "")</f>
        <v/>
      </c>
      <c r="R27" s="91" t="n">
        <v>6600</v>
      </c>
      <c r="S27" s="91" t="n">
        <v>6600</v>
      </c>
      <c r="T27" s="74" t="inlineStr">
        <is>
          <t>Ready</t>
        </is>
      </c>
      <c r="U27" s="78" t="n"/>
      <c r="V27" s="84" t="inlineStr">
        <is>
          <t>A-39C3EA08_4204234430</t>
        </is>
      </c>
      <c r="W27" s="84" t="inlineStr">
        <is>
          <t>Electricity Small Market</t>
        </is>
      </c>
      <c r="X27" s="84" t="inlineStr">
        <is>
          <t>Electricity [kWh]</t>
        </is>
      </c>
      <c r="Y27" s="84" t="inlineStr">
        <is>
          <t>Origin</t>
        </is>
      </c>
      <c r="Z27" s="84" t="inlineStr">
        <is>
          <t>Asphalt Prod - Narrandera (113)</t>
        </is>
      </c>
      <c r="AA27" s="84" t="inlineStr">
        <is>
          <t>113</t>
        </is>
      </c>
      <c r="AB27" s="84" t="inlineStr">
        <is>
          <t>Active</t>
        </is>
      </c>
      <c r="AC27" s="84" t="inlineStr">
        <is>
          <t>Connection ID is the account number suffix</t>
        </is>
      </c>
      <c r="AD27" s="85" t="inlineStr">
        <is>
          <t>5868854420_4204234430; 200021563602_4204234430</t>
        </is>
      </c>
      <c r="AE27" s="85" t="inlineStr"/>
    </row>
    <row r="28" customFormat="1" s="79">
      <c r="A28" s="73" t="n">
        <v>4310027807</v>
      </c>
      <c r="B28" s="74" t="inlineStr">
        <is>
          <t>Electricity</t>
        </is>
      </c>
      <c r="C28" s="74" t="inlineStr">
        <is>
          <t>Australia</t>
        </is>
      </c>
      <c r="D28" s="74" t="inlineStr">
        <is>
          <t>NSW</t>
        </is>
      </c>
      <c r="E28" s="74" t="inlineStr">
        <is>
          <t>AU Small Energy</t>
        </is>
      </c>
      <c r="F28" s="74" t="inlineStr">
        <is>
          <t>Skilltech - Rydalmere</t>
        </is>
      </c>
      <c r="G28" s="74" t="inlineStr">
        <is>
          <t>U S 16 SOUTH ST RYDALMERE NSW 2116</t>
        </is>
      </c>
      <c r="H28" s="74" t="inlineStr">
        <is>
          <t>SKILLTECH CONSULTING SERVICES PTY. LTD. (ABN: 14 007 162 647)</t>
        </is>
      </c>
      <c r="I28" s="74" t="inlineStr">
        <is>
          <t>Spotless</t>
        </is>
      </c>
      <c r="J28" s="74" t="inlineStr">
        <is>
          <t>kWh</t>
        </is>
      </c>
      <c r="K28" s="89" t="n">
        <v>65379</v>
      </c>
      <c r="L28" s="74" t="inlineStr">
        <is>
          <t>EnergyAustralia</t>
        </is>
      </c>
      <c r="M28" s="90" t="inlineStr">
        <is>
          <t>Origin</t>
        </is>
      </c>
      <c r="N28" s="90" t="n">
        <v>46204</v>
      </c>
      <c r="O28" s="90" t="n">
        <v>46934</v>
      </c>
      <c r="P28" s="74" t="inlineStr">
        <is>
          <t>24 months</t>
        </is>
      </c>
      <c r="Q28" s="91">
        <f t="array" ref="Q28:S28">IFERROR(ROUNDUP(_xlfn.XLOOKUP(A28,'Budget FY26-28'!A:A,'Budget FY26-28'!M:O)*(1+Summary!$C$2), -2), "")</f>
        <v/>
      </c>
      <c r="R28" s="91" t="n">
        <v>16800</v>
      </c>
      <c r="S28" s="91" t="n">
        <v>16800</v>
      </c>
      <c r="T28" s="74" t="inlineStr">
        <is>
          <t>Ready</t>
        </is>
      </c>
      <c r="U28" s="78" t="n"/>
      <c r="V28" s="84" t="inlineStr">
        <is>
          <t>4735468390_4310027807</t>
        </is>
      </c>
      <c r="W28" s="84" t="inlineStr">
        <is>
          <t>Electricity Small Market</t>
        </is>
      </c>
      <c r="X28" s="84" t="inlineStr">
        <is>
          <t>Electricity [kWh]</t>
        </is>
      </c>
      <c r="Y28" s="84" t="inlineStr">
        <is>
          <t>EnergyAustralia</t>
        </is>
      </c>
      <c r="Z28" s="84" t="inlineStr">
        <is>
          <t>Skilltech - Rydalmere</t>
        </is>
      </c>
      <c r="AA28" s="84" t="inlineStr">
        <is>
          <t>L9.S.13000871</t>
        </is>
      </c>
      <c r="AB28" s="84" t="inlineStr">
        <is>
          <t>Active</t>
        </is>
      </c>
      <c r="AC28" s="84" t="inlineStr">
        <is>
          <t>Connection ID is the account number suffix</t>
        </is>
      </c>
      <c r="AD28" s="85" t="inlineStr">
        <is>
          <t>200012634040_4310027807</t>
        </is>
      </c>
      <c r="AE28" s="85" t="inlineStr"/>
    </row>
    <row r="29" customFormat="1" s="79">
      <c r="A29" s="73" t="n">
        <v>4311422527</v>
      </c>
      <c r="B29" s="74" t="inlineStr">
        <is>
          <t>Electricity</t>
        </is>
      </c>
      <c r="C29" s="74" t="inlineStr">
        <is>
          <t>Australia</t>
        </is>
      </c>
      <c r="D29" s="74" t="inlineStr">
        <is>
          <t>NSW</t>
        </is>
      </c>
      <c r="E29" s="74" t="inlineStr">
        <is>
          <t>AU Small Energy</t>
        </is>
      </c>
      <c r="F29" s="74" t="inlineStr">
        <is>
          <t>5 Edney Lane</t>
        </is>
      </c>
      <c r="G29" s="74" t="inlineStr">
        <is>
          <t>Unit 1, 5 Edney Lane Spring Hill, NSW 2500</t>
        </is>
      </c>
      <c r="H29" s="74" t="inlineStr">
        <is>
          <t>DOWNER EDI SERVICES PTY LTD (ABN: 71 137 732 042)</t>
        </is>
      </c>
      <c r="I29" s="74" t="inlineStr">
        <is>
          <t>Downer EDI Services Pty</t>
        </is>
      </c>
      <c r="J29" s="74" t="inlineStr">
        <is>
          <t>kWh</t>
        </is>
      </c>
      <c r="K29" s="89" t="n">
        <v>33060</v>
      </c>
      <c r="L29" s="74" t="inlineStr">
        <is>
          <t>Origin</t>
        </is>
      </c>
      <c r="M29" s="90" t="inlineStr">
        <is>
          <t>Origin</t>
        </is>
      </c>
      <c r="N29" s="90" t="n">
        <v>46204</v>
      </c>
      <c r="O29" s="90" t="n">
        <v>46934</v>
      </c>
      <c r="P29" s="74" t="inlineStr">
        <is>
          <t>24 months</t>
        </is>
      </c>
      <c r="Q29" s="91">
        <f t="array" ref="Q29:S29">IFERROR(ROUNDUP(_xlfn.XLOOKUP(A29,'Budget FY26-28'!A:A,'Budget FY26-28'!M:O)*(1+Summary!$C$2), -2), "")</f>
        <v/>
      </c>
      <c r="R29" s="91" t="n">
        <v>8900</v>
      </c>
      <c r="S29" s="91" t="n">
        <v>8900</v>
      </c>
      <c r="T29" s="74" t="inlineStr">
        <is>
          <t>Ready</t>
        </is>
      </c>
      <c r="U29" s="78" t="n"/>
      <c r="V29" s="84" t="inlineStr">
        <is>
          <t>A-1C180A27_4311422527</t>
        </is>
      </c>
      <c r="W29" s="84" t="inlineStr">
        <is>
          <t>Electricity Small Market</t>
        </is>
      </c>
      <c r="X29" s="84" t="inlineStr">
        <is>
          <t>Electricity [kWh]</t>
        </is>
      </c>
      <c r="Y29" s="84" t="inlineStr">
        <is>
          <t>Origin</t>
        </is>
      </c>
      <c r="Z29" s="84" t="inlineStr">
        <is>
          <t>LAHC NSW - Springhill</t>
        </is>
      </c>
      <c r="AA29" s="84" t="inlineStr">
        <is>
          <t>L9.S.3174.45002371</t>
        </is>
      </c>
      <c r="AB29" s="84" t="inlineStr">
        <is>
          <t>Active</t>
        </is>
      </c>
      <c r="AC29" s="84" t="inlineStr">
        <is>
          <t>Connection ID is the account number suffix</t>
        </is>
      </c>
      <c r="AD29" s="85" t="inlineStr"/>
      <c r="AE29" s="85" t="inlineStr"/>
    </row>
    <row r="30" customFormat="1" s="79">
      <c r="A30" s="73" t="n">
        <v>4407159044</v>
      </c>
      <c r="B30" s="74" t="inlineStr">
        <is>
          <t>Electricity</t>
        </is>
      </c>
      <c r="C30" s="74" t="inlineStr">
        <is>
          <t>Australia</t>
        </is>
      </c>
      <c r="D30" s="74" t="inlineStr">
        <is>
          <t>NSW</t>
        </is>
      </c>
      <c r="E30" s="74" t="inlineStr">
        <is>
          <t>AU Small Energy</t>
        </is>
      </c>
      <c r="F30" s="74" t="inlineStr">
        <is>
          <t>RPQ -Chinderah - NSW Spray Seal</t>
        </is>
      </c>
      <c r="G30" s="74" t="inlineStr">
        <is>
          <t>24A Ozone St Chinderah NSW 2487</t>
        </is>
      </c>
      <c r="H30" s="74" t="inlineStr">
        <is>
          <t>RPQ PTY LTD (ABN: 53 010 760 826)</t>
        </is>
      </c>
      <c r="I30" s="74" t="inlineStr">
        <is>
          <t>ROAD SERVICES</t>
        </is>
      </c>
      <c r="J30" s="74" t="inlineStr">
        <is>
          <t>kWh</t>
        </is>
      </c>
      <c r="K30" s="89" t="n">
        <v>33872</v>
      </c>
      <c r="L30" s="74" t="inlineStr">
        <is>
          <t>Origin</t>
        </is>
      </c>
      <c r="M30" s="90" t="inlineStr">
        <is>
          <t>Origin</t>
        </is>
      </c>
      <c r="N30" s="90" t="n">
        <v>46204</v>
      </c>
      <c r="O30" s="90" t="n">
        <v>46934</v>
      </c>
      <c r="P30" s="74" t="inlineStr">
        <is>
          <t>24 months</t>
        </is>
      </c>
      <c r="Q30" s="91">
        <f t="array" ref="Q30:S30">IFERROR(ROUNDUP(_xlfn.XLOOKUP(A30,'Budget FY26-28'!A:A,'Budget FY26-28'!M:O)*(1+Summary!$C$2), -2), "")</f>
        <v/>
      </c>
      <c r="R30" s="91" t="n">
        <v>11000</v>
      </c>
      <c r="S30" s="91" t="n">
        <v>11000</v>
      </c>
      <c r="T30" s="74" t="inlineStr">
        <is>
          <t>Ready</t>
        </is>
      </c>
      <c r="U30" s="78" t="n"/>
      <c r="V30" s="84" t="inlineStr">
        <is>
          <t>A-7098FD44_4407159044</t>
        </is>
      </c>
      <c r="W30" s="84" t="inlineStr">
        <is>
          <t>Electricity Small Market</t>
        </is>
      </c>
      <c r="X30" s="84" t="inlineStr">
        <is>
          <t>Electricity [kWh]</t>
        </is>
      </c>
      <c r="Y30" s="84" t="inlineStr">
        <is>
          <t>Origin</t>
        </is>
      </c>
      <c r="Z30" s="84" t="inlineStr">
        <is>
          <t>RPQ NSW Chinderah</t>
        </is>
      </c>
      <c r="AA30" s="84" t="inlineStr">
        <is>
          <t>L9.J.171210</t>
        </is>
      </c>
      <c r="AB30" s="84" t="inlineStr">
        <is>
          <t>Active</t>
        </is>
      </c>
      <c r="AC30" s="84" t="inlineStr">
        <is>
          <t>Connection ID is the account number suffix</t>
        </is>
      </c>
      <c r="AD30" s="85" t="inlineStr">
        <is>
          <t>200051085393_4407159044; A-4005C5DE_4407159044</t>
        </is>
      </c>
      <c r="AE30" s="85" t="inlineStr">
        <is>
          <t>LGCS_4407159054 (at this location, different ID) - historical</t>
        </is>
      </c>
    </row>
    <row r="31" customFormat="1" s="79">
      <c r="A31" s="73" t="n">
        <v>3038502933</v>
      </c>
      <c r="B31" s="74" t="inlineStr">
        <is>
          <t>Electricity</t>
        </is>
      </c>
      <c r="C31" s="74" t="inlineStr">
        <is>
          <t>Australia</t>
        </is>
      </c>
      <c r="D31" s="74" t="inlineStr">
        <is>
          <t>QLD</t>
        </is>
      </c>
      <c r="E31" s="74" t="inlineStr">
        <is>
          <t>AU Small Energy</t>
        </is>
      </c>
      <c r="F31" s="74" t="inlineStr">
        <is>
          <t>Engineering Power Gladstone</t>
        </is>
      </c>
      <c r="G31" s="74" t="inlineStr">
        <is>
          <t>7 ROOKSBY ST GLADSTONE CENTRAL QLD 4680</t>
        </is>
      </c>
      <c r="H31" s="74" t="inlineStr">
        <is>
          <t>DOWNER EDI ENGINEERING POWER PTY LTD (ABN: 53 000 983 700)</t>
        </is>
      </c>
      <c r="I31" s="74" t="n"/>
      <c r="J31" s="74" t="inlineStr">
        <is>
          <t>kWh</t>
        </is>
      </c>
      <c r="K31" s="89" t="n">
        <v>38380</v>
      </c>
      <c r="L31" s="74" t="inlineStr">
        <is>
          <t>Ergon</t>
        </is>
      </c>
      <c r="M31" s="90" t="inlineStr">
        <is>
          <t>Origin</t>
        </is>
      </c>
      <c r="N31" s="90" t="n">
        <v>46204</v>
      </c>
      <c r="O31" s="90" t="n">
        <v>46934</v>
      </c>
      <c r="P31" s="74" t="inlineStr">
        <is>
          <t>24 months</t>
        </is>
      </c>
      <c r="Q31" s="91">
        <f t="array" ref="Q31:S31">IFERROR(ROUNDUP(_xlfn.XLOOKUP(A31,'Budget FY26-28'!A:A,'Budget FY26-28'!M:O)*(1+Summary!$C$2), -2), "")</f>
        <v/>
      </c>
      <c r="R31" s="91" t="n">
        <v>11800</v>
      </c>
      <c r="S31" s="91" t="n">
        <v>11800</v>
      </c>
      <c r="T31" s="74" t="inlineStr">
        <is>
          <t>Ready</t>
        </is>
      </c>
      <c r="U31" s="78" t="n"/>
      <c r="V31" s="84" t="inlineStr">
        <is>
          <t>A-18650A37_3038502933</t>
        </is>
      </c>
      <c r="W31" s="84" t="inlineStr">
        <is>
          <t>Electricity Small Market</t>
        </is>
      </c>
      <c r="X31" s="84" t="inlineStr">
        <is>
          <t>Electricity [kWh]</t>
        </is>
      </c>
      <c r="Y31" s="84" t="inlineStr">
        <is>
          <t>Ergon</t>
        </is>
      </c>
      <c r="Z31" s="84" t="inlineStr">
        <is>
          <t>Rooksby St, Gladstone</t>
        </is>
      </c>
      <c r="AA31" s="84" t="inlineStr">
        <is>
          <t>ASV-363.376.302.420</t>
        </is>
      </c>
      <c r="AB31" s="84" t="inlineStr">
        <is>
          <t>Active</t>
        </is>
      </c>
      <c r="AC31" s="84" t="inlineStr">
        <is>
          <t>Connection ID is the account number suffix</t>
        </is>
      </c>
      <c r="AD31" s="85" t="inlineStr">
        <is>
          <t>43183239_3038502933</t>
        </is>
      </c>
      <c r="AE31" s="85" t="inlineStr"/>
    </row>
    <row r="32" customFormat="1" s="79">
      <c r="A32" s="73" t="n">
        <v>3039040879</v>
      </c>
      <c r="B32" s="74" t="inlineStr">
        <is>
          <t>Electricity</t>
        </is>
      </c>
      <c r="C32" s="74" t="inlineStr">
        <is>
          <t>Australia</t>
        </is>
      </c>
      <c r="D32" s="74" t="inlineStr">
        <is>
          <t>QLD</t>
        </is>
      </c>
      <c r="E32" s="74" t="inlineStr">
        <is>
          <t>AU Small Energy</t>
        </is>
      </c>
      <c r="F32" s="74" t="inlineStr">
        <is>
          <t>Engineering Power - Gladstone</t>
        </is>
      </c>
      <c r="G32" s="74" t="inlineStr">
        <is>
          <t>LOT 145 ROOKSBY ST GLADSTONE CENTRAL QLD 4680</t>
        </is>
      </c>
      <c r="H32" s="74" t="inlineStr">
        <is>
          <t>DOWNER EDI ENGINEERING POWER PTY LTD (ABN: 53 000 983 700)</t>
        </is>
      </c>
      <c r="I32" s="74" t="inlineStr">
        <is>
          <t>ENGINEERING POWER</t>
        </is>
      </c>
      <c r="J32" s="74" t="inlineStr">
        <is>
          <t>kWh</t>
        </is>
      </c>
      <c r="K32" s="89" t="n">
        <v>70195</v>
      </c>
      <c r="L32" s="74" t="inlineStr">
        <is>
          <t>Ergon</t>
        </is>
      </c>
      <c r="M32" s="90" t="inlineStr">
        <is>
          <t>Origin</t>
        </is>
      </c>
      <c r="N32" s="90" t="n">
        <v>46204</v>
      </c>
      <c r="O32" s="90" t="n">
        <v>46934</v>
      </c>
      <c r="P32" s="74" t="inlineStr">
        <is>
          <t>24 months</t>
        </is>
      </c>
      <c r="Q32" s="91">
        <f t="array" ref="Q32:S32">IFERROR(ROUNDUP(_xlfn.XLOOKUP(A32,'Budget FY26-28'!A:A,'Budget FY26-28'!M:O)*(1+Summary!$C$2), -2), "")</f>
        <v/>
      </c>
      <c r="R32" s="91" t="n">
        <v>20900</v>
      </c>
      <c r="S32" s="91" t="n">
        <v>20900</v>
      </c>
      <c r="T32" s="74" t="inlineStr">
        <is>
          <t>Ready</t>
        </is>
      </c>
      <c r="U32" s="78" t="n"/>
      <c r="V32" s="84" t="inlineStr">
        <is>
          <t>A-3B52C8FB_3039040879</t>
        </is>
      </c>
      <c r="W32" s="84" t="inlineStr">
        <is>
          <t>Electricity Small Market</t>
        </is>
      </c>
      <c r="X32" s="84" t="inlineStr">
        <is>
          <t>Electricity [kWh]</t>
        </is>
      </c>
      <c r="Y32" s="84" t="inlineStr">
        <is>
          <t>Ergon</t>
        </is>
      </c>
      <c r="Z32" s="84" t="inlineStr">
        <is>
          <t>Rooksby St, Gladstone</t>
        </is>
      </c>
      <c r="AA32" s="84" t="inlineStr">
        <is>
          <t>ASV-363.376.302.420</t>
        </is>
      </c>
      <c r="AB32" s="84" t="inlineStr">
        <is>
          <t>Active</t>
        </is>
      </c>
      <c r="AC32" s="84" t="inlineStr">
        <is>
          <t>Connection ID is the account number suffix</t>
        </is>
      </c>
      <c r="AD32" s="85" t="inlineStr">
        <is>
          <t>41144911_3039040879</t>
        </is>
      </c>
      <c r="AE32" s="85" t="inlineStr"/>
    </row>
    <row r="33" customFormat="1" s="79">
      <c r="A33" s="73" t="n">
        <v>3041781236</v>
      </c>
      <c r="B33" s="74" t="inlineStr">
        <is>
          <t>Electricity</t>
        </is>
      </c>
      <c r="C33" s="74" t="inlineStr">
        <is>
          <t>Australia</t>
        </is>
      </c>
      <c r="D33" s="74" t="inlineStr">
        <is>
          <t>QLD</t>
        </is>
      </c>
      <c r="E33" s="74" t="inlineStr">
        <is>
          <t>AU Small Energy</t>
        </is>
      </c>
      <c r="F33" s="74" t="inlineStr">
        <is>
          <t>Rail - Maryborough</t>
        </is>
      </c>
      <c r="G33" s="74" t="inlineStr">
        <is>
          <t>3 Ellena Street MARYBOROUGH QLD 4650</t>
        </is>
      </c>
      <c r="H33" s="74" t="inlineStr">
        <is>
          <t>DOWNER EDI RAIL PTY LTD (ABN: 92 000 002 031)</t>
        </is>
      </c>
      <c r="I33" s="74" t="inlineStr">
        <is>
          <t>ROLLING STOCK</t>
        </is>
      </c>
      <c r="J33" s="74" t="inlineStr">
        <is>
          <t>kWh</t>
        </is>
      </c>
      <c r="K33" s="89" t="n">
        <v>53331</v>
      </c>
      <c r="L33" s="74" t="inlineStr">
        <is>
          <t>Ergon</t>
        </is>
      </c>
      <c r="M33" s="90" t="inlineStr">
        <is>
          <t>Origin</t>
        </is>
      </c>
      <c r="N33" s="90" t="n">
        <v>46204</v>
      </c>
      <c r="O33" s="90" t="n">
        <v>46934</v>
      </c>
      <c r="P33" s="74" t="inlineStr">
        <is>
          <t>24 months</t>
        </is>
      </c>
      <c r="Q33" s="91">
        <f t="array" ref="Q33:S33">IFERROR(ROUNDUP(_xlfn.XLOOKUP(A33,'Budget FY26-28'!A:A,'Budget FY26-28'!M:O)*(1+Summary!$C$2), -2), "")</f>
        <v/>
      </c>
      <c r="R33" s="91" t="n">
        <v>16100</v>
      </c>
      <c r="S33" s="91" t="n">
        <v>16100</v>
      </c>
      <c r="T33" s="74" t="inlineStr">
        <is>
          <t>Ready</t>
        </is>
      </c>
      <c r="U33" s="78" t="n"/>
      <c r="V33" s="84" t="inlineStr">
        <is>
          <t>A-011B63B4_3041781236</t>
        </is>
      </c>
      <c r="W33" s="84" t="inlineStr">
        <is>
          <t>Electricity Small Market</t>
        </is>
      </c>
      <c r="X33" s="84" t="inlineStr">
        <is>
          <t>Electricity [kWh]</t>
        </is>
      </c>
      <c r="Y33" s="84" t="inlineStr">
        <is>
          <t>Ergon</t>
        </is>
      </c>
      <c r="Z33" s="84" t="inlineStr">
        <is>
          <t>Maryborough</t>
        </is>
      </c>
      <c r="AA33" s="84" t="inlineStr">
        <is>
          <t>3011</t>
        </is>
      </c>
      <c r="AB33" s="84" t="inlineStr">
        <is>
          <t>Active</t>
        </is>
      </c>
      <c r="AC33" s="84" t="inlineStr">
        <is>
          <t>Connection ID is the account number suffix</t>
        </is>
      </c>
      <c r="AD33" s="85" t="inlineStr">
        <is>
          <t>7101034937_3041781236; 7029136236_3041781236</t>
        </is>
      </c>
      <c r="AE33" s="85" t="inlineStr">
        <is>
          <t>LGCS_QGGG000010 (at this location, different ID) - historical · LGCS_QGGG000320 (at this location, different ID) - historical</t>
        </is>
      </c>
    </row>
    <row r="34" customFormat="1" s="79">
      <c r="A34" s="73" t="inlineStr">
        <is>
          <t>QB07736452</t>
        </is>
      </c>
      <c r="B34" s="74" t="inlineStr">
        <is>
          <t>Electricity</t>
        </is>
      </c>
      <c r="C34" s="74" t="inlineStr">
        <is>
          <t>Australia</t>
        </is>
      </c>
      <c r="D34" s="74" t="inlineStr">
        <is>
          <t>QLD</t>
        </is>
      </c>
      <c r="E34" s="74" t="inlineStr">
        <is>
          <t>AU Small Energy</t>
        </is>
      </c>
      <c r="F34" s="74" t="inlineStr">
        <is>
          <t>Utilities - Kunda Park</t>
        </is>
      </c>
      <c r="G34" s="74" t="inlineStr">
        <is>
          <t>32 PAGE STREET KUNDA PARK QLD 4556</t>
        </is>
      </c>
      <c r="H34" s="74" t="inlineStr">
        <is>
          <t>DOWNER EDI SERVICES PTY LTD (ABN: 71 137 732 042)</t>
        </is>
      </c>
      <c r="I34" s="74" t="inlineStr">
        <is>
          <t>Utilities</t>
        </is>
      </c>
      <c r="J34" s="74" t="inlineStr">
        <is>
          <t>kWh</t>
        </is>
      </c>
      <c r="K34" s="89" t="n">
        <v>24596</v>
      </c>
      <c r="L34" s="74" t="inlineStr">
        <is>
          <t>AGL</t>
        </is>
      </c>
      <c r="M34" s="90" t="inlineStr">
        <is>
          <t>Origin</t>
        </is>
      </c>
      <c r="N34" s="90" t="n">
        <v>46204</v>
      </c>
      <c r="O34" s="90" t="n">
        <v>46934</v>
      </c>
      <c r="P34" s="74" t="inlineStr">
        <is>
          <t>24 months</t>
        </is>
      </c>
      <c r="Q34" s="91">
        <f t="array" ref="Q34:S34">IFERROR(ROUNDUP(_xlfn.XLOOKUP(A34,'Budget FY26-28'!A:A,'Budget FY26-28'!M:O)*(1+Summary!$C$2), -2), "")</f>
        <v/>
      </c>
      <c r="R34" s="91" t="n">
        <v>8100</v>
      </c>
      <c r="S34" s="91" t="n">
        <v>8100</v>
      </c>
      <c r="T34" s="74" t="inlineStr">
        <is>
          <t>Ready</t>
        </is>
      </c>
      <c r="U34" s="78" t="n"/>
      <c r="V34" s="84" t="inlineStr">
        <is>
          <t>7099513421_QB07736452</t>
        </is>
      </c>
      <c r="W34" s="84" t="inlineStr">
        <is>
          <t>Electricity Small Market</t>
        </is>
      </c>
      <c r="X34" s="84" t="inlineStr">
        <is>
          <t>Electricity [kWh]</t>
        </is>
      </c>
      <c r="Y34" s="84" t="inlineStr">
        <is>
          <t>AGL</t>
        </is>
      </c>
      <c r="Z34" s="84" t="inlineStr">
        <is>
          <t>Kunda Park</t>
        </is>
      </c>
      <c r="AA34" s="84" t="inlineStr">
        <is>
          <t>10920046</t>
        </is>
      </c>
      <c r="AB34" s="84" t="inlineStr">
        <is>
          <t>Active</t>
        </is>
      </c>
      <c r="AC34" s="84" t="inlineStr">
        <is>
          <t>Connection ID is the account number suffix</t>
        </is>
      </c>
      <c r="AD34" s="85" t="inlineStr">
        <is>
          <t>400030619011_QB07736452</t>
        </is>
      </c>
      <c r="AE34" s="85" t="inlineStr"/>
    </row>
    <row r="35" customFormat="1" s="79">
      <c r="A35" s="73" t="inlineStr">
        <is>
          <t>QB13869604</t>
        </is>
      </c>
      <c r="B35" s="74" t="inlineStr">
        <is>
          <t>Electricity</t>
        </is>
      </c>
      <c r="C35" s="74" t="inlineStr">
        <is>
          <t>Australia</t>
        </is>
      </c>
      <c r="D35" s="74" t="inlineStr">
        <is>
          <t>QLD</t>
        </is>
      </c>
      <c r="E35" s="74" t="inlineStr">
        <is>
          <t>AU Small Energy</t>
        </is>
      </c>
      <c r="F35" s="74" t="inlineStr">
        <is>
          <t>UAM Office - Molendinar</t>
        </is>
      </c>
      <c r="G35" s="74" t="inlineStr">
        <is>
          <t>Unit 2, 24 Export Drive Molendinar QLD 4214</t>
        </is>
      </c>
      <c r="H35" s="74" t="inlineStr">
        <is>
          <t>Utilities Asset Management Pty Ltd (ABN: TBC)</t>
        </is>
      </c>
      <c r="I35" s="74" t="inlineStr">
        <is>
          <t>SPOTLESS</t>
        </is>
      </c>
      <c r="J35" s="74" t="inlineStr">
        <is>
          <t>kWh</t>
        </is>
      </c>
      <c r="K35" s="89" t="n">
        <v>16289</v>
      </c>
      <c r="L35" s="74" t="inlineStr">
        <is>
          <t>AGL</t>
        </is>
      </c>
      <c r="M35" s="90" t="inlineStr">
        <is>
          <t>Origin</t>
        </is>
      </c>
      <c r="N35" s="90" t="n">
        <v>46204</v>
      </c>
      <c r="O35" s="90" t="n">
        <v>46934</v>
      </c>
      <c r="P35" s="74" t="inlineStr">
        <is>
          <t>24 months</t>
        </is>
      </c>
      <c r="Q35" s="91">
        <f t="array" ref="Q35:S35">IFERROR(ROUNDUP(_xlfn.XLOOKUP(A35,'Budget FY26-28'!A:A,'Budget FY26-28'!M:O)*(1+Summary!$C$2), -2), "")</f>
        <v/>
      </c>
      <c r="R35" s="91" t="n">
        <v>4600</v>
      </c>
      <c r="S35" s="91" t="n">
        <v>4600</v>
      </c>
      <c r="T35" s="74" t="inlineStr">
        <is>
          <t>Ready</t>
        </is>
      </c>
      <c r="U35" s="78" t="n"/>
      <c r="V35" s="84" t="inlineStr">
        <is>
          <t>7101031974_QB13869604</t>
        </is>
      </c>
      <c r="W35" s="84" t="inlineStr">
        <is>
          <t>Electricity Small Market</t>
        </is>
      </c>
      <c r="X35" s="84" t="inlineStr">
        <is>
          <t>Electricity [kWh]</t>
        </is>
      </c>
      <c r="Y35" s="84" t="inlineStr">
        <is>
          <t>AGL</t>
        </is>
      </c>
      <c r="Z35" s="84" t="inlineStr">
        <is>
          <t>AE Smith - Molendinar</t>
        </is>
      </c>
      <c r="AA35" s="84" t="inlineStr">
        <is>
          <t>9126</t>
        </is>
      </c>
      <c r="AB35" s="84" t="inlineStr">
        <is>
          <t>Active</t>
        </is>
      </c>
      <c r="AC35" s="84" t="inlineStr">
        <is>
          <t>Connection ID is the account number suffix</t>
        </is>
      </c>
      <c r="AD35" s="85" t="inlineStr">
        <is>
          <t>7051765779_QB13869604</t>
        </is>
      </c>
      <c r="AE35" s="85" t="inlineStr"/>
    </row>
    <row r="36" customFormat="1" s="79">
      <c r="A36" s="73" t="n">
        <v>2001130961</v>
      </c>
      <c r="B36" s="74" t="inlineStr">
        <is>
          <t>Electricity</t>
        </is>
      </c>
      <c r="C36" s="74" t="inlineStr">
        <is>
          <t>Australia</t>
        </is>
      </c>
      <c r="D36" s="74" t="inlineStr">
        <is>
          <t>SA</t>
        </is>
      </c>
      <c r="E36" s="74" t="inlineStr">
        <is>
          <t>AU Small Energy</t>
        </is>
      </c>
      <c r="F36" s="74" t="inlineStr">
        <is>
          <t>Utilities - Gepps Cross</t>
        </is>
      </c>
      <c r="G36" s="74" t="inlineStr">
        <is>
          <t>535 PROSPECT ROAD GEPPS CROSS SA 5094</t>
        </is>
      </c>
      <c r="H36" s="74" t="inlineStr">
        <is>
          <t>DOWNER EDI SERVICES PTY LTD (ABN: 71 137 732 042)</t>
        </is>
      </c>
      <c r="I36" s="74" t="inlineStr">
        <is>
          <t>Utilities</t>
        </is>
      </c>
      <c r="J36" s="74" t="inlineStr">
        <is>
          <t>kWh</t>
        </is>
      </c>
      <c r="K36" s="89" t="n">
        <v>22458</v>
      </c>
      <c r="L36" s="74" t="inlineStr">
        <is>
          <t>AGL</t>
        </is>
      </c>
      <c r="M36" s="90" t="inlineStr">
        <is>
          <t>Origin</t>
        </is>
      </c>
      <c r="N36" s="90" t="n">
        <v>46204</v>
      </c>
      <c r="O36" s="90" t="n">
        <v>46934</v>
      </c>
      <c r="P36" s="74" t="inlineStr">
        <is>
          <t>24 months</t>
        </is>
      </c>
      <c r="Q36" s="91">
        <f t="array" ref="Q36:S36">IFERROR(ROUNDUP(_xlfn.XLOOKUP(A36,'Budget FY26-28'!A:A,'Budget FY26-28'!M:O)*(1+Summary!$C$2), -2), "")</f>
        <v/>
      </c>
      <c r="R36" s="91" t="n">
        <v>9200</v>
      </c>
      <c r="S36" s="91" t="n">
        <v>9200</v>
      </c>
      <c r="T36" s="74" t="inlineStr">
        <is>
          <t>Ready</t>
        </is>
      </c>
      <c r="U36" s="78" t="n"/>
      <c r="V36" s="84" t="inlineStr">
        <is>
          <t>7099171253_2001130961</t>
        </is>
      </c>
      <c r="W36" s="84" t="inlineStr">
        <is>
          <t>Electricity Small Market</t>
        </is>
      </c>
      <c r="X36" s="84" t="inlineStr">
        <is>
          <t>Electricity [kWh]</t>
        </is>
      </c>
      <c r="Y36" s="84" t="inlineStr">
        <is>
          <t>AGL</t>
        </is>
      </c>
      <c r="Z36" s="84" t="inlineStr">
        <is>
          <t>Gepps Cross</t>
        </is>
      </c>
      <c r="AA36" s="84" t="inlineStr"/>
      <c r="AB36" s="84" t="inlineStr">
        <is>
          <t>Active</t>
        </is>
      </c>
      <c r="AC36" s="84" t="inlineStr">
        <is>
          <t>Connection ID is the account number suffix</t>
        </is>
      </c>
      <c r="AD36" s="85" t="inlineStr">
        <is>
          <t>8404807400_2001130961; 500012733985_2001130961; 500014182603_2001130961</t>
        </is>
      </c>
      <c r="AE36" s="85" t="inlineStr"/>
    </row>
    <row r="37" customFormat="1" s="79">
      <c r="A37" s="73" t="n">
        <v>2001160686</v>
      </c>
      <c r="B37" s="74" t="inlineStr">
        <is>
          <t>Electricity</t>
        </is>
      </c>
      <c r="C37" s="74" t="inlineStr">
        <is>
          <t>Australia</t>
        </is>
      </c>
      <c r="D37" s="74" t="inlineStr">
        <is>
          <t>SA</t>
        </is>
      </c>
      <c r="E37" s="74" t="inlineStr">
        <is>
          <t>AU Small Energy</t>
        </is>
      </c>
      <c r="F37" s="74" t="inlineStr">
        <is>
          <t>Roads Workshop Wingfield</t>
        </is>
      </c>
      <c r="G37" s="74" t="inlineStr">
        <is>
          <t>553-557 GRAND JUNCTION ROAD WINGFIELD SA 5013</t>
        </is>
      </c>
      <c r="H37" s="74" t="inlineStr">
        <is>
          <t>DOWNER EDI SERVICES PTY LTD (ABN: 71 137 732 042)</t>
        </is>
      </c>
      <c r="I37" s="74" t="inlineStr">
        <is>
          <t>ROAD SERVICES</t>
        </is>
      </c>
      <c r="J37" s="74" t="inlineStr">
        <is>
          <t>kWh</t>
        </is>
      </c>
      <c r="K37" s="89" t="n">
        <v>36782</v>
      </c>
      <c r="L37" s="74" t="inlineStr">
        <is>
          <t>AGL</t>
        </is>
      </c>
      <c r="M37" s="90" t="inlineStr">
        <is>
          <t>Origin</t>
        </is>
      </c>
      <c r="N37" s="90" t="n">
        <v>46204</v>
      </c>
      <c r="O37" s="90" t="n">
        <v>46934</v>
      </c>
      <c r="P37" s="74" t="inlineStr">
        <is>
          <t>24 months</t>
        </is>
      </c>
      <c r="Q37" s="91">
        <f t="array" ref="Q37:S37">IFERROR(ROUNDUP(_xlfn.XLOOKUP(A37,'Budget FY26-28'!A:A,'Budget FY26-28'!M:O)*(1+Summary!$C$2), -2), "")</f>
        <v/>
      </c>
      <c r="R37" s="91" t="n">
        <v>14000</v>
      </c>
      <c r="S37" s="91" t="n">
        <v>14000</v>
      </c>
      <c r="T37" s="74" t="inlineStr">
        <is>
          <t>Ready</t>
        </is>
      </c>
      <c r="U37" s="78" t="n"/>
      <c r="V37" s="84" t="inlineStr">
        <is>
          <t>7099172129_2001160686</t>
        </is>
      </c>
      <c r="W37" s="84" t="inlineStr">
        <is>
          <t>Electricity Small Market</t>
        </is>
      </c>
      <c r="X37" s="84" t="inlineStr">
        <is>
          <t>Electricity [kWh]</t>
        </is>
      </c>
      <c r="Y37" s="84" t="inlineStr">
        <is>
          <t>AGL</t>
        </is>
      </c>
      <c r="Z37" s="84" t="inlineStr">
        <is>
          <t>Asphalt Prod - Wingfield (523)</t>
        </is>
      </c>
      <c r="AA37" s="84" t="inlineStr">
        <is>
          <t>523</t>
        </is>
      </c>
      <c r="AB37" s="84" t="inlineStr">
        <is>
          <t>Active</t>
        </is>
      </c>
      <c r="AC37" s="84" t="inlineStr">
        <is>
          <t>Connection ID is the account number suffix</t>
        </is>
      </c>
      <c r="AD37" s="85" t="inlineStr">
        <is>
          <t>500006951122_2001160686</t>
        </is>
      </c>
      <c r="AE37" s="85" t="inlineStr">
        <is>
          <t>LGCS_2002254877 (at this location, different ID) - historical</t>
        </is>
      </c>
    </row>
    <row r="38" customFormat="1" s="79">
      <c r="A38" s="73" t="n">
        <v>2001223248</v>
      </c>
      <c r="B38" s="74" t="inlineStr">
        <is>
          <t>Electricity</t>
        </is>
      </c>
      <c r="C38" s="74" t="inlineStr">
        <is>
          <t>Australia</t>
        </is>
      </c>
      <c r="D38" s="74" t="inlineStr">
        <is>
          <t>SA</t>
        </is>
      </c>
      <c r="E38" s="74" t="inlineStr">
        <is>
          <t>AU Small Energy</t>
        </is>
      </c>
      <c r="F38" s="74" t="inlineStr">
        <is>
          <t>326 Kidman Park, SA</t>
        </is>
      </c>
      <c r="G38" s="74" t="inlineStr">
        <is>
          <t>326 GRANGE RD KIDMAN PARK SA</t>
        </is>
      </c>
      <c r="H38" s="74" t="inlineStr">
        <is>
          <t>DOWNER UTILITIES AUSTRALIA PTY LTD (ABN: 65 075 194 857)</t>
        </is>
      </c>
      <c r="I38" s="74" t="inlineStr">
        <is>
          <t>E&amp;U</t>
        </is>
      </c>
      <c r="J38" s="74" t="inlineStr">
        <is>
          <t>kWh</t>
        </is>
      </c>
      <c r="K38" s="89" t="n">
        <v>5840</v>
      </c>
      <c r="L38" s="74" t="inlineStr">
        <is>
          <t>AGL</t>
        </is>
      </c>
      <c r="M38" s="90" t="inlineStr">
        <is>
          <t>Origin</t>
        </is>
      </c>
      <c r="N38" s="90" t="n">
        <v>46204</v>
      </c>
      <c r="O38" s="90" t="n">
        <v>46934</v>
      </c>
      <c r="P38" s="74" t="inlineStr">
        <is>
          <t>24 months</t>
        </is>
      </c>
      <c r="Q38" s="91">
        <f t="array" ref="Q38:S38">IFERROR(ROUNDUP(_xlfn.XLOOKUP(A38,'Budget FY26-28'!A:A,'Budget FY26-28'!M:O)*(1+Summary!$C$2), -2), "")</f>
        <v/>
      </c>
      <c r="R38" s="91" t="n">
        <v>2900</v>
      </c>
      <c r="S38" s="91" t="n">
        <v>2900</v>
      </c>
      <c r="T38" s="74" t="inlineStr">
        <is>
          <t>Ready</t>
        </is>
      </c>
      <c r="U38" s="78" t="n"/>
      <c r="V38" s="84" t="inlineStr">
        <is>
          <t>Not found</t>
        </is>
      </c>
      <c r="W38" s="84" t="inlineStr"/>
      <c r="X38" s="84" t="inlineStr"/>
      <c r="Y38" s="84" t="inlineStr"/>
      <c r="Z38" s="84" t="inlineStr"/>
      <c r="AA38" s="84" t="inlineStr"/>
      <c r="AB38" s="84" t="inlineStr"/>
      <c r="AC38" s="84" t="inlineStr">
        <is>
          <t>No Envizi account ends in this Connection ID</t>
        </is>
      </c>
      <c r="AD38" s="85" t="inlineStr"/>
      <c r="AE38" s="85" t="inlineStr"/>
    </row>
    <row r="39" customFormat="1" s="79">
      <c r="A39" s="73" t="n">
        <v>2001341166</v>
      </c>
      <c r="B39" s="74" t="inlineStr">
        <is>
          <t>Electricity</t>
        </is>
      </c>
      <c r="C39" s="74" t="inlineStr">
        <is>
          <t>Australia</t>
        </is>
      </c>
      <c r="D39" s="74" t="inlineStr">
        <is>
          <t>SA</t>
        </is>
      </c>
      <c r="E39" s="74" t="inlineStr">
        <is>
          <t>AU Small Energy</t>
        </is>
      </c>
      <c r="F39" s="74" t="inlineStr">
        <is>
          <t>DM Roads -Sturt Depot</t>
        </is>
      </c>
      <c r="G39" s="74" t="inlineStr">
        <is>
          <t>Lot 100 / 78 Sturt Rd Bedford Park SA 5042</t>
        </is>
      </c>
      <c r="H39" s="74" t="inlineStr">
        <is>
          <t>DOWNER EDI WORKS PTY LTD (ABN: 66 008 709 608)</t>
        </is>
      </c>
      <c r="I39" s="74" t="inlineStr">
        <is>
          <t>ROAD SERVICES</t>
        </is>
      </c>
      <c r="J39" s="74" t="inlineStr">
        <is>
          <t>kWh</t>
        </is>
      </c>
      <c r="K39" s="89" t="n">
        <v>3902</v>
      </c>
      <c r="L39" s="74" t="inlineStr">
        <is>
          <t>AGL</t>
        </is>
      </c>
      <c r="M39" s="90" t="inlineStr">
        <is>
          <t>Origin</t>
        </is>
      </c>
      <c r="N39" s="90" t="n">
        <v>46204</v>
      </c>
      <c r="O39" s="90" t="n">
        <v>46934</v>
      </c>
      <c r="P39" s="74" t="inlineStr">
        <is>
          <t>24 months</t>
        </is>
      </c>
      <c r="Q39" s="91">
        <f t="array" ref="Q39:S39">IFERROR(ROUNDUP(_xlfn.XLOOKUP(A39,'Budget FY26-28'!A:A,'Budget FY26-28'!M:O)*(1+Summary!$C$2), -2), "")</f>
        <v/>
      </c>
      <c r="R39" s="91" t="n">
        <v>2000</v>
      </c>
      <c r="S39" s="91" t="n">
        <v>2000</v>
      </c>
      <c r="T39" s="74" t="inlineStr">
        <is>
          <t>Ready</t>
        </is>
      </c>
      <c r="U39" s="78" t="n"/>
      <c r="V39" s="84" t="inlineStr">
        <is>
          <t>7099171261_2001341166</t>
        </is>
      </c>
      <c r="W39" s="84" t="inlineStr">
        <is>
          <t>Electricity Small Market</t>
        </is>
      </c>
      <c r="X39" s="84" t="inlineStr">
        <is>
          <t>Electricity [kWh]</t>
        </is>
      </c>
      <c r="Y39" s="84" t="inlineStr">
        <is>
          <t>AGL</t>
        </is>
      </c>
      <c r="Z39" s="84" t="inlineStr">
        <is>
          <t>Sturt</t>
        </is>
      </c>
      <c r="AA39" s="84" t="inlineStr">
        <is>
          <t>17021267</t>
        </is>
      </c>
      <c r="AB39" s="84" t="inlineStr">
        <is>
          <t>Active</t>
        </is>
      </c>
      <c r="AC39" s="84" t="inlineStr">
        <is>
          <t>Connection ID is the account number suffix</t>
        </is>
      </c>
      <c r="AD39" s="85" t="inlineStr">
        <is>
          <t>4304586748_2001341166; 500015155756_2001341166</t>
        </is>
      </c>
      <c r="AE39" s="85" t="inlineStr"/>
    </row>
    <row r="40" customFormat="1" s="79">
      <c r="A40" s="73" t="n">
        <v>2001341167</v>
      </c>
      <c r="B40" s="74" t="inlineStr">
        <is>
          <t>Electricity</t>
        </is>
      </c>
      <c r="C40" s="74" t="inlineStr">
        <is>
          <t>Australia</t>
        </is>
      </c>
      <c r="D40" s="74" t="inlineStr">
        <is>
          <t>SA</t>
        </is>
      </c>
      <c r="E40" s="74" t="inlineStr">
        <is>
          <t>AU Small Energy</t>
        </is>
      </c>
      <c r="F40" s="74" t="inlineStr">
        <is>
          <t>DM Roads- Sturt Depot</t>
        </is>
      </c>
      <c r="G40" s="74" t="inlineStr">
        <is>
          <t>331 Sturt Rd Bedford Park SA 5042</t>
        </is>
      </c>
      <c r="H40" s="74" t="inlineStr">
        <is>
          <t>DOWNER EDI WORKS PTY LTD (ABN: 66 008 709 608)</t>
        </is>
      </c>
      <c r="I40" s="74" t="inlineStr">
        <is>
          <t>ROAD SERVICES</t>
        </is>
      </c>
      <c r="J40" s="74" t="inlineStr">
        <is>
          <t>kWh</t>
        </is>
      </c>
      <c r="K40" s="89" t="n">
        <v>21166</v>
      </c>
      <c r="L40" s="74" t="inlineStr">
        <is>
          <t>AGL</t>
        </is>
      </c>
      <c r="M40" s="90" t="inlineStr">
        <is>
          <t>Origin</t>
        </is>
      </c>
      <c r="N40" s="90" t="n">
        <v>46204</v>
      </c>
      <c r="O40" s="90" t="n">
        <v>46934</v>
      </c>
      <c r="P40" s="74" t="inlineStr">
        <is>
          <t>24 months</t>
        </is>
      </c>
      <c r="Q40" s="91">
        <f t="array" ref="Q40:S40">IFERROR(ROUNDUP(_xlfn.XLOOKUP(A40,'Budget FY26-28'!A:A,'Budget FY26-28'!M:O)*(1+Summary!$C$2), -2), "")</f>
        <v/>
      </c>
      <c r="R40" s="91" t="n">
        <v>8000</v>
      </c>
      <c r="S40" s="91" t="n">
        <v>8000</v>
      </c>
      <c r="T40" s="74" t="inlineStr">
        <is>
          <t>Ready</t>
        </is>
      </c>
      <c r="U40" s="78" t="n"/>
      <c r="V40" s="84" t="inlineStr">
        <is>
          <t>7099172137_2001341167</t>
        </is>
      </c>
      <c r="W40" s="84" t="inlineStr">
        <is>
          <t>Electricity Small Market</t>
        </is>
      </c>
      <c r="X40" s="84" t="inlineStr">
        <is>
          <t>Electricity [kWh]</t>
        </is>
      </c>
      <c r="Y40" s="84" t="inlineStr">
        <is>
          <t>AGL</t>
        </is>
      </c>
      <c r="Z40" s="84" t="inlineStr">
        <is>
          <t>Sturt</t>
        </is>
      </c>
      <c r="AA40" s="84" t="inlineStr">
        <is>
          <t>17021267</t>
        </is>
      </c>
      <c r="AB40" s="84" t="inlineStr">
        <is>
          <t>Active</t>
        </is>
      </c>
      <c r="AC40" s="84" t="inlineStr">
        <is>
          <t>Connection ID is the account number suffix</t>
        </is>
      </c>
      <c r="AD40" s="85" t="inlineStr">
        <is>
          <t>4938159759_2001341167; 5372802078_2001341167; 500016287640_2001341167</t>
        </is>
      </c>
      <c r="AE40" s="85" t="inlineStr"/>
    </row>
    <row r="41" customFormat="1" s="79">
      <c r="A41" s="73" t="n">
        <v>2001515449</v>
      </c>
      <c r="B41" s="74" t="inlineStr">
        <is>
          <t>Electricity</t>
        </is>
      </c>
      <c r="C41" s="74" t="inlineStr">
        <is>
          <t>Australia</t>
        </is>
      </c>
      <c r="D41" s="74" t="inlineStr">
        <is>
          <t>SA</t>
        </is>
      </c>
      <c r="E41" s="74" t="inlineStr">
        <is>
          <t>AU Small Energy</t>
        </is>
      </c>
      <c r="F41" s="74" t="inlineStr">
        <is>
          <t>Roads - Port Lincoln</t>
        </is>
      </c>
      <c r="G41" s="74" t="inlineStr">
        <is>
          <t>9 DUBLIN STREET PORT LINCOLN SA 5606</t>
        </is>
      </c>
      <c r="H41" s="74" t="inlineStr">
        <is>
          <t>DOWNER EDI WORKS PTY LTD (ABN: 66 008 709 608)</t>
        </is>
      </c>
      <c r="I41" s="74" t="inlineStr">
        <is>
          <t>ROAD SERVICES</t>
        </is>
      </c>
      <c r="J41" s="74" t="inlineStr">
        <is>
          <t>kWh</t>
        </is>
      </c>
      <c r="K41" s="89" t="n">
        <v>10660</v>
      </c>
      <c r="L41" s="74" t="inlineStr">
        <is>
          <t>AGL</t>
        </is>
      </c>
      <c r="M41" s="90" t="inlineStr">
        <is>
          <t>Origin</t>
        </is>
      </c>
      <c r="N41" s="90" t="n">
        <v>46204</v>
      </c>
      <c r="O41" s="90" t="n">
        <v>46934</v>
      </c>
      <c r="P41" s="74" t="inlineStr">
        <is>
          <t>24 months</t>
        </is>
      </c>
      <c r="Q41" s="91">
        <f t="array" ref="Q41:S41">IFERROR(ROUNDUP(_xlfn.XLOOKUP(A41,'Budget FY26-28'!A:A,'Budget FY26-28'!M:O)*(1+Summary!$C$2), -2), "")</f>
        <v/>
      </c>
      <c r="R41" s="91" t="n">
        <v>4400</v>
      </c>
      <c r="S41" s="91" t="n">
        <v>4400</v>
      </c>
      <c r="T41" s="74" t="inlineStr">
        <is>
          <t>Ready</t>
        </is>
      </c>
      <c r="U41" s="78" t="n"/>
      <c r="V41" s="84" t="inlineStr">
        <is>
          <t>7099171741_2001515449</t>
        </is>
      </c>
      <c r="W41" s="84" t="inlineStr">
        <is>
          <t>Electricity Small Market</t>
        </is>
      </c>
      <c r="X41" s="84" t="inlineStr">
        <is>
          <t>Electricity [kWh]</t>
        </is>
      </c>
      <c r="Y41" s="84" t="inlineStr">
        <is>
          <t>AGL</t>
        </is>
      </c>
      <c r="Z41" s="84" t="inlineStr">
        <is>
          <t>Port Lincoln</t>
        </is>
      </c>
      <c r="AA41" s="84" t="inlineStr">
        <is>
          <t>17021037</t>
        </is>
      </c>
      <c r="AB41" s="84" t="inlineStr">
        <is>
          <t>Active</t>
        </is>
      </c>
      <c r="AC41" s="84" t="inlineStr">
        <is>
          <t>Connection ID is the account number suffix</t>
        </is>
      </c>
      <c r="AD41" s="85" t="inlineStr">
        <is>
          <t>500006757354_2001515449</t>
        </is>
      </c>
      <c r="AE41" s="85" t="inlineStr"/>
    </row>
    <row r="42" customFormat="1" s="79">
      <c r="A42" s="73" t="n">
        <v>2001600008</v>
      </c>
      <c r="B42" s="74" t="inlineStr">
        <is>
          <t>Electricity</t>
        </is>
      </c>
      <c r="C42" s="74" t="inlineStr">
        <is>
          <t>Australia</t>
        </is>
      </c>
      <c r="D42" s="74" t="inlineStr">
        <is>
          <t>SA</t>
        </is>
      </c>
      <c r="E42" s="74" t="inlineStr">
        <is>
          <t>AU Small Energy</t>
        </is>
      </c>
      <c r="F42" s="74" t="inlineStr">
        <is>
          <t>Roads - Ceduna</t>
        </is>
      </c>
      <c r="G42" s="74" t="inlineStr">
        <is>
          <t>8 EYRE HIGHWAY CEDUNA SA 5690</t>
        </is>
      </c>
      <c r="H42" s="74" t="inlineStr">
        <is>
          <t>DOWNER EDI WORKS PTY LTD (ABN: 66 008 709 608)</t>
        </is>
      </c>
      <c r="I42" s="74" t="inlineStr">
        <is>
          <t>ROAD SERVICES</t>
        </is>
      </c>
      <c r="J42" s="74" t="inlineStr">
        <is>
          <t>kWh</t>
        </is>
      </c>
      <c r="K42" s="89" t="n">
        <v>3495</v>
      </c>
      <c r="L42" s="74" t="inlineStr">
        <is>
          <t>AGL</t>
        </is>
      </c>
      <c r="M42" s="90" t="inlineStr">
        <is>
          <t>Origin</t>
        </is>
      </c>
      <c r="N42" s="90" t="n">
        <v>46204</v>
      </c>
      <c r="O42" s="90" t="n">
        <v>46934</v>
      </c>
      <c r="P42" s="74" t="inlineStr">
        <is>
          <t>24 months</t>
        </is>
      </c>
      <c r="Q42" s="91">
        <f t="array" ref="Q42:S42">IFERROR(ROUNDUP(_xlfn.XLOOKUP(A42,'Budget FY26-28'!A:A,'Budget FY26-28'!M:O)*(1+Summary!$C$2), -2), "")</f>
        <v/>
      </c>
      <c r="R42" s="91" t="n">
        <v>1800</v>
      </c>
      <c r="S42" s="91" t="n">
        <v>1800</v>
      </c>
      <c r="T42" s="74" t="inlineStr">
        <is>
          <t>Ready</t>
        </is>
      </c>
      <c r="U42" s="78" t="n"/>
      <c r="V42" s="84" t="inlineStr">
        <is>
          <t>7099171733_2001600008</t>
        </is>
      </c>
      <c r="W42" s="84" t="inlineStr">
        <is>
          <t>Electricity Small Market</t>
        </is>
      </c>
      <c r="X42" s="84" t="inlineStr">
        <is>
          <t>Electricity [kWh]</t>
        </is>
      </c>
      <c r="Y42" s="84" t="inlineStr">
        <is>
          <t>AGL</t>
        </is>
      </c>
      <c r="Z42" s="84" t="inlineStr">
        <is>
          <t>Ceduna</t>
        </is>
      </c>
      <c r="AA42" s="84" t="inlineStr"/>
      <c r="AB42" s="84" t="inlineStr">
        <is>
          <t>Active</t>
        </is>
      </c>
      <c r="AC42" s="84" t="inlineStr">
        <is>
          <t>Connection ID is the account number suffix</t>
        </is>
      </c>
      <c r="AD42" s="85" t="inlineStr">
        <is>
          <t>LGCS_2001600008; 1679016133_2001600008; 500012057260_2001600008</t>
        </is>
      </c>
      <c r="AE42" s="85" t="inlineStr">
        <is>
          <t>LGCS_2001600008 - historical</t>
        </is>
      </c>
    </row>
    <row r="43" customFormat="1" s="79">
      <c r="A43" s="73" t="n">
        <v>2001676115</v>
      </c>
      <c r="B43" s="74" t="inlineStr">
        <is>
          <t>Electricity</t>
        </is>
      </c>
      <c r="C43" s="74" t="inlineStr">
        <is>
          <t>Australia</t>
        </is>
      </c>
      <c r="D43" s="74" t="inlineStr">
        <is>
          <t>SA</t>
        </is>
      </c>
      <c r="E43" s="74" t="inlineStr">
        <is>
          <t>AU Small Energy</t>
        </is>
      </c>
      <c r="F43" s="74" t="inlineStr">
        <is>
          <t>Roads - Port Pirie</t>
        </is>
      </c>
      <c r="G43" s="74" t="inlineStr">
        <is>
          <t>5 COPINGER ROAD SOLOMONTOWN SA 5540</t>
        </is>
      </c>
      <c r="H43" s="74" t="inlineStr">
        <is>
          <t>DOWNER EDI WORKS PTY LTD (ABN: 66 008 709 608)</t>
        </is>
      </c>
      <c r="I43" s="74" t="inlineStr">
        <is>
          <t>ROAD SERVICES</t>
        </is>
      </c>
      <c r="J43" s="74" t="inlineStr">
        <is>
          <t>kWh</t>
        </is>
      </c>
      <c r="K43" s="89" t="n">
        <v>28791</v>
      </c>
      <c r="L43" s="74" t="inlineStr">
        <is>
          <t>AGL</t>
        </is>
      </c>
      <c r="M43" s="90" t="inlineStr">
        <is>
          <t>Origin</t>
        </is>
      </c>
      <c r="N43" s="90" t="n">
        <v>46204</v>
      </c>
      <c r="O43" s="90" t="n">
        <v>46934</v>
      </c>
      <c r="P43" s="74" t="inlineStr">
        <is>
          <t>24 months</t>
        </is>
      </c>
      <c r="Q43" s="91">
        <f t="array" ref="Q43:S43">IFERROR(ROUNDUP(_xlfn.XLOOKUP(A43,'Budget FY26-28'!A:A,'Budget FY26-28'!M:O)*(1+Summary!$C$2), -2), "")</f>
        <v/>
      </c>
      <c r="R43" s="91" t="n">
        <v>10800</v>
      </c>
      <c r="S43" s="91" t="n">
        <v>10800</v>
      </c>
      <c r="T43" s="74" t="inlineStr">
        <is>
          <t>Ready</t>
        </is>
      </c>
      <c r="U43" s="78" t="n"/>
      <c r="V43" s="84" t="inlineStr">
        <is>
          <t>7099169596_2001676115</t>
        </is>
      </c>
      <c r="W43" s="84" t="inlineStr">
        <is>
          <t>Electricity Small Market</t>
        </is>
      </c>
      <c r="X43" s="84" t="inlineStr">
        <is>
          <t>Electricity [kWh]</t>
        </is>
      </c>
      <c r="Y43" s="84" t="inlineStr">
        <is>
          <t>AGL</t>
        </is>
      </c>
      <c r="Z43" s="84" t="inlineStr">
        <is>
          <t>Port Pirie</t>
        </is>
      </c>
      <c r="AA43" s="84" t="inlineStr">
        <is>
          <t>235</t>
        </is>
      </c>
      <c r="AB43" s="84" t="inlineStr">
        <is>
          <t>Active</t>
        </is>
      </c>
      <c r="AC43" s="84" t="inlineStr">
        <is>
          <t>Connection ID is the account number suffix</t>
        </is>
      </c>
      <c r="AD43" s="85" t="inlineStr">
        <is>
          <t>5479471765_2001676115; 500006757396_2001676115</t>
        </is>
      </c>
      <c r="AE43" s="85" t="inlineStr"/>
    </row>
    <row r="44" customFormat="1" s="79">
      <c r="A44" s="73" t="n">
        <v>2002190876</v>
      </c>
      <c r="B44" s="74" t="inlineStr">
        <is>
          <t>Electricity</t>
        </is>
      </c>
      <c r="C44" s="74" t="inlineStr">
        <is>
          <t>Australia</t>
        </is>
      </c>
      <c r="D44" s="74" t="inlineStr">
        <is>
          <t>SA</t>
        </is>
      </c>
      <c r="E44" s="74" t="inlineStr">
        <is>
          <t>AU Small Energy</t>
        </is>
      </c>
      <c r="F44" s="74" t="inlineStr">
        <is>
          <t>Roads - Port Augusta</t>
        </is>
      </c>
      <c r="G44" s="74" t="inlineStr">
        <is>
          <t>VICTORIA  PARADE PORT AUGUSTA SA 5700</t>
        </is>
      </c>
      <c r="H44" s="74" t="inlineStr">
        <is>
          <t>DOWNER EDI WORKS PTY LTD (ABN: 66 008 709 608)</t>
        </is>
      </c>
      <c r="I44" s="74" t="inlineStr">
        <is>
          <t>ROAD SERVICES</t>
        </is>
      </c>
      <c r="J44" s="74" t="inlineStr">
        <is>
          <t>kWh</t>
        </is>
      </c>
      <c r="K44" s="89" t="n">
        <v>29818</v>
      </c>
      <c r="L44" s="74" t="inlineStr">
        <is>
          <t>AGL</t>
        </is>
      </c>
      <c r="M44" s="90" t="inlineStr">
        <is>
          <t>Origin</t>
        </is>
      </c>
      <c r="N44" s="90" t="n">
        <v>46204</v>
      </c>
      <c r="O44" s="90" t="n">
        <v>46934</v>
      </c>
      <c r="P44" s="74" t="inlineStr">
        <is>
          <t>24 months</t>
        </is>
      </c>
      <c r="Q44" s="91">
        <f t="array" ref="Q44:S44">IFERROR(ROUNDUP(_xlfn.XLOOKUP(A44,'Budget FY26-28'!A:A,'Budget FY26-28'!M:O)*(1+Summary!$C$2), -2), "")</f>
        <v/>
      </c>
      <c r="R44" s="91" t="n">
        <v>11100</v>
      </c>
      <c r="S44" s="91" t="n">
        <v>11100</v>
      </c>
      <c r="T44" s="74" t="inlineStr">
        <is>
          <t>Ready</t>
        </is>
      </c>
      <c r="U44" s="78" t="n"/>
      <c r="V44" s="84" t="inlineStr">
        <is>
          <t>7099171246_2002190876</t>
        </is>
      </c>
      <c r="W44" s="84" t="inlineStr">
        <is>
          <t>Electricity Small Market</t>
        </is>
      </c>
      <c r="X44" s="84" t="inlineStr">
        <is>
          <t>Electricity [kWh]</t>
        </is>
      </c>
      <c r="Y44" s="84" t="inlineStr">
        <is>
          <t>AGL</t>
        </is>
      </c>
      <c r="Z44" s="84" t="inlineStr">
        <is>
          <t>Port Augusta-Works</t>
        </is>
      </c>
      <c r="AA44" s="84" t="inlineStr">
        <is>
          <t>230</t>
        </is>
      </c>
      <c r="AB44" s="84" t="inlineStr">
        <is>
          <t>Active</t>
        </is>
      </c>
      <c r="AC44" s="84" t="inlineStr">
        <is>
          <t>Connection ID is the account number suffix</t>
        </is>
      </c>
      <c r="AD44" s="85" t="inlineStr">
        <is>
          <t>8359881814_2002190876; 500006757347_2002190876</t>
        </is>
      </c>
      <c r="AE44" s="85" t="inlineStr"/>
    </row>
    <row r="45" customFormat="1" s="79">
      <c r="A45" s="73" t="n">
        <v>2002601115</v>
      </c>
      <c r="B45" s="74" t="inlineStr">
        <is>
          <t>Electricity</t>
        </is>
      </c>
      <c r="C45" s="74" t="inlineStr">
        <is>
          <t>Australia</t>
        </is>
      </c>
      <c r="D45" s="74" t="inlineStr">
        <is>
          <t>SA</t>
        </is>
      </c>
      <c r="E45" s="74" t="inlineStr">
        <is>
          <t>AU Small Energy</t>
        </is>
      </c>
      <c r="F45" s="74" t="inlineStr">
        <is>
          <t>North South Corridor Site Office - SA</t>
        </is>
      </c>
      <c r="G45" s="74" t="inlineStr">
        <is>
          <t>BTS 21 SIR DONALD BRADMAN DR MILE END SOUTH SA</t>
        </is>
      </c>
      <c r="H45" s="74" t="inlineStr">
        <is>
          <t>DOWNER EDI WORKS PTY LTD (ABN: 66 008 709 608)</t>
        </is>
      </c>
      <c r="I45" s="74" t="inlineStr">
        <is>
          <t>24170357</t>
        </is>
      </c>
      <c r="J45" s="74" t="inlineStr">
        <is>
          <t>kWh</t>
        </is>
      </c>
      <c r="K45" s="89" t="n">
        <v>4380</v>
      </c>
      <c r="L45" s="74" t="inlineStr">
        <is>
          <t>AGL</t>
        </is>
      </c>
      <c r="M45" s="90" t="inlineStr">
        <is>
          <t>Origin</t>
        </is>
      </c>
      <c r="N45" s="90" t="n">
        <v>46204</v>
      </c>
      <c r="O45" s="90" t="n">
        <v>46934</v>
      </c>
      <c r="P45" s="74" t="inlineStr">
        <is>
          <t>24 months</t>
        </is>
      </c>
      <c r="Q45" s="91">
        <f t="array" ref="Q45:S45">IFERROR(ROUNDUP(_xlfn.XLOOKUP(A45,'Budget FY26-28'!A:A,'Budget FY26-28'!M:O)*(1+Summary!$C$2), -2), "")</f>
        <v/>
      </c>
      <c r="R45" s="91" t="n">
        <v>2300</v>
      </c>
      <c r="S45" s="91" t="n">
        <v>2300</v>
      </c>
      <c r="T45" s="74" t="inlineStr">
        <is>
          <t>Ready</t>
        </is>
      </c>
      <c r="U45" s="78" t="n"/>
      <c r="V45" s="84" t="inlineStr">
        <is>
          <t>Not found</t>
        </is>
      </c>
      <c r="W45" s="84" t="inlineStr"/>
      <c r="X45" s="84" t="inlineStr"/>
      <c r="Y45" s="84" t="inlineStr"/>
      <c r="Z45" s="84" t="inlineStr"/>
      <c r="AA45" s="84" t="inlineStr"/>
      <c r="AB45" s="84" t="inlineStr"/>
      <c r="AC45" s="84" t="inlineStr">
        <is>
          <t>No Envizi account ends in this Connection ID</t>
        </is>
      </c>
      <c r="AD45" s="85" t="inlineStr"/>
      <c r="AE45" s="85" t="inlineStr"/>
    </row>
    <row r="46" customFormat="1" s="79">
      <c r="A46" s="73" t="n">
        <v>6001295311</v>
      </c>
      <c r="B46" s="74" t="inlineStr">
        <is>
          <t>Electricity</t>
        </is>
      </c>
      <c r="C46" s="74" t="inlineStr">
        <is>
          <t>Australia</t>
        </is>
      </c>
      <c r="D46" s="74" t="inlineStr">
        <is>
          <t>VIC</t>
        </is>
      </c>
      <c r="E46" s="74" t="inlineStr">
        <is>
          <t>AU Small Energy</t>
        </is>
      </c>
      <c r="F46" s="74" t="inlineStr">
        <is>
          <t>Water Pipelines - Campbellfield</t>
        </is>
      </c>
      <c r="G46" s="74" t="inlineStr">
        <is>
          <t>41 FORDSON ROAD CAMPBELLFIELD VIC 3061</t>
        </is>
      </c>
      <c r="H46" s="74" t="inlineStr">
        <is>
          <t>DOWNER EDI WORKS PTY LTD (ABN: 66 008 709 608)</t>
        </is>
      </c>
      <c r="I46" s="74" t="inlineStr">
        <is>
          <t>ROAD SERVICES</t>
        </is>
      </c>
      <c r="J46" s="74" t="inlineStr">
        <is>
          <t>kWh</t>
        </is>
      </c>
      <c r="K46" s="89" t="n">
        <v>22391</v>
      </c>
      <c r="L46" s="74" t="inlineStr">
        <is>
          <t>AGL</t>
        </is>
      </c>
      <c r="M46" s="90" t="inlineStr">
        <is>
          <t>Origin</t>
        </is>
      </c>
      <c r="N46" s="90" t="n">
        <v>46204</v>
      </c>
      <c r="O46" s="90" t="n">
        <v>46934</v>
      </c>
      <c r="P46" s="74" t="inlineStr">
        <is>
          <t>24 months</t>
        </is>
      </c>
      <c r="Q46" s="91">
        <f t="array" ref="Q46:S46">IFERROR(ROUNDUP(_xlfn.XLOOKUP(A46,'Budget FY26-28'!A:A,'Budget FY26-28'!M:O)*(1+Summary!$C$2), -2), "")</f>
        <v/>
      </c>
      <c r="R46" s="91" t="n">
        <v>5500</v>
      </c>
      <c r="S46" s="91" t="n">
        <v>5500</v>
      </c>
      <c r="T46" s="74" t="inlineStr">
        <is>
          <t>Ready</t>
        </is>
      </c>
      <c r="U46" s="78" t="n"/>
      <c r="V46" s="84" t="inlineStr">
        <is>
          <t>7099172855_6001295311</t>
        </is>
      </c>
      <c r="W46" s="84" t="inlineStr">
        <is>
          <t>Electricity Small Market</t>
        </is>
      </c>
      <c r="X46" s="84" t="inlineStr">
        <is>
          <t>Electricity [kWh]</t>
        </is>
      </c>
      <c r="Y46" s="84" t="inlineStr">
        <is>
          <t>AGL</t>
        </is>
      </c>
      <c r="Z46" s="84" t="inlineStr">
        <is>
          <t>GWW - Campbellfield Depot</t>
        </is>
      </c>
      <c r="AA46" s="84" t="inlineStr"/>
      <c r="AB46" s="84" t="inlineStr">
        <is>
          <t>Active</t>
        </is>
      </c>
      <c r="AC46" s="84" t="inlineStr">
        <is>
          <t>Connection ID is the account number suffix</t>
        </is>
      </c>
      <c r="AD46" s="85" t="inlineStr">
        <is>
          <t>9956624348_6001295311; 300022519718_6001295311</t>
        </is>
      </c>
      <c r="AE46" s="85" t="inlineStr"/>
    </row>
    <row r="47" customFormat="1" s="79">
      <c r="A47" s="73" t="n">
        <v>6001399332</v>
      </c>
      <c r="B47" s="74" t="inlineStr">
        <is>
          <t>Electricity</t>
        </is>
      </c>
      <c r="C47" s="74" t="inlineStr">
        <is>
          <t>Australia</t>
        </is>
      </c>
      <c r="D47" s="74" t="inlineStr">
        <is>
          <t>VIC</t>
        </is>
      </c>
      <c r="E47" s="74" t="inlineStr">
        <is>
          <t>AU Small Energy</t>
        </is>
      </c>
      <c r="F47" s="74" t="inlineStr">
        <is>
          <t>Spotless - Melb Street sweeping</t>
        </is>
      </c>
      <c r="G47" s="74" t="inlineStr">
        <is>
          <t>FY 2 41-45 HOBSONS RD KENSINGTON KENSINGTON VIC 3031</t>
        </is>
      </c>
      <c r="H47" s="74" t="inlineStr">
        <is>
          <t>SPOTLESS FACILITY SERVICES PTY LTD (ABN: 83 072 293 880)</t>
        </is>
      </c>
      <c r="I47" s="74" t="inlineStr">
        <is>
          <t>SPOTLESS</t>
        </is>
      </c>
      <c r="J47" s="74" t="inlineStr">
        <is>
          <t>kWh</t>
        </is>
      </c>
      <c r="K47" s="89" t="n">
        <v>58945</v>
      </c>
      <c r="L47" s="74" t="inlineStr">
        <is>
          <t>AGL</t>
        </is>
      </c>
      <c r="M47" s="90" t="inlineStr">
        <is>
          <t>Origin</t>
        </is>
      </c>
      <c r="N47" s="90" t="n">
        <v>46204</v>
      </c>
      <c r="O47" s="90" t="n">
        <v>46934</v>
      </c>
      <c r="P47" s="74" t="inlineStr">
        <is>
          <t>24 months</t>
        </is>
      </c>
      <c r="Q47" s="91">
        <f t="array" ref="Q47:S47">IFERROR(ROUNDUP(_xlfn.XLOOKUP(A47,'Budget FY26-28'!A:A,'Budget FY26-28'!M:O)*(1+Summary!$C$2), -2), "")</f>
        <v/>
      </c>
      <c r="R47" s="91" t="n">
        <v>14300</v>
      </c>
      <c r="S47" s="91" t="n">
        <v>14300</v>
      </c>
      <c r="T47" s="74" t="inlineStr">
        <is>
          <t>Ready</t>
        </is>
      </c>
      <c r="U47" s="78" t="n"/>
      <c r="V47" s="84" t="inlineStr">
        <is>
          <t>7099172947_6001399332</t>
        </is>
      </c>
      <c r="W47" s="84" t="inlineStr">
        <is>
          <t>Electricity Small Market</t>
        </is>
      </c>
      <c r="X47" s="84" t="inlineStr">
        <is>
          <t>Electricity [kWh]</t>
        </is>
      </c>
      <c r="Y47" s="84" t="inlineStr">
        <is>
          <t>AGL</t>
        </is>
      </c>
      <c r="Z47" s="84" t="inlineStr">
        <is>
          <t>Kensington - Hobsons Rd</t>
        </is>
      </c>
      <c r="AA47" s="84" t="inlineStr">
        <is>
          <t>9045</t>
        </is>
      </c>
      <c r="AB47" s="84" t="inlineStr">
        <is>
          <t>Active</t>
        </is>
      </c>
      <c r="AC47" s="84" t="inlineStr">
        <is>
          <t>Connection ID is the account number suffix</t>
        </is>
      </c>
      <c r="AD47" s="85" t="inlineStr">
        <is>
          <t>3791453447_6001399332; 300020368936_6001399332</t>
        </is>
      </c>
      <c r="AE47" s="85" t="inlineStr"/>
    </row>
    <row r="48" customFormat="1" s="79">
      <c r="A48" s="73" t="n">
        <v>6103034554</v>
      </c>
      <c r="B48" s="74" t="inlineStr">
        <is>
          <t>Electricity</t>
        </is>
      </c>
      <c r="C48" s="74" t="inlineStr">
        <is>
          <t>Australia</t>
        </is>
      </c>
      <c r="D48" s="74" t="inlineStr">
        <is>
          <t>VIC</t>
        </is>
      </c>
      <c r="E48" s="74" t="inlineStr">
        <is>
          <t>AU Small Energy</t>
        </is>
      </c>
      <c r="F48" s="74" t="inlineStr">
        <is>
          <t>Corporate  - 567 Collins St</t>
        </is>
      </c>
      <c r="G48" s="74" t="inlineStr">
        <is>
          <t>567 COLLINS STREET MELBOURNE VIC 3000</t>
        </is>
      </c>
      <c r="H48" s="74" t="inlineStr">
        <is>
          <t>DOWNER EDI SERVICES PTY LTD (ABN: 71 137 732 042)</t>
        </is>
      </c>
      <c r="I48" s="74" t="inlineStr">
        <is>
          <t>CORPORATE</t>
        </is>
      </c>
      <c r="J48" s="74" t="inlineStr">
        <is>
          <t>kWh</t>
        </is>
      </c>
      <c r="K48" s="89" t="n">
        <v>30794</v>
      </c>
      <c r="L48" s="74" t="inlineStr">
        <is>
          <t>AGL</t>
        </is>
      </c>
      <c r="M48" s="90" t="inlineStr">
        <is>
          <t>Origin</t>
        </is>
      </c>
      <c r="N48" s="90" t="n">
        <v>46204</v>
      </c>
      <c r="O48" s="90" t="n">
        <v>46934</v>
      </c>
      <c r="P48" s="74" t="inlineStr">
        <is>
          <t>24 months</t>
        </is>
      </c>
      <c r="Q48" s="91">
        <f t="array" ref="Q48:S48">IFERROR(ROUNDUP(_xlfn.XLOOKUP(A48,'Budget FY26-28'!A:A,'Budget FY26-28'!M:O)*(1+Summary!$C$2), -2), "")</f>
        <v/>
      </c>
      <c r="R48" s="91" t="n">
        <v>6800</v>
      </c>
      <c r="S48" s="91" t="n">
        <v>6800</v>
      </c>
      <c r="T48" s="74" t="inlineStr">
        <is>
          <t>Ready</t>
        </is>
      </c>
      <c r="U48" s="78" t="n"/>
      <c r="V48" s="84" t="inlineStr">
        <is>
          <t>7099171295_6103034554</t>
        </is>
      </c>
      <c r="W48" s="84" t="inlineStr">
        <is>
          <t>Electricity Small Market</t>
        </is>
      </c>
      <c r="X48" s="84" t="inlineStr">
        <is>
          <t>Electricity [kWh]</t>
        </is>
      </c>
      <c r="Y48" s="84" t="inlineStr">
        <is>
          <t>AGL</t>
        </is>
      </c>
      <c r="Z48" s="84" t="inlineStr">
        <is>
          <t>567 Collins St - Level 5</t>
        </is>
      </c>
      <c r="AA48" s="84" t="inlineStr">
        <is>
          <t>1014</t>
        </is>
      </c>
      <c r="AB48" s="84" t="inlineStr">
        <is>
          <t>Active</t>
        </is>
      </c>
      <c r="AC48" s="84" t="inlineStr">
        <is>
          <t>Connection ID is the account number suffix</t>
        </is>
      </c>
      <c r="AD48" s="85" t="inlineStr">
        <is>
          <t>5663254940_6103034554; 300032638565_6103034554</t>
        </is>
      </c>
      <c r="AE48" s="85" t="inlineStr"/>
    </row>
    <row r="49" customFormat="1" s="79">
      <c r="A49" s="73" t="n">
        <v>6103034564</v>
      </c>
      <c r="B49" s="74" t="inlineStr">
        <is>
          <t>Electricity</t>
        </is>
      </c>
      <c r="C49" s="74" t="inlineStr">
        <is>
          <t>Australia</t>
        </is>
      </c>
      <c r="D49" s="74" t="inlineStr">
        <is>
          <t>VIC</t>
        </is>
      </c>
      <c r="E49" s="74" t="inlineStr">
        <is>
          <t>AU Small Energy</t>
        </is>
      </c>
      <c r="F49" s="74" t="inlineStr">
        <is>
          <t>Corporate - 567 Collins St LEV 10</t>
        </is>
      </c>
      <c r="G49" s="74" t="inlineStr">
        <is>
          <t>567 COLLINS STREET MELBOURNE VIC 3000</t>
        </is>
      </c>
      <c r="H49" s="74" t="inlineStr">
        <is>
          <t>DOWNER EDI SERVICES PTY LTD (ABN: 71 137 732 042)</t>
        </is>
      </c>
      <c r="I49" s="74" t="inlineStr">
        <is>
          <t>CORPORATE</t>
        </is>
      </c>
      <c r="J49" s="74" t="inlineStr">
        <is>
          <t>kWh</t>
        </is>
      </c>
      <c r="K49" s="89" t="n">
        <v>37745</v>
      </c>
      <c r="L49" s="74" t="inlineStr">
        <is>
          <t>AGL</t>
        </is>
      </c>
      <c r="M49" s="90" t="inlineStr">
        <is>
          <t>Origin</t>
        </is>
      </c>
      <c r="N49" s="90" t="n">
        <v>46204</v>
      </c>
      <c r="O49" s="90" t="n">
        <v>46934</v>
      </c>
      <c r="P49" s="74" t="inlineStr">
        <is>
          <t>24 months</t>
        </is>
      </c>
      <c r="Q49" s="91">
        <f t="array" ref="Q49:S49">IFERROR(ROUNDUP(_xlfn.XLOOKUP(A49,'Budget FY26-28'!A:A,'Budget FY26-28'!M:O)*(1+Summary!$C$2), -2), "")</f>
        <v/>
      </c>
      <c r="R49" s="91" t="n">
        <v>8100</v>
      </c>
      <c r="S49" s="91" t="n">
        <v>8100</v>
      </c>
      <c r="T49" s="74" t="inlineStr">
        <is>
          <t>Ready</t>
        </is>
      </c>
      <c r="U49" s="78" t="n"/>
      <c r="V49" s="84" t="inlineStr">
        <is>
          <t>7099172145_6103034564</t>
        </is>
      </c>
      <c r="W49" s="84" t="inlineStr">
        <is>
          <t>Electricity Small Market</t>
        </is>
      </c>
      <c r="X49" s="84" t="inlineStr">
        <is>
          <t>Electricity [kWh]</t>
        </is>
      </c>
      <c r="Y49" s="84" t="inlineStr">
        <is>
          <t>AGL</t>
        </is>
      </c>
      <c r="Z49" s="84" t="inlineStr">
        <is>
          <t>567 Collins St - Level 10</t>
        </is>
      </c>
      <c r="AA49" s="84" t="inlineStr">
        <is>
          <t>1005</t>
        </is>
      </c>
      <c r="AB49" s="84" t="inlineStr">
        <is>
          <t>Active</t>
        </is>
      </c>
      <c r="AC49" s="84" t="inlineStr">
        <is>
          <t>Connection ID is the account number suffix</t>
        </is>
      </c>
      <c r="AD49" s="85" t="inlineStr">
        <is>
          <t>3797111232_6103034564; 300032527586_6103034564</t>
        </is>
      </c>
      <c r="AE49" s="85" t="inlineStr"/>
    </row>
    <row r="50" customFormat="1" s="79">
      <c r="A50" s="73" t="n">
        <v>6103034565</v>
      </c>
      <c r="B50" s="74" t="inlineStr">
        <is>
          <t>Electricity</t>
        </is>
      </c>
      <c r="C50" s="74" t="inlineStr">
        <is>
          <t>Australia</t>
        </is>
      </c>
      <c r="D50" s="74" t="inlineStr">
        <is>
          <t>VIC</t>
        </is>
      </c>
      <c r="E50" s="74" t="inlineStr">
        <is>
          <t>AU Small Energy</t>
        </is>
      </c>
      <c r="F50" s="74" t="inlineStr">
        <is>
          <t>Corporate - 567 Collins St LEV 10</t>
        </is>
      </c>
      <c r="G50" s="74" t="inlineStr">
        <is>
          <t>567 COLLINS STREET MELBOURNE VIC 3000</t>
        </is>
      </c>
      <c r="H50" s="74" t="inlineStr">
        <is>
          <t>DOWNER EDI SERVICES PTY LTD (ABN: 71 137 732 042)</t>
        </is>
      </c>
      <c r="I50" s="74" t="inlineStr">
        <is>
          <t>CORPORATE</t>
        </is>
      </c>
      <c r="J50" s="74" t="inlineStr">
        <is>
          <t>kWh</t>
        </is>
      </c>
      <c r="K50" s="89" t="n">
        <v>56975</v>
      </c>
      <c r="L50" s="74" t="inlineStr">
        <is>
          <t>AGL</t>
        </is>
      </c>
      <c r="M50" s="90" t="inlineStr">
        <is>
          <t>Origin</t>
        </is>
      </c>
      <c r="N50" s="90" t="n">
        <v>46204</v>
      </c>
      <c r="O50" s="90" t="n">
        <v>46934</v>
      </c>
      <c r="P50" s="74" t="inlineStr">
        <is>
          <t>24 months</t>
        </is>
      </c>
      <c r="Q50" s="91">
        <f t="array" ref="Q50:S50">IFERROR(ROUNDUP(_xlfn.XLOOKUP(A50,'Budget FY26-28'!A:A,'Budget FY26-28'!M:O)*(1+Summary!$C$2), -2), "")</f>
        <v/>
      </c>
      <c r="R50" s="91" t="n">
        <v>12000</v>
      </c>
      <c r="S50" s="91" t="n">
        <v>12000</v>
      </c>
      <c r="T50" s="74" t="inlineStr">
        <is>
          <t>Ready</t>
        </is>
      </c>
      <c r="U50" s="78" t="n"/>
      <c r="V50" s="84" t="inlineStr">
        <is>
          <t>7099173143_6103034565</t>
        </is>
      </c>
      <c r="W50" s="84" t="inlineStr">
        <is>
          <t>Electricity Small Market</t>
        </is>
      </c>
      <c r="X50" s="84" t="inlineStr">
        <is>
          <t>Electricity [kWh]</t>
        </is>
      </c>
      <c r="Y50" s="84" t="inlineStr">
        <is>
          <t>AGL</t>
        </is>
      </c>
      <c r="Z50" s="84" t="inlineStr">
        <is>
          <t>567 Collins St - Level 10</t>
        </is>
      </c>
      <c r="AA50" s="84" t="inlineStr">
        <is>
          <t>1005</t>
        </is>
      </c>
      <c r="AB50" s="84" t="inlineStr">
        <is>
          <t>Active</t>
        </is>
      </c>
      <c r="AC50" s="84" t="inlineStr">
        <is>
          <t>Connection ID is the account number suffix</t>
        </is>
      </c>
      <c r="AD50" s="85" t="inlineStr">
        <is>
          <t>1514766741_6103034565; 300032528477_6103034565</t>
        </is>
      </c>
      <c r="AE50" s="85" t="inlineStr"/>
    </row>
    <row r="51" customFormat="1" s="79">
      <c r="A51" s="73" t="n">
        <v>6103066712</v>
      </c>
      <c r="B51" s="74" t="inlineStr">
        <is>
          <t>Electricity</t>
        </is>
      </c>
      <c r="C51" s="74" t="inlineStr">
        <is>
          <t>Australia</t>
        </is>
      </c>
      <c r="D51" s="74" t="inlineStr">
        <is>
          <t>VIC</t>
        </is>
      </c>
      <c r="E51" s="74" t="inlineStr">
        <is>
          <t>AU Small Energy</t>
        </is>
      </c>
      <c r="F51" s="74" t="inlineStr">
        <is>
          <t>Spotless Abbotsford site Rehab</t>
        </is>
      </c>
      <c r="G51" s="74" t="inlineStr">
        <is>
          <t>12 - 18 VICTORIA CRES ABBOTSFORD VIC 3067</t>
        </is>
      </c>
      <c r="H51" s="74" t="inlineStr">
        <is>
          <t>SPOTLESS FACILITY SERVICES PTY LTD (ABN: 83 072 293 880)</t>
        </is>
      </c>
      <c r="I51" s="74" t="inlineStr">
        <is>
          <t>SPOTLESS</t>
        </is>
      </c>
      <c r="J51" s="74" t="inlineStr">
        <is>
          <t>kWh</t>
        </is>
      </c>
      <c r="K51" s="89" t="n">
        <v>376</v>
      </c>
      <c r="L51" s="74" t="inlineStr">
        <is>
          <t>AGL</t>
        </is>
      </c>
      <c r="M51" s="90" t="inlineStr">
        <is>
          <t>Origin</t>
        </is>
      </c>
      <c r="N51" s="90" t="n">
        <v>46204</v>
      </c>
      <c r="O51" s="90" t="n">
        <v>46934</v>
      </c>
      <c r="P51" s="74" t="inlineStr">
        <is>
          <t>24 months</t>
        </is>
      </c>
      <c r="Q51" s="91">
        <f t="array" ref="Q51:S51">IFERROR(ROUNDUP(_xlfn.XLOOKUP(A51,'Budget FY26-28'!A:A,'Budget FY26-28'!M:O)*(1+Summary!$C$2), -2), "")</f>
        <v/>
      </c>
      <c r="R51" s="91" t="n">
        <v>700</v>
      </c>
      <c r="S51" s="91" t="n">
        <v>700</v>
      </c>
      <c r="T51" s="74" t="inlineStr">
        <is>
          <t>Ready</t>
        </is>
      </c>
      <c r="U51" s="78" t="n"/>
      <c r="V51" s="84" t="inlineStr">
        <is>
          <t>7099172186_6103066712</t>
        </is>
      </c>
      <c r="W51" s="84" t="inlineStr">
        <is>
          <t>Electricity Small Market</t>
        </is>
      </c>
      <c r="X51" s="84" t="inlineStr">
        <is>
          <t>Electricity [kWh]</t>
        </is>
      </c>
      <c r="Y51" s="84" t="inlineStr">
        <is>
          <t>AGL</t>
        </is>
      </c>
      <c r="Z51" s="84" t="inlineStr">
        <is>
          <t>Remediation Site_Laundry - Abbotsford (VIC)</t>
        </is>
      </c>
      <c r="AA51" s="84" t="inlineStr">
        <is>
          <t>9053</t>
        </is>
      </c>
      <c r="AB51" s="84" t="inlineStr">
        <is>
          <t>Active</t>
        </is>
      </c>
      <c r="AC51" s="84" t="inlineStr">
        <is>
          <t>Connection ID is the account number suffix</t>
        </is>
      </c>
      <c r="AD51" s="85" t="inlineStr">
        <is>
          <t>3582693223_6103066712; 300043704836_6103066712</t>
        </is>
      </c>
      <c r="AE51" s="85" t="inlineStr"/>
    </row>
    <row r="52" customFormat="1" s="79">
      <c r="A52" s="73" t="n">
        <v>6203155353</v>
      </c>
      <c r="B52" s="74" t="inlineStr">
        <is>
          <t>Electricity</t>
        </is>
      </c>
      <c r="C52" s="74" t="inlineStr">
        <is>
          <t>Australia</t>
        </is>
      </c>
      <c r="D52" s="74" t="inlineStr">
        <is>
          <t>VIC</t>
        </is>
      </c>
      <c r="E52" s="74" t="inlineStr">
        <is>
          <t>AU Small Energy</t>
        </is>
      </c>
      <c r="F52" s="74" t="inlineStr">
        <is>
          <t>Utilities - Geelong</t>
        </is>
      </c>
      <c r="G52" s="74" t="inlineStr">
        <is>
          <t>31 Leather Street Geelong East VIC 3219</t>
        </is>
      </c>
      <c r="H52" s="74" t="inlineStr">
        <is>
          <t>DOWNER UTILITIES AUSTRALIA PTY LTD (ABN: 65 075 194 857)</t>
        </is>
      </c>
      <c r="I52" s="74" t="inlineStr">
        <is>
          <t>Utilities</t>
        </is>
      </c>
      <c r="J52" s="74" t="inlineStr">
        <is>
          <t>kWh</t>
        </is>
      </c>
      <c r="K52" s="89" t="n">
        <v>27942</v>
      </c>
      <c r="L52" s="74" t="inlineStr">
        <is>
          <t>AGL</t>
        </is>
      </c>
      <c r="M52" s="90" t="inlineStr">
        <is>
          <t>Origin</t>
        </is>
      </c>
      <c r="N52" s="90" t="n">
        <v>46204</v>
      </c>
      <c r="O52" s="90" t="n">
        <v>46934</v>
      </c>
      <c r="P52" s="74" t="inlineStr">
        <is>
          <t>24 months</t>
        </is>
      </c>
      <c r="Q52" s="91">
        <f t="array" ref="Q52:S52">IFERROR(ROUNDUP(_xlfn.XLOOKUP(A52,'Budget FY26-28'!A:A,'Budget FY26-28'!M:O)*(1+Summary!$C$2), -2), "")</f>
        <v/>
      </c>
      <c r="R52" s="91" t="n">
        <v>6800</v>
      </c>
      <c r="S52" s="91" t="n">
        <v>6800</v>
      </c>
      <c r="T52" s="74" t="inlineStr">
        <is>
          <t>Ready</t>
        </is>
      </c>
      <c r="U52" s="78" t="n"/>
      <c r="V52" s="84" t="inlineStr">
        <is>
          <t>7099173051_6203155353</t>
        </is>
      </c>
      <c r="W52" s="84" t="inlineStr">
        <is>
          <t>Electricity Small Market</t>
        </is>
      </c>
      <c r="X52" s="84" t="inlineStr">
        <is>
          <t>Electricity [kWh]</t>
        </is>
      </c>
      <c r="Y52" s="84" t="inlineStr">
        <is>
          <t>AGL</t>
        </is>
      </c>
      <c r="Z52" s="84" t="inlineStr">
        <is>
          <t>Ausnet_Gas_Geelong East</t>
        </is>
      </c>
      <c r="AA52" s="84" t="inlineStr">
        <is>
          <t>AGGE</t>
        </is>
      </c>
      <c r="AB52" s="84" t="inlineStr">
        <is>
          <t>Active</t>
        </is>
      </c>
      <c r="AC52" s="84" t="inlineStr">
        <is>
          <t>Connection ID is the account number suffix</t>
        </is>
      </c>
      <c r="AD52" s="85" t="inlineStr">
        <is>
          <t>7068967442_6203155353</t>
        </is>
      </c>
      <c r="AE52" s="85" t="inlineStr"/>
    </row>
    <row r="53" customFormat="1" s="79">
      <c r="A53" s="73" t="n">
        <v>6203245874</v>
      </c>
      <c r="B53" s="74" t="inlineStr">
        <is>
          <t>Electricity</t>
        </is>
      </c>
      <c r="C53" s="74" t="inlineStr">
        <is>
          <t>Australia</t>
        </is>
      </c>
      <c r="D53" s="74" t="inlineStr">
        <is>
          <t>VIC</t>
        </is>
      </c>
      <c r="E53" s="74" t="inlineStr">
        <is>
          <t>AU Small Energy</t>
        </is>
      </c>
      <c r="F53" s="74" t="inlineStr">
        <is>
          <t>Utilities - Wendouree</t>
        </is>
      </c>
      <c r="G53" s="74" t="inlineStr">
        <is>
          <t>352 DOWLING STREET WENDOUREE VIC 3355</t>
        </is>
      </c>
      <c r="H53" s="74" t="inlineStr">
        <is>
          <t>DOWNER UTILITIES AUSTRALIA PTY LTD (ABN: 65 075 194 857)</t>
        </is>
      </c>
      <c r="I53" s="74" t="inlineStr">
        <is>
          <t>Utilities</t>
        </is>
      </c>
      <c r="J53" s="74" t="inlineStr">
        <is>
          <t>kWh</t>
        </is>
      </c>
      <c r="K53" s="89" t="n">
        <v>11909</v>
      </c>
      <c r="L53" s="74" t="inlineStr">
        <is>
          <t>AGL</t>
        </is>
      </c>
      <c r="M53" s="90" t="inlineStr">
        <is>
          <t>Origin</t>
        </is>
      </c>
      <c r="N53" s="90" t="n">
        <v>46204</v>
      </c>
      <c r="O53" s="90" t="n">
        <v>46934</v>
      </c>
      <c r="P53" s="74" t="inlineStr">
        <is>
          <t>24 months</t>
        </is>
      </c>
      <c r="Q53" s="91">
        <f t="array" ref="Q53:S53">IFERROR(ROUNDUP(_xlfn.XLOOKUP(A53,'Budget FY26-28'!A:A,'Budget FY26-28'!M:O)*(1+Summary!$C$2), -2), "")</f>
        <v/>
      </c>
      <c r="R53" s="91" t="n">
        <v>3200</v>
      </c>
      <c r="S53" s="91" t="n">
        <v>3200</v>
      </c>
      <c r="T53" s="74" t="inlineStr">
        <is>
          <t>Ready</t>
        </is>
      </c>
      <c r="U53" s="78" t="n"/>
      <c r="V53" s="84" t="inlineStr">
        <is>
          <t>7099172913_6203245874</t>
        </is>
      </c>
      <c r="W53" s="84" t="inlineStr">
        <is>
          <t>Electricity Small Market</t>
        </is>
      </c>
      <c r="X53" s="84" t="inlineStr">
        <is>
          <t>Electricity [kWh]</t>
        </is>
      </c>
      <c r="Y53" s="84" t="inlineStr">
        <is>
          <t>AGL</t>
        </is>
      </c>
      <c r="Z53" s="84" t="inlineStr">
        <is>
          <t>Ausnet_Gas_Wendouree</t>
        </is>
      </c>
      <c r="AA53" s="84" t="inlineStr">
        <is>
          <t>AGWD</t>
        </is>
      </c>
      <c r="AB53" s="84" t="inlineStr">
        <is>
          <t>Active</t>
        </is>
      </c>
      <c r="AC53" s="84" t="inlineStr">
        <is>
          <t>Connection ID is the account number suffix</t>
        </is>
      </c>
      <c r="AD53" s="85" t="inlineStr">
        <is>
          <t>1476119418_6203245874; 300001848187_6203245874</t>
        </is>
      </c>
      <c r="AE53" s="85" t="inlineStr"/>
    </row>
    <row r="54" customFormat="1" s="79">
      <c r="A54" s="73" t="n">
        <v>6203409239</v>
      </c>
      <c r="B54" s="74" t="inlineStr">
        <is>
          <t>Electricity</t>
        </is>
      </c>
      <c r="C54" s="74" t="inlineStr">
        <is>
          <t>Australia</t>
        </is>
      </c>
      <c r="D54" s="74" t="inlineStr">
        <is>
          <t>VIC</t>
        </is>
      </c>
      <c r="E54" s="74" t="inlineStr">
        <is>
          <t>AU Small Energy</t>
        </is>
      </c>
      <c r="F54" s="74" t="inlineStr">
        <is>
          <t>Roads Shepparton</t>
        </is>
      </c>
      <c r="G54" s="74" t="inlineStr">
        <is>
          <t>12-28 Apollo Dve Shepparton VIC 3630</t>
        </is>
      </c>
      <c r="H54" s="74" t="inlineStr">
        <is>
          <t>DOWNER EDI WORKS PTY LTD (ABN: 66 008 709 608)</t>
        </is>
      </c>
      <c r="I54" s="74" t="inlineStr">
        <is>
          <t>Roads</t>
        </is>
      </c>
      <c r="J54" s="74" t="inlineStr">
        <is>
          <t>kWh</t>
        </is>
      </c>
      <c r="K54" s="89" t="n">
        <v>3824</v>
      </c>
      <c r="L54" s="74" t="inlineStr">
        <is>
          <t>AGL</t>
        </is>
      </c>
      <c r="M54" s="90" t="inlineStr">
        <is>
          <t>Origin</t>
        </is>
      </c>
      <c r="N54" s="90" t="n">
        <v>46204</v>
      </c>
      <c r="O54" s="90" t="n">
        <v>46934</v>
      </c>
      <c r="P54" s="74" t="inlineStr">
        <is>
          <t>24 months</t>
        </is>
      </c>
      <c r="Q54" s="91">
        <f t="array" ref="Q54:S54">IFERROR(ROUNDUP(_xlfn.XLOOKUP(A54,'Budget FY26-28'!A:A,'Budget FY26-28'!M:O)*(1+Summary!$C$2), -2), "")</f>
        <v/>
      </c>
      <c r="R54" s="91" t="n">
        <v>1500</v>
      </c>
      <c r="S54" s="91" t="n">
        <v>1500</v>
      </c>
      <c r="T54" s="74" t="inlineStr">
        <is>
          <t>Ready</t>
        </is>
      </c>
      <c r="U54" s="78" t="n"/>
      <c r="V54" s="84" t="inlineStr">
        <is>
          <t>7104945063_6203409239</t>
        </is>
      </c>
      <c r="W54" s="84" t="inlineStr">
        <is>
          <t>Electricity Small Market</t>
        </is>
      </c>
      <c r="X54" s="84" t="inlineStr">
        <is>
          <t>Electricity [kWh]</t>
        </is>
      </c>
      <c r="Y54" s="84" t="inlineStr">
        <is>
          <t>AGL</t>
        </is>
      </c>
      <c r="Z54" s="84" t="inlineStr">
        <is>
          <t>Asphalt Prod - Shepparton (308)</t>
        </is>
      </c>
      <c r="AA54" s="84" t="inlineStr">
        <is>
          <t>308</t>
        </is>
      </c>
      <c r="AB54" s="84" t="inlineStr">
        <is>
          <t>Active</t>
        </is>
      </c>
      <c r="AC54" s="84" t="inlineStr">
        <is>
          <t>Connection ID is the account number suffix</t>
        </is>
      </c>
      <c r="AD54" s="85" t="inlineStr"/>
      <c r="AE54" s="85" t="inlineStr">
        <is>
          <t>LGCS_VCCCSC0020 (at this location, different ID) - historical</t>
        </is>
      </c>
    </row>
    <row r="55" customFormat="1" s="79">
      <c r="A55" s="73" t="n">
        <v>6203409240</v>
      </c>
      <c r="B55" s="74" t="inlineStr">
        <is>
          <t>Electricity</t>
        </is>
      </c>
      <c r="C55" s="74" t="inlineStr">
        <is>
          <t>Australia</t>
        </is>
      </c>
      <c r="D55" s="74" t="inlineStr">
        <is>
          <t>VIC</t>
        </is>
      </c>
      <c r="E55" s="74" t="inlineStr">
        <is>
          <t>AU Small Energy</t>
        </is>
      </c>
      <c r="F55" s="74" t="inlineStr">
        <is>
          <t>Roads Shepparton 3</t>
        </is>
      </c>
      <c r="G55" s="74" t="inlineStr">
        <is>
          <t>12-28 Apollo Dve Shepparton VIC 3630</t>
        </is>
      </c>
      <c r="H55" s="74" t="inlineStr">
        <is>
          <t>DOWNER EDI WORKS PTY LTD (ABN: 66 008 709 608)</t>
        </is>
      </c>
      <c r="I55" s="74" t="inlineStr">
        <is>
          <t>Roads</t>
        </is>
      </c>
      <c r="J55" s="74" t="inlineStr">
        <is>
          <t>kWh</t>
        </is>
      </c>
      <c r="K55" s="89" t="n">
        <v>21695</v>
      </c>
      <c r="L55" s="74" t="inlineStr">
        <is>
          <t>AGL</t>
        </is>
      </c>
      <c r="M55" s="90" t="inlineStr">
        <is>
          <t>Origin</t>
        </is>
      </c>
      <c r="N55" s="90" t="n">
        <v>46204</v>
      </c>
      <c r="O55" s="90" t="n">
        <v>46934</v>
      </c>
      <c r="P55" s="74" t="inlineStr">
        <is>
          <t>24 months</t>
        </is>
      </c>
      <c r="Q55" s="91">
        <f t="array" ref="Q55:S55">IFERROR(ROUNDUP(_xlfn.XLOOKUP(A55,'Budget FY26-28'!A:A,'Budget FY26-28'!M:O)*(1+Summary!$C$2), -2), "")</f>
        <v/>
      </c>
      <c r="R55" s="91" t="n">
        <v>5400</v>
      </c>
      <c r="S55" s="91" t="n">
        <v>5400</v>
      </c>
      <c r="T55" s="74" t="inlineStr">
        <is>
          <t>Ready</t>
        </is>
      </c>
      <c r="U55" s="78" t="n"/>
      <c r="V55" s="84" t="inlineStr">
        <is>
          <t>7103814690_6203409240</t>
        </is>
      </c>
      <c r="W55" s="84" t="inlineStr">
        <is>
          <t>Electricity Small Market</t>
        </is>
      </c>
      <c r="X55" s="84" t="inlineStr">
        <is>
          <t>Electricity [kWh]</t>
        </is>
      </c>
      <c r="Y55" s="84" t="inlineStr">
        <is>
          <t>AGL</t>
        </is>
      </c>
      <c r="Z55" s="84" t="inlineStr">
        <is>
          <t>Asphalt Prod - Shepparton (308)</t>
        </is>
      </c>
      <c r="AA55" s="84" t="inlineStr">
        <is>
          <t>308</t>
        </is>
      </c>
      <c r="AB55" s="84" t="inlineStr">
        <is>
          <t>Active</t>
        </is>
      </c>
      <c r="AC55" s="84" t="inlineStr">
        <is>
          <t>Connection ID is the account number suffix</t>
        </is>
      </c>
      <c r="AD55" s="85" t="inlineStr"/>
      <c r="AE55" s="85" t="inlineStr">
        <is>
          <t>LGCS_VCCCSC0020 (at this location, different ID) - historical</t>
        </is>
      </c>
    </row>
    <row r="56" customFormat="1" s="79">
      <c r="A56" s="73" t="n">
        <v>6203424291</v>
      </c>
      <c r="B56" s="74" t="inlineStr">
        <is>
          <t>Electricity</t>
        </is>
      </c>
      <c r="C56" s="74" t="inlineStr">
        <is>
          <t>Australia</t>
        </is>
      </c>
      <c r="D56" s="74" t="inlineStr">
        <is>
          <t>VIC</t>
        </is>
      </c>
      <c r="E56" s="74" t="inlineStr">
        <is>
          <t>AU Small Energy</t>
        </is>
      </c>
      <c r="F56" s="74" t="inlineStr">
        <is>
          <t>Utilities - Bendigo</t>
        </is>
      </c>
      <c r="G56" s="74" t="inlineStr">
        <is>
          <t>116-118 HOLMES ROAD NORTH BENDIGO VIC 3550</t>
        </is>
      </c>
      <c r="H56" s="74" t="inlineStr">
        <is>
          <t>DOWNER UTILITIES AUSTRALIA PTY LTD (ABN: 65 075 194 857)</t>
        </is>
      </c>
      <c r="I56" s="74" t="inlineStr">
        <is>
          <t>Utilities</t>
        </is>
      </c>
      <c r="J56" s="74" t="inlineStr">
        <is>
          <t>kWh</t>
        </is>
      </c>
      <c r="K56" s="89" t="n">
        <v>5946</v>
      </c>
      <c r="L56" s="74" t="inlineStr">
        <is>
          <t>AGL</t>
        </is>
      </c>
      <c r="M56" s="90" t="inlineStr">
        <is>
          <t>Origin</t>
        </is>
      </c>
      <c r="N56" s="90" t="n">
        <v>46204</v>
      </c>
      <c r="O56" s="90" t="n">
        <v>46934</v>
      </c>
      <c r="P56" s="74" t="inlineStr">
        <is>
          <t>24 months</t>
        </is>
      </c>
      <c r="Q56" s="91">
        <f t="array" ref="Q56:S56">IFERROR(ROUNDUP(_xlfn.XLOOKUP(A56,'Budget FY26-28'!A:A,'Budget FY26-28'!M:O)*(1+Summary!$C$2), -2), "")</f>
        <v/>
      </c>
      <c r="R56" s="91" t="n">
        <v>1900</v>
      </c>
      <c r="S56" s="91" t="n">
        <v>1900</v>
      </c>
      <c r="T56" s="74" t="inlineStr">
        <is>
          <t>Ready</t>
        </is>
      </c>
      <c r="U56" s="78" t="n"/>
      <c r="V56" s="84" t="inlineStr">
        <is>
          <t>7099172897_6203424291</t>
        </is>
      </c>
      <c r="W56" s="84" t="inlineStr">
        <is>
          <t>Electricity Small Market</t>
        </is>
      </c>
      <c r="X56" s="84" t="inlineStr">
        <is>
          <t>Electricity [kWh]</t>
        </is>
      </c>
      <c r="Y56" s="84" t="inlineStr">
        <is>
          <t>AGL</t>
        </is>
      </c>
      <c r="Z56" s="84" t="inlineStr">
        <is>
          <t>Ausnet_Gas_North Bendigo</t>
        </is>
      </c>
      <c r="AA56" s="84" t="inlineStr">
        <is>
          <t>AGNB</t>
        </is>
      </c>
      <c r="AB56" s="84" t="inlineStr">
        <is>
          <t>Active</t>
        </is>
      </c>
      <c r="AC56" s="84" t="inlineStr">
        <is>
          <t>Connection ID is the account number suffix</t>
        </is>
      </c>
      <c r="AD56" s="85" t="inlineStr">
        <is>
          <t>2443004782_6203424291; 300001232820_6203424291</t>
        </is>
      </c>
      <c r="AE56" s="85" t="inlineStr"/>
    </row>
    <row r="57" customFormat="1" s="79">
      <c r="A57" s="73" t="n">
        <v>6203424292</v>
      </c>
      <c r="B57" s="74" t="inlineStr">
        <is>
          <t>Electricity</t>
        </is>
      </c>
      <c r="C57" s="74" t="inlineStr">
        <is>
          <t>Australia</t>
        </is>
      </c>
      <c r="D57" s="74" t="inlineStr">
        <is>
          <t>VIC</t>
        </is>
      </c>
      <c r="E57" s="74" t="inlineStr">
        <is>
          <t>AU Small Energy</t>
        </is>
      </c>
      <c r="F57" s="74" t="inlineStr">
        <is>
          <t>Utilities - Bendigo</t>
        </is>
      </c>
      <c r="G57" s="74" t="inlineStr">
        <is>
          <t>116-118 HOLMES ROAD NORTH BENDIGO VIC 3550</t>
        </is>
      </c>
      <c r="H57" s="74" t="inlineStr">
        <is>
          <t>DOWNER UTILITIES AUSTRALIA PTY LTD (ABN: 65 075 194 857)</t>
        </is>
      </c>
      <c r="I57" s="74" t="inlineStr">
        <is>
          <t>Utilities</t>
        </is>
      </c>
      <c r="J57" s="74" t="inlineStr">
        <is>
          <t>kWh</t>
        </is>
      </c>
      <c r="K57" s="89" t="n">
        <v>8591</v>
      </c>
      <c r="L57" s="74" t="inlineStr">
        <is>
          <t>AGL</t>
        </is>
      </c>
      <c r="M57" s="90" t="inlineStr">
        <is>
          <t>Origin</t>
        </is>
      </c>
      <c r="N57" s="90" t="n">
        <v>46204</v>
      </c>
      <c r="O57" s="90" t="n">
        <v>46934</v>
      </c>
      <c r="P57" s="74" t="inlineStr">
        <is>
          <t>24 months</t>
        </is>
      </c>
      <c r="Q57" s="91">
        <f t="array" ref="Q57:S57">IFERROR(ROUNDUP(_xlfn.XLOOKUP(A57,'Budget FY26-28'!A:A,'Budget FY26-28'!M:O)*(1+Summary!$C$2), -2), "")</f>
        <v/>
      </c>
      <c r="R57" s="91" t="n">
        <v>2500</v>
      </c>
      <c r="S57" s="91" t="n">
        <v>2500</v>
      </c>
      <c r="T57" s="74" t="inlineStr">
        <is>
          <t>Ready</t>
        </is>
      </c>
      <c r="U57" s="78" t="n"/>
      <c r="V57" s="84" t="inlineStr">
        <is>
          <t>7099173044_6203424292</t>
        </is>
      </c>
      <c r="W57" s="84" t="inlineStr">
        <is>
          <t>Electricity Small Market</t>
        </is>
      </c>
      <c r="X57" s="84" t="inlineStr">
        <is>
          <t>Electricity [kWh]</t>
        </is>
      </c>
      <c r="Y57" s="84" t="inlineStr">
        <is>
          <t>AGL</t>
        </is>
      </c>
      <c r="Z57" s="84" t="inlineStr">
        <is>
          <t>Ausnet_Gas_North Bendigo</t>
        </is>
      </c>
      <c r="AA57" s="84" t="inlineStr">
        <is>
          <t>AGNB</t>
        </is>
      </c>
      <c r="AB57" s="84" t="inlineStr">
        <is>
          <t>Active</t>
        </is>
      </c>
      <c r="AC57" s="84" t="inlineStr">
        <is>
          <t>Connection ID is the account number suffix</t>
        </is>
      </c>
      <c r="AD57" s="85" t="inlineStr">
        <is>
          <t>6270817761_6203424292; 300001232770_6203424292</t>
        </is>
      </c>
      <c r="AE57" s="85" t="inlineStr"/>
    </row>
    <row r="58" customFormat="1" s="79">
      <c r="A58" s="73" t="n">
        <v>6203606598</v>
      </c>
      <c r="B58" s="74" t="inlineStr">
        <is>
          <t>Electricity</t>
        </is>
      </c>
      <c r="C58" s="74" t="inlineStr">
        <is>
          <t>Australia</t>
        </is>
      </c>
      <c r="D58" s="74" t="inlineStr">
        <is>
          <t>VIC</t>
        </is>
      </c>
      <c r="E58" s="74" t="inlineStr">
        <is>
          <t>AU Small Energy</t>
        </is>
      </c>
      <c r="F58" s="74" t="inlineStr">
        <is>
          <t>Shepparton DM Roads Workshop</t>
        </is>
      </c>
      <c r="G58" s="74" t="inlineStr">
        <is>
          <t>12-28 Apollo Drive Shepparton VIC 3630</t>
        </is>
      </c>
      <c r="H58" s="74" t="inlineStr">
        <is>
          <t>DOWNER EDI WORKS PTY LTD (ABN: 66 008 709 608)</t>
        </is>
      </c>
      <c r="I58" s="74" t="inlineStr">
        <is>
          <t>Roads</t>
        </is>
      </c>
      <c r="J58" s="74" t="inlineStr">
        <is>
          <t>kWh</t>
        </is>
      </c>
      <c r="K58" s="89" t="n">
        <v>33744</v>
      </c>
      <c r="L58" s="74" t="inlineStr">
        <is>
          <t>AGL</t>
        </is>
      </c>
      <c r="M58" s="90" t="inlineStr">
        <is>
          <t>Origin</t>
        </is>
      </c>
      <c r="N58" s="90" t="n">
        <v>46204</v>
      </c>
      <c r="O58" s="90" t="n">
        <v>46934</v>
      </c>
      <c r="P58" s="74" t="inlineStr">
        <is>
          <t>24 months</t>
        </is>
      </c>
      <c r="Q58" s="91">
        <f t="array" ref="Q58:S58">IFERROR(ROUNDUP(_xlfn.XLOOKUP(A58,'Budget FY26-28'!A:A,'Budget FY26-28'!M:O)*(1+Summary!$C$2), -2), "")</f>
        <v/>
      </c>
      <c r="R58" s="91" t="n">
        <v>8700</v>
      </c>
      <c r="S58" s="91" t="n">
        <v>8700</v>
      </c>
      <c r="T58" s="74" t="inlineStr">
        <is>
          <t>Ready</t>
        </is>
      </c>
      <c r="U58" s="78" t="n"/>
      <c r="V58" s="84" t="inlineStr">
        <is>
          <t>7103814674_6203606598</t>
        </is>
      </c>
      <c r="W58" s="84" t="inlineStr">
        <is>
          <t>Electricity Small Market</t>
        </is>
      </c>
      <c r="X58" s="84" t="inlineStr">
        <is>
          <t>Electricity [kWh]</t>
        </is>
      </c>
      <c r="Y58" s="84" t="inlineStr">
        <is>
          <t>AGL</t>
        </is>
      </c>
      <c r="Z58" s="84" t="inlineStr">
        <is>
          <t>Asphalt Prod - Shepparton (308)</t>
        </is>
      </c>
      <c r="AA58" s="84" t="inlineStr">
        <is>
          <t>308</t>
        </is>
      </c>
      <c r="AB58" s="84" t="inlineStr">
        <is>
          <t>Active</t>
        </is>
      </c>
      <c r="AC58" s="84" t="inlineStr">
        <is>
          <t>Connection ID is the account number suffix</t>
        </is>
      </c>
      <c r="AD58" s="85" t="inlineStr"/>
      <c r="AE58" s="85" t="inlineStr">
        <is>
          <t>LGCS_VCCCSC0020 (at this location, different ID) - historical</t>
        </is>
      </c>
    </row>
    <row r="59" customFormat="1" s="79">
      <c r="A59" s="73" t="n">
        <v>6203613570</v>
      </c>
      <c r="B59" s="74" t="inlineStr">
        <is>
          <t>Electricity</t>
        </is>
      </c>
      <c r="C59" s="74" t="inlineStr">
        <is>
          <t>Australia</t>
        </is>
      </c>
      <c r="D59" s="74" t="inlineStr">
        <is>
          <t>VIC</t>
        </is>
      </c>
      <c r="E59" s="74" t="inlineStr">
        <is>
          <t>AU Small Energy</t>
        </is>
      </c>
      <c r="F59" s="74" t="inlineStr">
        <is>
          <t>Ausnet Gas Portland</t>
        </is>
      </c>
      <c r="G59" s="74" t="inlineStr">
        <is>
          <t>102 Browning St Portland VIC 3305</t>
        </is>
      </c>
      <c r="H59" s="74" t="inlineStr">
        <is>
          <t>DOWNER UTILITIES AUSTRALIA PTY LTD (ABN: 65 075 194 857)</t>
        </is>
      </c>
      <c r="I59" s="74" t="inlineStr">
        <is>
          <t>Utilities</t>
        </is>
      </c>
      <c r="J59" s="74" t="inlineStr">
        <is>
          <t>kWh</t>
        </is>
      </c>
      <c r="K59" s="89" t="n">
        <v>2010</v>
      </c>
      <c r="L59" s="74" t="inlineStr">
        <is>
          <t>Origin</t>
        </is>
      </c>
      <c r="M59" s="90" t="inlineStr">
        <is>
          <t>Origin</t>
        </is>
      </c>
      <c r="N59" s="90" t="n">
        <v>46204</v>
      </c>
      <c r="O59" s="90" t="n">
        <v>46934</v>
      </c>
      <c r="P59" s="74" t="inlineStr">
        <is>
          <t>24 months</t>
        </is>
      </c>
      <c r="Q59" s="91">
        <f t="array" ref="Q59:S59">IFERROR(ROUNDUP(_xlfn.XLOOKUP(A59,'Budget FY26-28'!A:A,'Budget FY26-28'!M:O)*(1+Summary!$C$2), -2), "")</f>
        <v/>
      </c>
      <c r="R59" s="91" t="n">
        <v>1100</v>
      </c>
      <c r="S59" s="91" t="n">
        <v>1100</v>
      </c>
      <c r="T59" s="74" t="inlineStr">
        <is>
          <t>Ready</t>
        </is>
      </c>
      <c r="U59" s="78" t="n"/>
      <c r="V59" s="84" t="inlineStr">
        <is>
          <t>A-4BD00928_6203613570</t>
        </is>
      </c>
      <c r="W59" s="84" t="inlineStr">
        <is>
          <t>Electricity Small Market</t>
        </is>
      </c>
      <c r="X59" s="84" t="inlineStr">
        <is>
          <t>Electricity [kWh]</t>
        </is>
      </c>
      <c r="Y59" s="84" t="inlineStr">
        <is>
          <t>Origin</t>
        </is>
      </c>
      <c r="Z59" s="84" t="inlineStr">
        <is>
          <t>Ausnet_Gas_Portland - Browning</t>
        </is>
      </c>
      <c r="AA59" s="84" t="inlineStr">
        <is>
          <t>AGPLB</t>
        </is>
      </c>
      <c r="AB59" s="84" t="inlineStr">
        <is>
          <t>Active</t>
        </is>
      </c>
      <c r="AC59" s="84" t="inlineStr">
        <is>
          <t>Connection ID is the account number suffix</t>
        </is>
      </c>
      <c r="AD59" s="85" t="inlineStr"/>
      <c r="AE59" s="85" t="inlineStr"/>
    </row>
    <row r="60" customFormat="1" s="79">
      <c r="A60" s="73" t="n">
        <v>6203616394</v>
      </c>
      <c r="B60" s="74" t="inlineStr">
        <is>
          <t>Electricity</t>
        </is>
      </c>
      <c r="C60" s="74" t="inlineStr">
        <is>
          <t>Australia</t>
        </is>
      </c>
      <c r="D60" s="74" t="inlineStr">
        <is>
          <t>VIC</t>
        </is>
      </c>
      <c r="E60" s="74" t="inlineStr">
        <is>
          <t>AU Small Energy</t>
        </is>
      </c>
      <c r="F60" s="74" t="inlineStr">
        <is>
          <t>Utilities - Warrambool</t>
        </is>
      </c>
      <c r="G60" s="74" t="inlineStr">
        <is>
          <t>13 DICKSON STREET WARRNAMBOOL VIC 3280</t>
        </is>
      </c>
      <c r="H60" s="74" t="inlineStr">
        <is>
          <t>DOWNER UTILITIES AUSTRALIA PTY LTD (ABN: 65 075 194 857)</t>
        </is>
      </c>
      <c r="I60" s="74" t="inlineStr">
        <is>
          <t>Utilities</t>
        </is>
      </c>
      <c r="J60" s="74" t="inlineStr">
        <is>
          <t>kWh</t>
        </is>
      </c>
      <c r="K60" s="89" t="n">
        <v>4760</v>
      </c>
      <c r="L60" s="74" t="inlineStr">
        <is>
          <t>AGL</t>
        </is>
      </c>
      <c r="M60" s="90" t="inlineStr">
        <is>
          <t>Origin</t>
        </is>
      </c>
      <c r="N60" s="90" t="n">
        <v>46204</v>
      </c>
      <c r="O60" s="90" t="n">
        <v>46934</v>
      </c>
      <c r="P60" s="74" t="inlineStr">
        <is>
          <t>24 months</t>
        </is>
      </c>
      <c r="Q60" s="91">
        <f t="array" ref="Q60:S60">IFERROR(ROUNDUP(_xlfn.XLOOKUP(A60,'Budget FY26-28'!A:A,'Budget FY26-28'!M:O)*(1+Summary!$C$2), -2), "")</f>
        <v/>
      </c>
      <c r="R60" s="91" t="n">
        <v>1700</v>
      </c>
      <c r="S60" s="91" t="n">
        <v>1700</v>
      </c>
      <c r="T60" s="74" t="inlineStr">
        <is>
          <t>Ready</t>
        </is>
      </c>
      <c r="U60" s="78" t="n"/>
      <c r="V60" s="84" t="inlineStr">
        <is>
          <t>7099172954_6203616394</t>
        </is>
      </c>
      <c r="W60" s="84" t="inlineStr">
        <is>
          <t>Electricity Small Market</t>
        </is>
      </c>
      <c r="X60" s="84" t="inlineStr">
        <is>
          <t>Electricity [kWh]</t>
        </is>
      </c>
      <c r="Y60" s="84" t="inlineStr">
        <is>
          <t>AGL</t>
        </is>
      </c>
      <c r="Z60" s="84" t="inlineStr">
        <is>
          <t>Ausnet_Gas_Warrnambool</t>
        </is>
      </c>
      <c r="AA60" s="84" t="inlineStr">
        <is>
          <t>AGWB</t>
        </is>
      </c>
      <c r="AB60" s="84" t="inlineStr">
        <is>
          <t>Active</t>
        </is>
      </c>
      <c r="AC60" s="84" t="inlineStr">
        <is>
          <t>Connection ID is the account number suffix</t>
        </is>
      </c>
      <c r="AD60" s="85" t="inlineStr">
        <is>
          <t>7510340718_6203616394; 300032541280_6203616394</t>
        </is>
      </c>
      <c r="AE60" s="85" t="inlineStr"/>
    </row>
    <row r="61" customFormat="1" s="79">
      <c r="A61" s="73" t="n">
        <v>6203723433</v>
      </c>
      <c r="B61" s="74" t="inlineStr">
        <is>
          <t>Electricity</t>
        </is>
      </c>
      <c r="C61" s="74" t="inlineStr">
        <is>
          <t>Australia</t>
        </is>
      </c>
      <c r="D61" s="74" t="inlineStr">
        <is>
          <t>VIC</t>
        </is>
      </c>
      <c r="E61" s="74" t="inlineStr">
        <is>
          <t>AU Small Energy</t>
        </is>
      </c>
      <c r="F61" s="74" t="inlineStr">
        <is>
          <t>Utilities - Colac</t>
        </is>
      </c>
      <c r="G61" s="74" t="inlineStr">
        <is>
          <t>49 ROSSMOYNE ROAD COLAC WEST VIC 3250</t>
        </is>
      </c>
      <c r="H61" s="74" t="inlineStr">
        <is>
          <t>DOWNER UTILITIES AUSTRALIA PTY LTD (ABN: 65 075 194 857)</t>
        </is>
      </c>
      <c r="I61" s="74" t="inlineStr">
        <is>
          <t>Utilities</t>
        </is>
      </c>
      <c r="J61" s="74" t="inlineStr">
        <is>
          <t>kWh</t>
        </is>
      </c>
      <c r="K61" s="89" t="n">
        <v>1966</v>
      </c>
      <c r="L61" s="74" t="inlineStr">
        <is>
          <t>AGL</t>
        </is>
      </c>
      <c r="M61" s="90" t="inlineStr">
        <is>
          <t>Origin</t>
        </is>
      </c>
      <c r="N61" s="90" t="n">
        <v>46204</v>
      </c>
      <c r="O61" s="90" t="n">
        <v>46934</v>
      </c>
      <c r="P61" s="74" t="inlineStr">
        <is>
          <t>24 months</t>
        </is>
      </c>
      <c r="Q61" s="91">
        <f t="array" ref="Q61:S61">IFERROR(ROUNDUP(_xlfn.XLOOKUP(A61,'Budget FY26-28'!A:A,'Budget FY26-28'!M:O)*(1+Summary!$C$2), -2), "")</f>
        <v/>
      </c>
      <c r="R61" s="91" t="n">
        <v>1100</v>
      </c>
      <c r="S61" s="91" t="n">
        <v>1100</v>
      </c>
      <c r="T61" s="74" t="inlineStr">
        <is>
          <t>Ready</t>
        </is>
      </c>
      <c r="U61" s="78" t="n"/>
      <c r="V61" s="84" t="inlineStr">
        <is>
          <t>7099171279_6203723433</t>
        </is>
      </c>
      <c r="W61" s="84" t="inlineStr">
        <is>
          <t>Electricity Small Market</t>
        </is>
      </c>
      <c r="X61" s="84" t="inlineStr">
        <is>
          <t>Electricity [kWh]</t>
        </is>
      </c>
      <c r="Y61" s="84" t="inlineStr">
        <is>
          <t>AGL</t>
        </is>
      </c>
      <c r="Z61" s="84" t="inlineStr">
        <is>
          <t>Ausnet_Gas_Colac West</t>
        </is>
      </c>
      <c r="AA61" s="84" t="inlineStr">
        <is>
          <t>AGCW</t>
        </is>
      </c>
      <c r="AB61" s="84" t="inlineStr">
        <is>
          <t>Active</t>
        </is>
      </c>
      <c r="AC61" s="84" t="inlineStr">
        <is>
          <t>Connection ID is the account number suffix</t>
        </is>
      </c>
      <c r="AD61" s="85" t="inlineStr">
        <is>
          <t>300023859196_6203723433</t>
        </is>
      </c>
      <c r="AE61" s="85" t="inlineStr"/>
    </row>
    <row r="62" customFormat="1" s="79">
      <c r="A62" s="73" t="n">
        <v>6203834591</v>
      </c>
      <c r="B62" s="74" t="inlineStr">
        <is>
          <t>Electricity</t>
        </is>
      </c>
      <c r="C62" s="74" t="inlineStr">
        <is>
          <t>Australia</t>
        </is>
      </c>
      <c r="D62" s="74" t="inlineStr">
        <is>
          <t>VIC</t>
        </is>
      </c>
      <c r="E62" s="74" t="inlineStr">
        <is>
          <t>AU Small Energy</t>
        </is>
      </c>
      <c r="F62" s="74" t="inlineStr">
        <is>
          <t>DM Roads -Melton</t>
        </is>
      </c>
      <c r="G62" s="74" t="inlineStr">
        <is>
          <t>90 High Street Melton VIC 3337</t>
        </is>
      </c>
      <c r="H62" s="74" t="inlineStr">
        <is>
          <t>DOWNER EDI WORKS PTY LTD (ABN: 66 008 709 608)</t>
        </is>
      </c>
      <c r="I62" s="74" t="inlineStr">
        <is>
          <t>DM Roads</t>
        </is>
      </c>
      <c r="J62" s="74" t="inlineStr">
        <is>
          <t>kWh</t>
        </is>
      </c>
      <c r="K62" s="89" t="n">
        <v>14148</v>
      </c>
      <c r="L62" s="74" t="inlineStr">
        <is>
          <t>AGL</t>
        </is>
      </c>
      <c r="M62" s="90" t="inlineStr">
        <is>
          <t>Origin</t>
        </is>
      </c>
      <c r="N62" s="90" t="n">
        <v>46204</v>
      </c>
      <c r="O62" s="90" t="n">
        <v>46934</v>
      </c>
      <c r="P62" s="74" t="inlineStr">
        <is>
          <t>24 months</t>
        </is>
      </c>
      <c r="Q62" s="91">
        <f t="array" ref="Q62:S62">IFERROR(ROUNDUP(_xlfn.XLOOKUP(A62,'Budget FY26-28'!A:A,'Budget FY26-28'!M:O)*(1+Summary!$C$2), -2), "")</f>
        <v/>
      </c>
      <c r="R62" s="91" t="n">
        <v>3900</v>
      </c>
      <c r="S62" s="91" t="n">
        <v>3900</v>
      </c>
      <c r="T62" s="74" t="inlineStr">
        <is>
          <t>Ready</t>
        </is>
      </c>
      <c r="U62" s="78" t="n"/>
      <c r="V62" s="84" t="inlineStr">
        <is>
          <t>7099510799_6203834591</t>
        </is>
      </c>
      <c r="W62" s="84" t="inlineStr">
        <is>
          <t>Electricity Small Market</t>
        </is>
      </c>
      <c r="X62" s="84" t="inlineStr">
        <is>
          <t>Electricity [kWh]</t>
        </is>
      </c>
      <c r="Y62" s="84" t="inlineStr">
        <is>
          <t>AGL</t>
        </is>
      </c>
      <c r="Z62" s="84" t="inlineStr">
        <is>
          <t>City of Melton Roads and Drainage Asset Maintenanc</t>
        </is>
      </c>
      <c r="AA62" s="84" t="inlineStr">
        <is>
          <t>L9.J.170232</t>
        </is>
      </c>
      <c r="AB62" s="84" t="inlineStr">
        <is>
          <t>Active</t>
        </is>
      </c>
      <c r="AC62" s="84" t="inlineStr">
        <is>
          <t>Connection ID is the account number suffix</t>
        </is>
      </c>
      <c r="AD62" s="85" t="inlineStr">
        <is>
          <t>LGCS_6203834591; 7099172939_6203834591; 1868971_6203834591</t>
        </is>
      </c>
      <c r="AE62" s="85" t="inlineStr">
        <is>
          <t>LGCS_6203834591 - historical</t>
        </is>
      </c>
    </row>
    <row r="63" customFormat="1" s="79">
      <c r="A63" s="73" t="n">
        <v>6203842158</v>
      </c>
      <c r="B63" s="74" t="inlineStr">
        <is>
          <t>Electricity</t>
        </is>
      </c>
      <c r="C63" s="74" t="inlineStr">
        <is>
          <t>Australia</t>
        </is>
      </c>
      <c r="D63" s="74" t="inlineStr">
        <is>
          <t>VIC</t>
        </is>
      </c>
      <c r="E63" s="74" t="inlineStr">
        <is>
          <t>AU Small Energy</t>
        </is>
      </c>
      <c r="F63" s="74" t="inlineStr">
        <is>
          <t>Utilities - Horsham</t>
        </is>
      </c>
      <c r="G63" s="74" t="inlineStr">
        <is>
          <t>10 BALLINGER STREET HORSHAM VIC 3400</t>
        </is>
      </c>
      <c r="H63" s="74" t="inlineStr">
        <is>
          <t>DOWNER UTILITIES AUSTRALIA PTY LTD (ABN: 65 075 194 857)</t>
        </is>
      </c>
      <c r="I63" s="74" t="inlineStr">
        <is>
          <t>Utilities</t>
        </is>
      </c>
      <c r="J63" s="74" t="inlineStr">
        <is>
          <t>kWh</t>
        </is>
      </c>
      <c r="K63" s="89" t="n">
        <v>6286</v>
      </c>
      <c r="L63" s="74" t="inlineStr">
        <is>
          <t>AGL</t>
        </is>
      </c>
      <c r="M63" s="90" t="inlineStr">
        <is>
          <t>Origin</t>
        </is>
      </c>
      <c r="N63" s="90" t="n">
        <v>46204</v>
      </c>
      <c r="O63" s="90" t="n">
        <v>46934</v>
      </c>
      <c r="P63" s="74" t="inlineStr">
        <is>
          <t>24 months</t>
        </is>
      </c>
      <c r="Q63" s="91">
        <f t="array" ref="Q63:S63">IFERROR(ROUNDUP(_xlfn.XLOOKUP(A63,'Budget FY26-28'!A:A,'Budget FY26-28'!M:O)*(1+Summary!$C$2), -2), "")</f>
        <v/>
      </c>
      <c r="R63" s="91" t="n">
        <v>2100</v>
      </c>
      <c r="S63" s="91" t="n">
        <v>2100</v>
      </c>
      <c r="T63" s="74" t="inlineStr">
        <is>
          <t>Ready</t>
        </is>
      </c>
      <c r="U63" s="78" t="n"/>
      <c r="V63" s="84" t="inlineStr">
        <is>
          <t>7099173036_6203842158</t>
        </is>
      </c>
      <c r="W63" s="84" t="inlineStr">
        <is>
          <t>Electricity Small Market</t>
        </is>
      </c>
      <c r="X63" s="84" t="inlineStr">
        <is>
          <t>Electricity [kWh]</t>
        </is>
      </c>
      <c r="Y63" s="84" t="inlineStr">
        <is>
          <t>AGL</t>
        </is>
      </c>
      <c r="Z63" s="84" t="inlineStr">
        <is>
          <t>Horsham - Ballinger St</t>
        </is>
      </c>
      <c r="AA63" s="84" t="inlineStr">
        <is>
          <t>2027</t>
        </is>
      </c>
      <c r="AB63" s="84" t="inlineStr">
        <is>
          <t>Active</t>
        </is>
      </c>
      <c r="AC63" s="84" t="inlineStr">
        <is>
          <t>Connection ID is the account number suffix</t>
        </is>
      </c>
      <c r="AD63" s="85" t="inlineStr">
        <is>
          <t>0620269716_6203842158; 300038025023_6203842158; 300039184647_6203842158</t>
        </is>
      </c>
      <c r="AE63" s="85" t="inlineStr"/>
    </row>
    <row r="64" customFormat="1" s="79">
      <c r="A64" s="73" t="n">
        <v>6305487004</v>
      </c>
      <c r="B64" s="74" t="inlineStr">
        <is>
          <t>Electricity</t>
        </is>
      </c>
      <c r="C64" s="74" t="inlineStr">
        <is>
          <t>Australia</t>
        </is>
      </c>
      <c r="D64" s="74" t="inlineStr">
        <is>
          <t>VIC</t>
        </is>
      </c>
      <c r="E64" s="74" t="inlineStr">
        <is>
          <t>AU Small Energy</t>
        </is>
      </c>
      <c r="F64" s="74" t="inlineStr">
        <is>
          <t>Property Lease - Broadford</t>
        </is>
      </c>
      <c r="G64" s="74" t="inlineStr">
        <is>
          <t>10 CAMERON PDE BROADFORD VIC</t>
        </is>
      </c>
      <c r="H64" s="74" t="inlineStr">
        <is>
          <t>DOWNER EDI WORKS PTY LTD (ABN: 66 008 709 608)</t>
        </is>
      </c>
      <c r="I64" s="74" t="inlineStr">
        <is>
          <t>DM Roads</t>
        </is>
      </c>
      <c r="J64" s="74" t="inlineStr">
        <is>
          <t>kWh</t>
        </is>
      </c>
      <c r="K64" s="89" t="n">
        <v>11315</v>
      </c>
      <c r="L64" s="74" t="inlineStr">
        <is>
          <t>AGL</t>
        </is>
      </c>
      <c r="M64" s="90" t="inlineStr">
        <is>
          <t>Origin</t>
        </is>
      </c>
      <c r="N64" s="90" t="n">
        <v>46204</v>
      </c>
      <c r="O64" s="90" t="n">
        <v>46934</v>
      </c>
      <c r="P64" s="74" t="inlineStr">
        <is>
          <t>24 months</t>
        </is>
      </c>
      <c r="Q64" s="91">
        <f t="array" ref="Q64:S64">IFERROR(ROUNDUP(_xlfn.XLOOKUP(A64,'Budget FY26-28'!A:A,'Budget FY26-28'!M:O)*(1+Summary!$C$2), -2), "")</f>
        <v/>
      </c>
      <c r="R64" s="91" t="n">
        <v>3300</v>
      </c>
      <c r="S64" s="91" t="n">
        <v>3300</v>
      </c>
      <c r="T64" s="74" t="inlineStr">
        <is>
          <t>Ready</t>
        </is>
      </c>
      <c r="U64" s="78" t="n"/>
      <c r="V64" s="84" t="inlineStr">
        <is>
          <t>7120528919_6305487004</t>
        </is>
      </c>
      <c r="W64" s="84" t="inlineStr">
        <is>
          <t>Electricity Small Market</t>
        </is>
      </c>
      <c r="X64" s="84" t="inlineStr">
        <is>
          <t>Electricity [kWh]</t>
        </is>
      </c>
      <c r="Y64" s="84" t="inlineStr">
        <is>
          <t>AGL</t>
        </is>
      </c>
      <c r="Z64" s="84" t="inlineStr">
        <is>
          <t>VIC, Broadford (10 Cameron Parade)</t>
        </is>
      </c>
      <c r="AA64" s="84" t="inlineStr">
        <is>
          <t>DOWN0738</t>
        </is>
      </c>
      <c r="AB64" s="84" t="inlineStr">
        <is>
          <t>Active</t>
        </is>
      </c>
      <c r="AC64" s="84" t="inlineStr">
        <is>
          <t>Connection ID is the account number suffix</t>
        </is>
      </c>
      <c r="AD64" s="85" t="inlineStr"/>
      <c r="AE64" s="85" t="inlineStr"/>
    </row>
    <row r="65" customFormat="1" s="79">
      <c r="A65" s="73" t="n">
        <v>6305812613</v>
      </c>
      <c r="B65" s="74" t="inlineStr">
        <is>
          <t>Electricity</t>
        </is>
      </c>
      <c r="C65" s="74" t="inlineStr">
        <is>
          <t>Australia</t>
        </is>
      </c>
      <c r="D65" s="74" t="inlineStr">
        <is>
          <t>VIC</t>
        </is>
      </c>
      <c r="E65" s="74" t="inlineStr">
        <is>
          <t>AU Small Energy</t>
        </is>
      </c>
      <c r="F65" s="74" t="inlineStr">
        <is>
          <t>Roads - Wangaratta</t>
        </is>
      </c>
      <c r="G65" s="74" t="inlineStr">
        <is>
          <t>51 BUCKLER ROAD NORTH WANGARATTA VIC 3677</t>
        </is>
      </c>
      <c r="H65" s="74" t="inlineStr">
        <is>
          <t>DOWNER EDI WORKS PTY LTD (ABN: 66 008 709 608)</t>
        </is>
      </c>
      <c r="I65" s="74" t="inlineStr">
        <is>
          <t>ROAD SERVICES</t>
        </is>
      </c>
      <c r="J65" s="74" t="inlineStr">
        <is>
          <t>kWh</t>
        </is>
      </c>
      <c r="K65" s="89" t="n">
        <v>33004</v>
      </c>
      <c r="L65" s="74" t="inlineStr">
        <is>
          <t>AGL</t>
        </is>
      </c>
      <c r="M65" s="90" t="inlineStr">
        <is>
          <t>Origin</t>
        </is>
      </c>
      <c r="N65" s="90" t="n">
        <v>46204</v>
      </c>
      <c r="O65" s="90" t="n">
        <v>46934</v>
      </c>
      <c r="P65" s="74" t="inlineStr">
        <is>
          <t>24 months</t>
        </is>
      </c>
      <c r="Q65" s="91">
        <f t="array" ref="Q65:S65">IFERROR(ROUNDUP(_xlfn.XLOOKUP(A65,'Budget FY26-28'!A:A,'Budget FY26-28'!M:O)*(1+Summary!$C$2), -2), "")</f>
        <v/>
      </c>
      <c r="R65" s="91" t="n">
        <v>8700</v>
      </c>
      <c r="S65" s="91" t="n">
        <v>8700</v>
      </c>
      <c r="T65" s="74" t="inlineStr">
        <is>
          <t>Ready</t>
        </is>
      </c>
      <c r="U65" s="78" t="n"/>
      <c r="V65" s="84" t="inlineStr">
        <is>
          <t>7099172194_6305812613</t>
        </is>
      </c>
      <c r="W65" s="84" t="inlineStr">
        <is>
          <t>Electricity Small Market</t>
        </is>
      </c>
      <c r="X65" s="84" t="inlineStr">
        <is>
          <t>Electricity [kWh]</t>
        </is>
      </c>
      <c r="Y65" s="84" t="inlineStr">
        <is>
          <t>AGL</t>
        </is>
      </c>
      <c r="Z65" s="84" t="inlineStr">
        <is>
          <t>Wangaratta</t>
        </is>
      </c>
      <c r="AA65" s="84" t="inlineStr">
        <is>
          <t>17081070</t>
        </is>
      </c>
      <c r="AB65" s="84" t="inlineStr">
        <is>
          <t>Active</t>
        </is>
      </c>
      <c r="AC65" s="84" t="inlineStr">
        <is>
          <t>Connection ID is the account number suffix</t>
        </is>
      </c>
      <c r="AD65" s="85" t="inlineStr">
        <is>
          <t>LGCS_6305812613; 4173353522_6305812613; 300019223902_6305812613</t>
        </is>
      </c>
      <c r="AE65" s="85" t="inlineStr">
        <is>
          <t>LGCS_6305812613 - historical</t>
        </is>
      </c>
    </row>
    <row r="66" customFormat="1" s="79">
      <c r="A66" s="73" t="n">
        <v>6305983844</v>
      </c>
      <c r="B66" s="74" t="inlineStr">
        <is>
          <t>Electricity</t>
        </is>
      </c>
      <c r="C66" s="74" t="inlineStr">
        <is>
          <t>Australia</t>
        </is>
      </c>
      <c r="D66" s="74" t="inlineStr">
        <is>
          <t>VIC</t>
        </is>
      </c>
      <c r="E66" s="74" t="inlineStr">
        <is>
          <t>AU Small Energy</t>
        </is>
      </c>
      <c r="F66" s="74" t="inlineStr">
        <is>
          <t>Fowlers Asphalt - Bairnsdale</t>
        </is>
      </c>
      <c r="G66" s="74" t="inlineStr">
        <is>
          <t>15 Rovan Pl Bairnsdale VIC 3875</t>
        </is>
      </c>
      <c r="H66" s="74" t="inlineStr">
        <is>
          <t>FOWLERS ASPHALTING PTY. LIMITED (ABN: 86 007 406 386)</t>
        </is>
      </c>
      <c r="I66" s="74" t="inlineStr">
        <is>
          <t>ROAD SERVICES</t>
        </is>
      </c>
      <c r="J66" s="74" t="inlineStr">
        <is>
          <t>kWh</t>
        </is>
      </c>
      <c r="K66" s="89" t="n">
        <v>18825</v>
      </c>
      <c r="L66" s="74" t="inlineStr">
        <is>
          <t>AGL</t>
        </is>
      </c>
      <c r="M66" s="90" t="inlineStr">
        <is>
          <t>Origin</t>
        </is>
      </c>
      <c r="N66" s="90" t="n">
        <v>46204</v>
      </c>
      <c r="O66" s="90" t="n">
        <v>46934</v>
      </c>
      <c r="P66" s="74" t="inlineStr">
        <is>
          <t>24 months</t>
        </is>
      </c>
      <c r="Q66" s="91">
        <f t="array" ref="Q66:S66">IFERROR(ROUNDUP(_xlfn.XLOOKUP(A66,'Budget FY26-28'!A:A,'Budget FY26-28'!M:O)*(1+Summary!$C$2), -2), "")</f>
        <v/>
      </c>
      <c r="R66" s="91" t="n">
        <v>5200</v>
      </c>
      <c r="S66" s="91" t="n">
        <v>5200</v>
      </c>
      <c r="T66" s="74" t="inlineStr">
        <is>
          <t>Ready</t>
        </is>
      </c>
      <c r="U66" s="78" t="n"/>
      <c r="V66" s="84" t="inlineStr">
        <is>
          <t>7099547411_6305983844</t>
        </is>
      </c>
      <c r="W66" s="84" t="inlineStr">
        <is>
          <t>Electricity Small Market</t>
        </is>
      </c>
      <c r="X66" s="84" t="inlineStr">
        <is>
          <t>Electricity [kWh]</t>
        </is>
      </c>
      <c r="Y66" s="84" t="inlineStr">
        <is>
          <t>AGL</t>
        </is>
      </c>
      <c r="Z66" s="84" t="inlineStr">
        <is>
          <t>Tarmac Line Marking, Bairnsdale Depot</t>
        </is>
      </c>
      <c r="AA66" s="84" t="inlineStr">
        <is>
          <t>L9.J.17030829</t>
        </is>
      </c>
      <c r="AB66" s="84" t="inlineStr">
        <is>
          <t>Active</t>
        </is>
      </c>
      <c r="AC66" s="84" t="inlineStr">
        <is>
          <t>Connection ID is the account number suffix</t>
        </is>
      </c>
      <c r="AD66" s="85" t="inlineStr">
        <is>
          <t>LGCS_6305983844; 0441568333_6305983844; 2288973295_6305983844</t>
        </is>
      </c>
      <c r="AE66" s="85" t="inlineStr">
        <is>
          <t>LGCS_6305983844 - historical</t>
        </is>
      </c>
    </row>
    <row r="67" customFormat="1" s="79">
      <c r="A67" s="73" t="n">
        <v>6407387461</v>
      </c>
      <c r="B67" s="74" t="inlineStr">
        <is>
          <t>Electricity</t>
        </is>
      </c>
      <c r="C67" s="74" t="inlineStr">
        <is>
          <t>Australia</t>
        </is>
      </c>
      <c r="D67" s="74" t="inlineStr">
        <is>
          <t>VIC</t>
        </is>
      </c>
      <c r="E67" s="74" t="inlineStr">
        <is>
          <t>AU Small Energy</t>
        </is>
      </c>
      <c r="F67" s="74" t="inlineStr">
        <is>
          <t>Spotless UAM - Manufacturing Plant</t>
        </is>
      </c>
      <c r="G67" s="74" t="inlineStr">
        <is>
          <t>2 MURRA STREET BENTLEIGH EAST VIC 3165</t>
        </is>
      </c>
      <c r="H67" s="74" t="inlineStr">
        <is>
          <t>Utilities Asset Management Pty Ltd (ABN: TBC)</t>
        </is>
      </c>
      <c r="I67" s="74" t="inlineStr">
        <is>
          <t>SPOTLESS</t>
        </is>
      </c>
      <c r="J67" s="74" t="inlineStr">
        <is>
          <t>kWh</t>
        </is>
      </c>
      <c r="K67" s="89" t="n">
        <v>25187</v>
      </c>
      <c r="L67" s="74" t="inlineStr">
        <is>
          <t>AGL</t>
        </is>
      </c>
      <c r="M67" s="90" t="inlineStr">
        <is>
          <t>Origin</t>
        </is>
      </c>
      <c r="N67" s="90" t="n">
        <v>46204</v>
      </c>
      <c r="O67" s="90" t="n">
        <v>46934</v>
      </c>
      <c r="P67" s="74" t="inlineStr">
        <is>
          <t>24 months</t>
        </is>
      </c>
      <c r="Q67" s="91">
        <f t="array" ref="Q67:S67">IFERROR(ROUNDUP(_xlfn.XLOOKUP(A67,'Budget FY26-28'!A:A,'Budget FY26-28'!M:O)*(1+Summary!$C$2), -2), "")</f>
        <v/>
      </c>
      <c r="R67" s="91" t="n">
        <v>5900</v>
      </c>
      <c r="S67" s="91" t="n">
        <v>5900</v>
      </c>
      <c r="T67" s="74" t="inlineStr">
        <is>
          <t>Ready</t>
        </is>
      </c>
      <c r="U67" s="78" t="n"/>
      <c r="V67" s="84" t="inlineStr">
        <is>
          <t>7099172889_6407387461</t>
        </is>
      </c>
      <c r="W67" s="84" t="inlineStr">
        <is>
          <t>Electricity Small Market</t>
        </is>
      </c>
      <c r="X67" s="84" t="inlineStr">
        <is>
          <t>Electricity [kWh]</t>
        </is>
      </c>
      <c r="Y67" s="84" t="inlineStr">
        <is>
          <t>AGL</t>
        </is>
      </c>
      <c r="Z67" s="84" t="inlineStr">
        <is>
          <t>UAM - Bentleigh East</t>
        </is>
      </c>
      <c r="AA67" s="84" t="inlineStr">
        <is>
          <t>9117</t>
        </is>
      </c>
      <c r="AB67" s="84" t="inlineStr">
        <is>
          <t>Active</t>
        </is>
      </c>
      <c r="AC67" s="84" t="inlineStr">
        <is>
          <t>Connection ID is the account number suffix</t>
        </is>
      </c>
      <c r="AD67" s="85" t="inlineStr">
        <is>
          <t>21295365_6407387461; 6373106072_6407387461; 300040431722_6407387461</t>
        </is>
      </c>
      <c r="AE67" s="85" t="inlineStr"/>
    </row>
    <row r="68" customFormat="1" s="79">
      <c r="A68" s="73" t="n">
        <v>6407695648</v>
      </c>
      <c r="B68" s="74" t="inlineStr">
        <is>
          <t>Electricity</t>
        </is>
      </c>
      <c r="C68" s="74" t="inlineStr">
        <is>
          <t>Australia</t>
        </is>
      </c>
      <c r="D68" s="74" t="inlineStr">
        <is>
          <t>VIC</t>
        </is>
      </c>
      <c r="E68" s="74" t="inlineStr">
        <is>
          <t>AU Small Energy</t>
        </is>
      </c>
      <c r="F68" s="74" t="inlineStr">
        <is>
          <t>Spotless - Skilltech</t>
        </is>
      </c>
      <c r="G68" s="74" t="inlineStr">
        <is>
          <t>Factory U2/ 200 WELLINGTON ROAD MULGRAVE VIC 3170</t>
        </is>
      </c>
      <c r="H68" s="74" t="inlineStr">
        <is>
          <t>SKILLTECH CONSULTING SERVICES PTY. LTD. (ABN: 14 007 162 647)</t>
        </is>
      </c>
      <c r="I68" s="74" t="inlineStr">
        <is>
          <t>SPOTLESS</t>
        </is>
      </c>
      <c r="J68" s="74" t="inlineStr">
        <is>
          <t>kWh</t>
        </is>
      </c>
      <c r="K68" s="89" t="n">
        <v>13969</v>
      </c>
      <c r="L68" s="74" t="inlineStr">
        <is>
          <t>AGL</t>
        </is>
      </c>
      <c r="M68" s="90" t="inlineStr">
        <is>
          <t>Origin</t>
        </is>
      </c>
      <c r="N68" s="90" t="n">
        <v>46204</v>
      </c>
      <c r="O68" s="90" t="n">
        <v>46934</v>
      </c>
      <c r="P68" s="74" t="inlineStr">
        <is>
          <t>24 months</t>
        </is>
      </c>
      <c r="Q68" s="91">
        <f t="array" ref="Q68:S68">IFERROR(ROUNDUP(_xlfn.XLOOKUP(A68,'Budget FY26-28'!A:A,'Budget FY26-28'!M:O)*(1+Summary!$C$2), -2), "")</f>
        <v/>
      </c>
      <c r="R68" s="91" t="n">
        <v>3400</v>
      </c>
      <c r="S68" s="91" t="n">
        <v>3400</v>
      </c>
      <c r="T68" s="74" t="inlineStr">
        <is>
          <t>Ready</t>
        </is>
      </c>
      <c r="U68" s="78" t="n"/>
      <c r="V68" s="84" t="inlineStr">
        <is>
          <t>7099173127_6407695648</t>
        </is>
      </c>
      <c r="W68" s="84" t="inlineStr">
        <is>
          <t>Electricity Small Market</t>
        </is>
      </c>
      <c r="X68" s="84" t="inlineStr">
        <is>
          <t>Electricity [kWh]</t>
        </is>
      </c>
      <c r="Y68" s="84" t="inlineStr">
        <is>
          <t>AGL</t>
        </is>
      </c>
      <c r="Z68" s="84" t="inlineStr">
        <is>
          <t>Mulgrave - Wellington Rd, Clayton</t>
        </is>
      </c>
      <c r="AA68" s="84" t="inlineStr">
        <is>
          <t>9118</t>
        </is>
      </c>
      <c r="AB68" s="84" t="inlineStr">
        <is>
          <t>Active</t>
        </is>
      </c>
      <c r="AC68" s="84" t="inlineStr">
        <is>
          <t>Connection ID is the account number suffix</t>
        </is>
      </c>
      <c r="AD68" s="85" t="inlineStr">
        <is>
          <t>41086067_6407695648; 0825998030_6407695648; 825998030_6407695648; 300040507539_6407695648; 300042684575_6407695648</t>
        </is>
      </c>
      <c r="AE68" s="85" t="inlineStr">
        <is>
          <t>LGCS_6407695655 (at this location, different ID) - historical</t>
        </is>
      </c>
    </row>
    <row r="69" customFormat="1" s="79">
      <c r="A69" s="73" t="n">
        <v>6408293833</v>
      </c>
      <c r="B69" s="74" t="inlineStr">
        <is>
          <t>Electricity</t>
        </is>
      </c>
      <c r="C69" s="74" t="inlineStr">
        <is>
          <t>Australia</t>
        </is>
      </c>
      <c r="D69" s="74" t="inlineStr">
        <is>
          <t>VIC</t>
        </is>
      </c>
      <c r="E69" s="74" t="inlineStr">
        <is>
          <t>AU Small Energy</t>
        </is>
      </c>
      <c r="F69" s="74" t="inlineStr">
        <is>
          <t>Downer Utilites Substations</t>
        </is>
      </c>
      <c r="G69" s="74" t="inlineStr">
        <is>
          <t>71 NAXOS WAY KEYSBOROUGH VIC</t>
        </is>
      </c>
      <c r="H69" s="74" t="inlineStr">
        <is>
          <t>DOWNER UTILITIES AUSTRALIA PTY LTD (ABN: 65 075 194 857)</t>
        </is>
      </c>
      <c r="I69" s="74" t="inlineStr">
        <is>
          <t>241908</t>
        </is>
      </c>
      <c r="J69" s="74" t="inlineStr">
        <is>
          <t>kWh</t>
        </is>
      </c>
      <c r="K69" s="89" t="n">
        <v>13140</v>
      </c>
      <c r="L69" s="74" t="inlineStr">
        <is>
          <t>AGL</t>
        </is>
      </c>
      <c r="M69" s="90" t="inlineStr">
        <is>
          <t>Origin</t>
        </is>
      </c>
      <c r="N69" s="90" t="n">
        <v>46204</v>
      </c>
      <c r="O69" s="90" t="n">
        <v>46934</v>
      </c>
      <c r="P69" s="74" t="inlineStr">
        <is>
          <t>24 months</t>
        </is>
      </c>
      <c r="Q69" s="91">
        <f t="array" ref="Q69:S69">IFERROR(ROUNDUP(_xlfn.XLOOKUP(A69,'Budget FY26-28'!A:A,'Budget FY26-28'!M:O)*(1+Summary!$C$2), -2), "")</f>
        <v/>
      </c>
      <c r="R69" s="91" t="n">
        <v>3300</v>
      </c>
      <c r="S69" s="91" t="n">
        <v>3300</v>
      </c>
      <c r="T69" s="74" t="inlineStr">
        <is>
          <t>Ready</t>
        </is>
      </c>
      <c r="U69" s="78" t="n"/>
      <c r="V69" s="84" t="inlineStr">
        <is>
          <t>7111412230_6408293833</t>
        </is>
      </c>
      <c r="W69" s="84" t="inlineStr">
        <is>
          <t>Electricity Small Market</t>
        </is>
      </c>
      <c r="X69" s="84" t="inlineStr">
        <is>
          <t>Electricity [kWh]</t>
        </is>
      </c>
      <c r="Y69" s="84" t="inlineStr">
        <is>
          <t>AGL</t>
        </is>
      </c>
      <c r="Z69" s="84" t="inlineStr">
        <is>
          <t>VIC, Keysborough (7 Naxos Way)</t>
        </is>
      </c>
      <c r="AA69" s="84" t="inlineStr">
        <is>
          <t>DOWN0767</t>
        </is>
      </c>
      <c r="AB69" s="84" t="inlineStr">
        <is>
          <t>Active</t>
        </is>
      </c>
      <c r="AC69" s="84" t="inlineStr">
        <is>
          <t>Connection ID is the account number suffix</t>
        </is>
      </c>
      <c r="AD69" s="85" t="inlineStr"/>
      <c r="AE69" s="85" t="inlineStr"/>
    </row>
    <row r="70" customFormat="1" s="79">
      <c r="A70" s="73" t="n">
        <v>5240431343</v>
      </c>
      <c r="B70" s="74" t="inlineStr">
        <is>
          <t>Natural Gas</t>
        </is>
      </c>
      <c r="C70" s="74" t="inlineStr">
        <is>
          <t>Australia</t>
        </is>
      </c>
      <c r="D70" s="74" t="inlineStr">
        <is>
          <t>NSW</t>
        </is>
      </c>
      <c r="E70" s="74" t="inlineStr">
        <is>
          <t>AU Small Energy</t>
        </is>
      </c>
      <c r="F70" s="74" t="inlineStr">
        <is>
          <t>NSW Schools 2 -Kelso</t>
        </is>
      </c>
      <c r="G70" s="74" t="inlineStr">
        <is>
          <t>88 BOYD ST KELSO NSW</t>
        </is>
      </c>
      <c r="H70" s="74" t="inlineStr">
        <is>
          <t>SPOTLESS FACILITY SERVICES PTY LTD (ABN: 83 072 293 880)</t>
        </is>
      </c>
      <c r="I70" s="74" t="inlineStr">
        <is>
          <t>Spotless</t>
        </is>
      </c>
      <c r="J70" s="74" t="inlineStr">
        <is>
          <t>MJ</t>
        </is>
      </c>
      <c r="K70" s="89" t="n">
        <v>1000</v>
      </c>
      <c r="L70" s="74" t="inlineStr">
        <is>
          <t>AGL</t>
        </is>
      </c>
      <c r="M70" s="90" t="inlineStr">
        <is>
          <t>Origin</t>
        </is>
      </c>
      <c r="N70" s="90" t="n">
        <v>46204</v>
      </c>
      <c r="O70" s="90" t="n">
        <v>46934</v>
      </c>
      <c r="P70" s="74" t="inlineStr">
        <is>
          <t>24 months</t>
        </is>
      </c>
      <c r="Q70" s="91">
        <f t="array" ref="Q70:S70">IFERROR(ROUNDUP(_xlfn.XLOOKUP(A70,'Budget FY26-28'!A:A,'Budget FY26-28'!M:O)*(1+Summary!$C$2), -2), "")</f>
        <v/>
      </c>
      <c r="R70" s="91" t="n">
        <v>500</v>
      </c>
      <c r="S70" s="91" t="n">
        <v>500</v>
      </c>
      <c r="T70" s="74" t="inlineStr">
        <is>
          <t>Ready</t>
        </is>
      </c>
      <c r="U70" s="78" t="n"/>
      <c r="V70" s="84" t="inlineStr">
        <is>
          <t>2931201705_5240431343</t>
        </is>
      </c>
      <c r="W70" s="84" t="inlineStr">
        <is>
          <t>Natural Gas - PDF Parsing</t>
        </is>
      </c>
      <c r="X70" s="84" t="inlineStr">
        <is>
          <t>Natural Gas [GJ]</t>
        </is>
      </c>
      <c r="Y70" s="84" t="inlineStr">
        <is>
          <t>EnergyAustralia</t>
        </is>
      </c>
      <c r="Z70" s="84" t="inlineStr">
        <is>
          <t>PPP - NSW Schools 2 (Kelso HS)</t>
        </is>
      </c>
      <c r="AA70" s="84" t="inlineStr">
        <is>
          <t>9002</t>
        </is>
      </c>
      <c r="AB70" s="84" t="inlineStr">
        <is>
          <t>Active</t>
        </is>
      </c>
      <c r="AC70" s="84" t="inlineStr">
        <is>
          <t>Connection ID is the account number suffix</t>
        </is>
      </c>
      <c r="AD70" s="85" t="inlineStr">
        <is>
          <t>49123946_5240431343; 7113513159_5240431343; 200051509731_5240431343; A-C086B337_5240431343</t>
        </is>
      </c>
      <c r="AE70" s="85" t="inlineStr"/>
    </row>
    <row r="71" customFormat="1" s="79">
      <c r="A71" s="73" t="n">
        <v>5243917108</v>
      </c>
      <c r="B71" s="74" t="inlineStr">
        <is>
          <t>Natural Gas</t>
        </is>
      </c>
      <c r="C71" s="74" t="inlineStr">
        <is>
          <t>Australia</t>
        </is>
      </c>
      <c r="D71" s="74" t="inlineStr">
        <is>
          <t>NSW</t>
        </is>
      </c>
      <c r="E71" s="74" t="inlineStr">
        <is>
          <t>AU Small Energy</t>
        </is>
      </c>
      <c r="F71" s="74" t="inlineStr">
        <is>
          <t>NSW Schools 2 - Kariong</t>
        </is>
      </c>
      <c r="G71" s="74" t="inlineStr">
        <is>
          <t>10 FESTIVAL DR KARIONG NSW</t>
        </is>
      </c>
      <c r="H71" s="74" t="inlineStr">
        <is>
          <t>SPOTLESS FACILITY SERVICES PTY LTD (ABN: 83 072 293 880)</t>
        </is>
      </c>
      <c r="I71" s="74" t="inlineStr">
        <is>
          <t>SPOTLESS</t>
        </is>
      </c>
      <c r="J71" s="74" t="inlineStr">
        <is>
          <t>MJ</t>
        </is>
      </c>
      <c r="K71" s="89" t="n">
        <v>1000</v>
      </c>
      <c r="L71" s="74" t="inlineStr">
        <is>
          <t>AGL</t>
        </is>
      </c>
      <c r="M71" s="90" t="inlineStr">
        <is>
          <t>Origin</t>
        </is>
      </c>
      <c r="N71" s="90" t="n">
        <v>46204</v>
      </c>
      <c r="O71" s="90" t="n">
        <v>46934</v>
      </c>
      <c r="P71" s="74" t="inlineStr">
        <is>
          <t>24 months</t>
        </is>
      </c>
      <c r="Q71" s="91">
        <f t="array" ref="Q71:S71">IFERROR(ROUNDUP(_xlfn.XLOOKUP(A71,'Budget FY26-28'!A:A,'Budget FY26-28'!M:O)*(1+Summary!$C$2), -2), "")</f>
        <v/>
      </c>
      <c r="R71" s="91" t="n">
        <v>500</v>
      </c>
      <c r="S71" s="91" t="n">
        <v>500</v>
      </c>
      <c r="T71" s="74" t="inlineStr">
        <is>
          <t>Ready</t>
        </is>
      </c>
      <c r="U71" s="78" t="n"/>
      <c r="V71" s="84" t="inlineStr">
        <is>
          <t>6562861000_5243917108</t>
        </is>
      </c>
      <c r="W71" s="84" t="inlineStr">
        <is>
          <t>Natural Gas - PDF Parsing</t>
        </is>
      </c>
      <c r="X71" s="84" t="inlineStr">
        <is>
          <t>Natural Gas [GJ]</t>
        </is>
      </c>
      <c r="Y71" s="84" t="inlineStr">
        <is>
          <t>EnergyAustralia</t>
        </is>
      </c>
      <c r="Z71" s="84" t="inlineStr">
        <is>
          <t>PPP - NSW Schools 2 (Kariong)</t>
        </is>
      </c>
      <c r="AA71" s="84" t="inlineStr">
        <is>
          <t>9001</t>
        </is>
      </c>
      <c r="AB71" s="84" t="inlineStr">
        <is>
          <t>Active</t>
        </is>
      </c>
      <c r="AC71" s="84" t="inlineStr">
        <is>
          <t>Connection ID is the account number suffix</t>
        </is>
      </c>
      <c r="AD71" s="85" t="inlineStr">
        <is>
          <t>7113515329_5243917108</t>
        </is>
      </c>
      <c r="AE71" s="85" t="inlineStr"/>
    </row>
    <row r="72" customFormat="1" s="79">
      <c r="A72" s="73" t="n">
        <v>5246209066</v>
      </c>
      <c r="B72" s="74" t="inlineStr">
        <is>
          <t>Natural Gas</t>
        </is>
      </c>
      <c r="C72" s="74" t="inlineStr">
        <is>
          <t>Australia</t>
        </is>
      </c>
      <c r="D72" s="74" t="inlineStr">
        <is>
          <t>NSW</t>
        </is>
      </c>
      <c r="E72" s="74" t="inlineStr">
        <is>
          <t>AU Small Energy</t>
        </is>
      </c>
      <c r="F72" s="74" t="inlineStr">
        <is>
          <t>Spotless NSW Schools 2 - Elderslie PS</t>
        </is>
      </c>
      <c r="G72" s="74" t="inlineStr">
        <is>
          <t>170 LODGES ST ELDERSLIE NSW</t>
        </is>
      </c>
      <c r="H72" s="74" t="inlineStr">
        <is>
          <t>SPOTLESS FACILITY SERVICES PTY LTD (ABN: 83 072 293 880)</t>
        </is>
      </c>
      <c r="I72" s="74" t="inlineStr">
        <is>
          <t>SPOTLESS</t>
        </is>
      </c>
      <c r="J72" s="74" t="inlineStr">
        <is>
          <t>MJ</t>
        </is>
      </c>
      <c r="K72" s="89" t="n">
        <v>1000</v>
      </c>
      <c r="L72" s="74" t="inlineStr">
        <is>
          <t>AGL</t>
        </is>
      </c>
      <c r="M72" s="90" t="inlineStr">
        <is>
          <t>Origin</t>
        </is>
      </c>
      <c r="N72" s="90" t="n">
        <v>46204</v>
      </c>
      <c r="O72" s="90" t="n">
        <v>46934</v>
      </c>
      <c r="P72" s="74" t="inlineStr">
        <is>
          <t>24 months</t>
        </is>
      </c>
      <c r="Q72" s="91">
        <f t="array" ref="Q72:S72">IFERROR(ROUNDUP(_xlfn.XLOOKUP(A72,'Budget FY26-28'!A:A,'Budget FY26-28'!M:O)*(1+Summary!$C$2), -2), "")</f>
        <v/>
      </c>
      <c r="R72" s="91" t="n">
        <v>500</v>
      </c>
      <c r="S72" s="91" t="n">
        <v>500</v>
      </c>
      <c r="T72" s="74" t="inlineStr">
        <is>
          <t>Ready</t>
        </is>
      </c>
      <c r="U72" s="78" t="n"/>
      <c r="V72" s="84" t="inlineStr">
        <is>
          <t>1198751876_5246209066</t>
        </is>
      </c>
      <c r="W72" s="84" t="inlineStr">
        <is>
          <t>Natural Gas - PDF Parsing</t>
        </is>
      </c>
      <c r="X72" s="84" t="inlineStr">
        <is>
          <t>Natural Gas [GJ]</t>
        </is>
      </c>
      <c r="Y72" s="84" t="inlineStr">
        <is>
          <t>EnergyAustralia</t>
        </is>
      </c>
      <c r="Z72" s="84" t="inlineStr">
        <is>
          <t>PPP - NSW Schools 2 (Elderslie PS)</t>
        </is>
      </c>
      <c r="AA72" s="84" t="inlineStr">
        <is>
          <t>9009</t>
        </is>
      </c>
      <c r="AB72" s="84" t="inlineStr">
        <is>
          <t>Active</t>
        </is>
      </c>
      <c r="AC72" s="84" t="inlineStr">
        <is>
          <t>Connection ID is the account number suffix</t>
        </is>
      </c>
      <c r="AD72" s="85" t="inlineStr">
        <is>
          <t>68470632_5246209066; 7113513167_5246209066</t>
        </is>
      </c>
      <c r="AE72" s="85" t="inlineStr"/>
    </row>
    <row r="73" customFormat="1" s="79">
      <c r="A73" s="73" t="n">
        <v>5247058378</v>
      </c>
      <c r="B73" s="74" t="inlineStr">
        <is>
          <t>Natural Gas</t>
        </is>
      </c>
      <c r="C73" s="74" t="inlineStr">
        <is>
          <t>Australia</t>
        </is>
      </c>
      <c r="D73" s="74" t="inlineStr">
        <is>
          <t>NSW</t>
        </is>
      </c>
      <c r="E73" s="74" t="inlineStr">
        <is>
          <t>AU Small Energy</t>
        </is>
      </c>
      <c r="F73" s="74" t="inlineStr">
        <is>
          <t>NSW Schools 2 -Ashtonfield</t>
        </is>
      </c>
      <c r="G73" s="74" t="inlineStr">
        <is>
          <t>1 NORFOLK ST ASHTONFIELD NSW</t>
        </is>
      </c>
      <c r="H73" s="74" t="inlineStr">
        <is>
          <t>SPOTLESS FACILITY SERVICES PTY LTD (ABN: 83 072 293 880)</t>
        </is>
      </c>
      <c r="I73" s="74" t="inlineStr">
        <is>
          <t>SPOTLESS</t>
        </is>
      </c>
      <c r="J73" s="74" t="inlineStr">
        <is>
          <t>MJ</t>
        </is>
      </c>
      <c r="K73" s="89" t="n">
        <v>1000</v>
      </c>
      <c r="L73" s="74" t="inlineStr">
        <is>
          <t>AGL</t>
        </is>
      </c>
      <c r="M73" s="90" t="inlineStr">
        <is>
          <t>Origin</t>
        </is>
      </c>
      <c r="N73" s="90" t="n">
        <v>46204</v>
      </c>
      <c r="O73" s="90" t="n">
        <v>46934</v>
      </c>
      <c r="P73" s="74" t="inlineStr">
        <is>
          <t>24 months</t>
        </is>
      </c>
      <c r="Q73" s="91">
        <f t="array" ref="Q73:S73">IFERROR(ROUNDUP(_xlfn.XLOOKUP(A73,'Budget FY26-28'!A:A,'Budget FY26-28'!M:O)*(1+Summary!$C$2), -2), "")</f>
        <v/>
      </c>
      <c r="R73" s="91" t="n">
        <v>500</v>
      </c>
      <c r="S73" s="91" t="n">
        <v>500</v>
      </c>
      <c r="T73" s="74" t="inlineStr">
        <is>
          <t>Ready</t>
        </is>
      </c>
      <c r="U73" s="78" t="n"/>
      <c r="V73" s="84" t="inlineStr">
        <is>
          <t>3267093640_5247058378</t>
        </is>
      </c>
      <c r="W73" s="84" t="inlineStr">
        <is>
          <t>Natural Gas - PDF Parsing</t>
        </is>
      </c>
      <c r="X73" s="84" t="inlineStr">
        <is>
          <t>Natural Gas [GJ]</t>
        </is>
      </c>
      <c r="Y73" s="84" t="inlineStr">
        <is>
          <t>EnergyAustralia</t>
        </is>
      </c>
      <c r="Z73" s="84" t="inlineStr">
        <is>
          <t>PPP - NSW Schools 2 (Ashtonfield PS)</t>
        </is>
      </c>
      <c r="AA73" s="84" t="inlineStr">
        <is>
          <t>9008</t>
        </is>
      </c>
      <c r="AB73" s="84" t="inlineStr">
        <is>
          <t>Active</t>
        </is>
      </c>
      <c r="AC73" s="84" t="inlineStr">
        <is>
          <t>Connection ID is the account number suffix</t>
        </is>
      </c>
      <c r="AD73" s="85" t="inlineStr">
        <is>
          <t>7113513001_5247058378</t>
        </is>
      </c>
      <c r="AE73" s="85" t="inlineStr"/>
    </row>
    <row r="74" customFormat="1" s="79">
      <c r="A74" s="73" t="n">
        <v>5247063334</v>
      </c>
      <c r="B74" s="74" t="inlineStr">
        <is>
          <t>Natural Gas</t>
        </is>
      </c>
      <c r="C74" s="74" t="inlineStr">
        <is>
          <t>Australia</t>
        </is>
      </c>
      <c r="D74" s="74" t="inlineStr">
        <is>
          <t>NSW</t>
        </is>
      </c>
      <c r="E74" s="74" t="inlineStr">
        <is>
          <t>AU Small Energy</t>
        </is>
      </c>
      <c r="F74" s="74" t="inlineStr">
        <is>
          <t>Spotless NSW Schools 2 - Halinda HS</t>
        </is>
      </c>
      <c r="G74" s="74" t="inlineStr">
        <is>
          <t>LUXFORD RD WHALAN NSW</t>
        </is>
      </c>
      <c r="H74" s="74" t="inlineStr">
        <is>
          <t>SPOTLESS FACILITY SERVICES PTY LTD (ABN: 83 072 293 880)</t>
        </is>
      </c>
      <c r="I74" s="74" t="inlineStr">
        <is>
          <t>SPOTLESS</t>
        </is>
      </c>
      <c r="J74" s="74" t="inlineStr">
        <is>
          <t>MJ</t>
        </is>
      </c>
      <c r="K74" s="89" t="n">
        <v>1000</v>
      </c>
      <c r="L74" s="74" t="inlineStr">
        <is>
          <t>AGL</t>
        </is>
      </c>
      <c r="M74" s="90" t="inlineStr">
        <is>
          <t>Origin</t>
        </is>
      </c>
      <c r="N74" s="90" t="n">
        <v>46204</v>
      </c>
      <c r="O74" s="90" t="n">
        <v>46934</v>
      </c>
      <c r="P74" s="74" t="inlineStr">
        <is>
          <t>24 months</t>
        </is>
      </c>
      <c r="Q74" s="91">
        <f t="array" ref="Q74:S74">IFERROR(ROUNDUP(_xlfn.XLOOKUP(A74,'Budget FY26-28'!A:A,'Budget FY26-28'!M:O)*(1+Summary!$C$2), -2), "")</f>
        <v/>
      </c>
      <c r="R74" s="91" t="n">
        <v>500</v>
      </c>
      <c r="S74" s="91" t="n">
        <v>500</v>
      </c>
      <c r="T74" s="74" t="inlineStr">
        <is>
          <t>Ready</t>
        </is>
      </c>
      <c r="U74" s="78" t="n"/>
      <c r="V74" s="84" t="inlineStr">
        <is>
          <t>7113511591_5247063334</t>
        </is>
      </c>
      <c r="W74" s="84" t="inlineStr">
        <is>
          <t>Natural Gas - PDF Parsing</t>
        </is>
      </c>
      <c r="X74" s="84" t="inlineStr">
        <is>
          <t>Natural Gas [GJ]</t>
        </is>
      </c>
      <c r="Y74" s="84" t="inlineStr">
        <is>
          <t>AGL</t>
        </is>
      </c>
      <c r="Z74" s="84" t="inlineStr">
        <is>
          <t>PPP - NSW Schools 2 (Halinda SSP)</t>
        </is>
      </c>
      <c r="AA74" s="84" t="inlineStr">
        <is>
          <t>9010</t>
        </is>
      </c>
      <c r="AB74" s="84" t="inlineStr">
        <is>
          <t>Active</t>
        </is>
      </c>
      <c r="AC74" s="84" t="inlineStr">
        <is>
          <t>Connection ID is the account number suffix</t>
        </is>
      </c>
      <c r="AD74" s="85" t="inlineStr">
        <is>
          <t>67506824_5247063334; 6241516621_5247063334</t>
        </is>
      </c>
      <c r="AE74" s="85" t="inlineStr"/>
    </row>
    <row r="75" customFormat="1" s="79">
      <c r="A75" s="73" t="n">
        <v>5247072812</v>
      </c>
      <c r="B75" s="74" t="inlineStr">
        <is>
          <t>Natural Gas</t>
        </is>
      </c>
      <c r="C75" s="74" t="inlineStr">
        <is>
          <t>Australia</t>
        </is>
      </c>
      <c r="D75" s="74" t="inlineStr">
        <is>
          <t>NSW</t>
        </is>
      </c>
      <c r="E75" s="74" t="inlineStr">
        <is>
          <t>AU Small Energy</t>
        </is>
      </c>
      <c r="F75" s="74" t="inlineStr">
        <is>
          <t>NSW Schools 2 - Ropes Crossing</t>
        </is>
      </c>
      <c r="G75" s="74" t="inlineStr">
        <is>
          <t>LOT 17 PULLEY DR ROPES CROSSING NSW</t>
        </is>
      </c>
      <c r="H75" s="74" t="inlineStr">
        <is>
          <t>SPOTLESS FACILITY SERVICES PTY LTD (ABN: 83 072 293 880)</t>
        </is>
      </c>
      <c r="I75" s="74" t="inlineStr">
        <is>
          <t>SPOTLESS</t>
        </is>
      </c>
      <c r="J75" s="74" t="inlineStr">
        <is>
          <t>MJ</t>
        </is>
      </c>
      <c r="K75" s="89" t="n">
        <v>1000</v>
      </c>
      <c r="L75" s="74" t="inlineStr">
        <is>
          <t>AGL</t>
        </is>
      </c>
      <c r="M75" s="90" t="inlineStr">
        <is>
          <t>Origin</t>
        </is>
      </c>
      <c r="N75" s="90" t="n">
        <v>46204</v>
      </c>
      <c r="O75" s="90" t="n">
        <v>46934</v>
      </c>
      <c r="P75" s="74" t="inlineStr">
        <is>
          <t>24 months</t>
        </is>
      </c>
      <c r="Q75" s="91">
        <f t="array" ref="Q75:S75">IFERROR(ROUNDUP(_xlfn.XLOOKUP(A75,'Budget FY26-28'!A:A,'Budget FY26-28'!M:O)*(1+Summary!$C$2), -2), "")</f>
        <v/>
      </c>
      <c r="R75" s="91" t="n">
        <v>500</v>
      </c>
      <c r="S75" s="91" t="n">
        <v>500</v>
      </c>
      <c r="T75" s="74" t="inlineStr">
        <is>
          <t>Ready</t>
        </is>
      </c>
      <c r="U75" s="78" t="n"/>
      <c r="V75" s="84" t="inlineStr">
        <is>
          <t>7113511617_5247072812</t>
        </is>
      </c>
      <c r="W75" s="84" t="inlineStr">
        <is>
          <t>Natural Gas - PDF Parsing</t>
        </is>
      </c>
      <c r="X75" s="84" t="inlineStr">
        <is>
          <t>Natural Gas [GJ]</t>
        </is>
      </c>
      <c r="Y75" s="84" t="inlineStr">
        <is>
          <t>AGL</t>
        </is>
      </c>
      <c r="Z75" s="84" t="inlineStr">
        <is>
          <t>PPP - NSW Schools 2 (Ropes Crossing PS)</t>
        </is>
      </c>
      <c r="AA75" s="84" t="inlineStr">
        <is>
          <t>9004</t>
        </is>
      </c>
      <c r="AB75" s="84" t="inlineStr">
        <is>
          <t>Active</t>
        </is>
      </c>
      <c r="AC75" s="84" t="inlineStr">
        <is>
          <t>Connection ID is the account number suffix</t>
        </is>
      </c>
      <c r="AD75" s="85" t="inlineStr">
        <is>
          <t>53431185_5247072812; 8404243246_5247072812</t>
        </is>
      </c>
      <c r="AE75" s="85" t="inlineStr"/>
    </row>
    <row r="76" customFormat="1" s="79">
      <c r="A76" s="73" t="n">
        <v>5247072833</v>
      </c>
      <c r="B76" s="74" t="inlineStr">
        <is>
          <t>Natural Gas</t>
        </is>
      </c>
      <c r="C76" s="74" t="inlineStr">
        <is>
          <t>Australia</t>
        </is>
      </c>
      <c r="D76" s="74" t="inlineStr">
        <is>
          <t>NSW</t>
        </is>
      </c>
      <c r="E76" s="74" t="inlineStr">
        <is>
          <t>AU Small Energy</t>
        </is>
      </c>
      <c r="F76" s="74" t="inlineStr">
        <is>
          <t>NSW Schools John Palmer PS</t>
        </is>
      </c>
      <c r="G76" s="74" t="inlineStr">
        <is>
          <t>85 THE PONDS BVD THE PONDS NSW</t>
        </is>
      </c>
      <c r="H76" s="74" t="inlineStr">
        <is>
          <t>SPOTLESS FACILITY SERVICES PTY LTD (ABN: 83 072 293 880)</t>
        </is>
      </c>
      <c r="I76" s="74" t="inlineStr">
        <is>
          <t>SPOTLESS</t>
        </is>
      </c>
      <c r="J76" s="74" t="inlineStr">
        <is>
          <t>MJ</t>
        </is>
      </c>
      <c r="K76" s="89" t="n">
        <v>1000</v>
      </c>
      <c r="L76" s="74" t="inlineStr">
        <is>
          <t>AGL</t>
        </is>
      </c>
      <c r="M76" s="90" t="inlineStr">
        <is>
          <t>Origin</t>
        </is>
      </c>
      <c r="N76" s="90" t="n">
        <v>46204</v>
      </c>
      <c r="O76" s="90" t="n">
        <v>46934</v>
      </c>
      <c r="P76" s="74" t="inlineStr">
        <is>
          <t>24 months</t>
        </is>
      </c>
      <c r="Q76" s="91">
        <f t="array" ref="Q76:S76">IFERROR(ROUNDUP(_xlfn.XLOOKUP(A76,'Budget FY26-28'!A:A,'Budget FY26-28'!M:O)*(1+Summary!$C$2), -2), "")</f>
        <v/>
      </c>
      <c r="R76" s="91" t="n">
        <v>500</v>
      </c>
      <c r="S76" s="91" t="n">
        <v>500</v>
      </c>
      <c r="T76" s="74" t="inlineStr">
        <is>
          <t>Ready</t>
        </is>
      </c>
      <c r="U76" s="78" t="n"/>
      <c r="V76" s="84" t="inlineStr">
        <is>
          <t>7113515337_5247072833</t>
        </is>
      </c>
      <c r="W76" s="84" t="inlineStr">
        <is>
          <t>Natural Gas - PDF Parsing</t>
        </is>
      </c>
      <c r="X76" s="84" t="inlineStr">
        <is>
          <t>Natural Gas [GJ]</t>
        </is>
      </c>
      <c r="Y76" s="84" t="inlineStr">
        <is>
          <t>AGL</t>
        </is>
      </c>
      <c r="Z76" s="84" t="inlineStr">
        <is>
          <t>PPP - NSW Schools 2 (John Palmer PS)</t>
        </is>
      </c>
      <c r="AA76" s="84" t="inlineStr">
        <is>
          <t>9011</t>
        </is>
      </c>
      <c r="AB76" s="84" t="inlineStr">
        <is>
          <t>Active</t>
        </is>
      </c>
      <c r="AC76" s="84" t="inlineStr">
        <is>
          <t>Connection ID is the account number suffix</t>
        </is>
      </c>
      <c r="AD76" s="85" t="inlineStr">
        <is>
          <t>7028171853_5247072833; 7604232900_5247072833</t>
        </is>
      </c>
      <c r="AE76" s="85" t="inlineStr"/>
    </row>
    <row r="77" customFormat="1" s="79">
      <c r="A77" s="73" t="n">
        <v>5247074005</v>
      </c>
      <c r="B77" s="74" t="inlineStr">
        <is>
          <t>Natural Gas</t>
        </is>
      </c>
      <c r="C77" s="74" t="inlineStr">
        <is>
          <t>Australia</t>
        </is>
      </c>
      <c r="D77" s="74" t="inlineStr">
        <is>
          <t>NSW</t>
        </is>
      </c>
      <c r="E77" s="74" t="inlineStr">
        <is>
          <t>AU Small Energy</t>
        </is>
      </c>
      <c r="F77" s="74" t="inlineStr">
        <is>
          <t>NSW Schools 2  - Tullimbar</t>
        </is>
      </c>
      <c r="G77" s="74" t="inlineStr">
        <is>
          <t>EDEN PL TULLIMBAR NSW</t>
        </is>
      </c>
      <c r="H77" s="74" t="inlineStr">
        <is>
          <t>SPOTLESS FACILITY SERVICES PTY LTD (ABN: 83 072 293 880)</t>
        </is>
      </c>
      <c r="I77" s="74" t="inlineStr">
        <is>
          <t>SPOTLESS</t>
        </is>
      </c>
      <c r="J77" s="74" t="inlineStr">
        <is>
          <t>MJ</t>
        </is>
      </c>
      <c r="K77" s="89" t="n">
        <v>1000</v>
      </c>
      <c r="L77" s="74" t="inlineStr">
        <is>
          <t>AGL</t>
        </is>
      </c>
      <c r="M77" s="90" t="inlineStr">
        <is>
          <t>Origin</t>
        </is>
      </c>
      <c r="N77" s="90" t="n">
        <v>46204</v>
      </c>
      <c r="O77" s="90" t="n">
        <v>46934</v>
      </c>
      <c r="P77" s="74" t="inlineStr">
        <is>
          <t>24 months</t>
        </is>
      </c>
      <c r="Q77" s="91">
        <f t="array" ref="Q77:S77">IFERROR(ROUNDUP(_xlfn.XLOOKUP(A77,'Budget FY26-28'!A:A,'Budget FY26-28'!M:O)*(1+Summary!$C$2), -2), "")</f>
        <v/>
      </c>
      <c r="R77" s="91" t="n">
        <v>500</v>
      </c>
      <c r="S77" s="91" t="n">
        <v>500</v>
      </c>
      <c r="T77" s="74" t="inlineStr">
        <is>
          <t>Ready</t>
        </is>
      </c>
      <c r="U77" s="78" t="n"/>
      <c r="V77" s="84" t="inlineStr">
        <is>
          <t>2819748120_5247074005</t>
        </is>
      </c>
      <c r="W77" s="84" t="inlineStr">
        <is>
          <t>Natural Gas - PDF Parsing</t>
        </is>
      </c>
      <c r="X77" s="84" t="inlineStr">
        <is>
          <t>Natural Gas [GJ]</t>
        </is>
      </c>
      <c r="Y77" s="84" t="inlineStr">
        <is>
          <t>EnergyAustralia</t>
        </is>
      </c>
      <c r="Z77" s="84" t="inlineStr">
        <is>
          <t>PPP - NSW Schools 2 (Tulimbar PS)</t>
        </is>
      </c>
      <c r="AA77" s="84" t="inlineStr">
        <is>
          <t>9006</t>
        </is>
      </c>
      <c r="AB77" s="84" t="inlineStr">
        <is>
          <t>Active</t>
        </is>
      </c>
      <c r="AC77" s="84" t="inlineStr">
        <is>
          <t>Connection ID is the account number suffix</t>
        </is>
      </c>
      <c r="AD77" s="85" t="inlineStr">
        <is>
          <t>70219068_5247074005; 7113511609_5247074005</t>
        </is>
      </c>
      <c r="AE77" s="85" t="inlineStr"/>
    </row>
    <row r="78" customFormat="1" s="79">
      <c r="A78" s="73" t="n">
        <v>5247082981</v>
      </c>
      <c r="B78" s="74" t="inlineStr">
        <is>
          <t>Natural Gas</t>
        </is>
      </c>
      <c r="C78" s="74" t="inlineStr">
        <is>
          <t>Australia</t>
        </is>
      </c>
      <c r="D78" s="74" t="inlineStr">
        <is>
          <t>NSW</t>
        </is>
      </c>
      <c r="E78" s="74" t="inlineStr">
        <is>
          <t>AU Small Energy</t>
        </is>
      </c>
      <c r="F78" s="74" t="inlineStr">
        <is>
          <t>NSW Schools 2 - Warnervale</t>
        </is>
      </c>
      <c r="G78" s="74" t="inlineStr">
        <is>
          <t>179-201 WARNERVALE RD HAMLYN TERRACE NSW</t>
        </is>
      </c>
      <c r="H78" s="74" t="inlineStr">
        <is>
          <t>SPOTLESS FACILITY SERVICES PTY LTD (ABN: 83 072 293 880)</t>
        </is>
      </c>
      <c r="I78" s="74" t="inlineStr">
        <is>
          <t>SPOTLESS</t>
        </is>
      </c>
      <c r="J78" s="74" t="inlineStr">
        <is>
          <t>MJ</t>
        </is>
      </c>
      <c r="K78" s="89" t="n">
        <v>1000</v>
      </c>
      <c r="L78" s="74" t="inlineStr">
        <is>
          <t>AGL</t>
        </is>
      </c>
      <c r="M78" s="90" t="inlineStr">
        <is>
          <t>Origin</t>
        </is>
      </c>
      <c r="N78" s="90" t="n">
        <v>46204</v>
      </c>
      <c r="O78" s="90" t="n">
        <v>46934</v>
      </c>
      <c r="P78" s="74" t="inlineStr">
        <is>
          <t>24 months</t>
        </is>
      </c>
      <c r="Q78" s="91">
        <f t="array" ref="Q78:S78">IFERROR(ROUNDUP(_xlfn.XLOOKUP(A78,'Budget FY26-28'!A:A,'Budget FY26-28'!M:O)*(1+Summary!$C$2), -2), "")</f>
        <v/>
      </c>
      <c r="R78" s="91" t="n">
        <v>500</v>
      </c>
      <c r="S78" s="91" t="n">
        <v>500</v>
      </c>
      <c r="T78" s="74" t="inlineStr">
        <is>
          <t>Ready</t>
        </is>
      </c>
      <c r="U78" s="78" t="n"/>
      <c r="V78" s="84" t="inlineStr">
        <is>
          <t>7113513019_5247082981</t>
        </is>
      </c>
      <c r="W78" s="84" t="inlineStr">
        <is>
          <t>Natural Gas - PDF Parsing</t>
        </is>
      </c>
      <c r="X78" s="84" t="inlineStr">
        <is>
          <t>Natural Gas [GJ]</t>
        </is>
      </c>
      <c r="Y78" s="84" t="inlineStr">
        <is>
          <t>AGL</t>
        </is>
      </c>
      <c r="Z78" s="84" t="inlineStr">
        <is>
          <t>PPP - NSW Schools 2 (Warnervale PS)</t>
        </is>
      </c>
      <c r="AA78" s="84" t="inlineStr">
        <is>
          <t>9007</t>
        </is>
      </c>
      <c r="AB78" s="84" t="inlineStr">
        <is>
          <t>Active</t>
        </is>
      </c>
      <c r="AC78" s="84" t="inlineStr">
        <is>
          <t>Connection ID is the account number suffix</t>
        </is>
      </c>
      <c r="AD78" s="85" t="inlineStr">
        <is>
          <t>68470632_5247082981; 8271041165_5247082981</t>
        </is>
      </c>
      <c r="AE78" s="85" t="inlineStr"/>
    </row>
    <row r="79" customFormat="1" s="79">
      <c r="A79" s="73" t="n">
        <v>5247083098</v>
      </c>
      <c r="B79" s="74" t="inlineStr">
        <is>
          <t>Natural Gas</t>
        </is>
      </c>
      <c r="C79" s="74" t="inlineStr">
        <is>
          <t>Australia</t>
        </is>
      </c>
      <c r="D79" s="74" t="inlineStr">
        <is>
          <t>NSW</t>
        </is>
      </c>
      <c r="E79" s="74" t="inlineStr">
        <is>
          <t>AU Small Energy</t>
        </is>
      </c>
      <c r="F79" s="74" t="inlineStr">
        <is>
          <t>NSW Schools 2  -Rouse Hill</t>
        </is>
      </c>
      <c r="G79" s="74" t="inlineStr">
        <is>
          <t>240 WITHERS RD KELLYVILLE NSW</t>
        </is>
      </c>
      <c r="H79" s="74" t="inlineStr">
        <is>
          <t>SPOTLESS FACILITY SERVICES PTY LTD (ABN: 83 072 293 880)</t>
        </is>
      </c>
      <c r="I79" s="74" t="inlineStr">
        <is>
          <t>SPOTLESS</t>
        </is>
      </c>
      <c r="J79" s="74" t="inlineStr">
        <is>
          <t>MJ</t>
        </is>
      </c>
      <c r="K79" s="89" t="n">
        <v>1000</v>
      </c>
      <c r="L79" s="74" t="inlineStr">
        <is>
          <t>AGL</t>
        </is>
      </c>
      <c r="M79" s="90" t="inlineStr">
        <is>
          <t>Origin</t>
        </is>
      </c>
      <c r="N79" s="90" t="n">
        <v>46204</v>
      </c>
      <c r="O79" s="90" t="n">
        <v>46934</v>
      </c>
      <c r="P79" s="74" t="inlineStr">
        <is>
          <t>24 months</t>
        </is>
      </c>
      <c r="Q79" s="91">
        <f t="array" ref="Q79:S79">IFERROR(ROUNDUP(_xlfn.XLOOKUP(A79,'Budget FY26-28'!A:A,'Budget FY26-28'!M:O)*(1+Summary!$C$2), -2), "")</f>
        <v/>
      </c>
      <c r="R79" s="91" t="n">
        <v>500</v>
      </c>
      <c r="S79" s="91" t="n">
        <v>500</v>
      </c>
      <c r="T79" s="74" t="inlineStr">
        <is>
          <t>Ready</t>
        </is>
      </c>
      <c r="U79" s="78" t="n"/>
      <c r="V79" s="84" t="inlineStr">
        <is>
          <t>7113510379_5247083098</t>
        </is>
      </c>
      <c r="W79" s="84" t="inlineStr">
        <is>
          <t>Natural Gas - PDF Parsing</t>
        </is>
      </c>
      <c r="X79" s="84" t="inlineStr">
        <is>
          <t>Natural Gas [GJ]</t>
        </is>
      </c>
      <c r="Y79" s="84" t="inlineStr">
        <is>
          <t>AGL</t>
        </is>
      </c>
      <c r="Z79" s="84" t="inlineStr">
        <is>
          <t>PPP - NSW Schools 2 (Rouse Hill HS)</t>
        </is>
      </c>
      <c r="AA79" s="84" t="inlineStr">
        <is>
          <t>9005</t>
        </is>
      </c>
      <c r="AB79" s="84" t="inlineStr">
        <is>
          <t>Active</t>
        </is>
      </c>
      <c r="AC79" s="84" t="inlineStr">
        <is>
          <t>Connection ID is the account number suffix</t>
        </is>
      </c>
      <c r="AD79" s="85" t="inlineStr">
        <is>
          <t>50410646_5247083098; 8861165395_5247083098</t>
        </is>
      </c>
      <c r="AE79" s="85" t="inlineStr"/>
    </row>
    <row r="80" customFormat="1" s="79">
      <c r="A80" s="73" t="n">
        <v>5270000035</v>
      </c>
      <c r="B80" s="74" t="inlineStr">
        <is>
          <t>Natural Gas</t>
        </is>
      </c>
      <c r="C80" s="74" t="inlineStr">
        <is>
          <t>Australia</t>
        </is>
      </c>
      <c r="D80" s="74" t="inlineStr">
        <is>
          <t>NSW</t>
        </is>
      </c>
      <c r="E80" s="74" t="inlineStr">
        <is>
          <t>AU Small Energy</t>
        </is>
      </c>
      <c r="F80" s="74" t="inlineStr">
        <is>
          <t>Roads - Tamworth</t>
        </is>
      </c>
      <c r="G80" s="74" t="inlineStr">
        <is>
          <t>18 ARMSTRONG STREET WESTDALE NSW 2340</t>
        </is>
      </c>
      <c r="H80" s="74" t="inlineStr">
        <is>
          <t>DOWNER EDI WORKS PTY LTD (ABN: 66 008 709 608)</t>
        </is>
      </c>
      <c r="I80" s="74" t="inlineStr">
        <is>
          <t>Road Services</t>
        </is>
      </c>
      <c r="J80" s="74" t="inlineStr">
        <is>
          <t>MJ</t>
        </is>
      </c>
      <c r="K80" s="89" t="n">
        <v>0</v>
      </c>
      <c r="L80" s="74" t="inlineStr">
        <is>
          <t>Origin</t>
        </is>
      </c>
      <c r="M80" s="90" t="inlineStr">
        <is>
          <t>Origin</t>
        </is>
      </c>
      <c r="N80" s="90" t="n">
        <v>46204</v>
      </c>
      <c r="O80" s="90" t="n">
        <v>46934</v>
      </c>
      <c r="P80" s="74" t="inlineStr">
        <is>
          <t>24 months</t>
        </is>
      </c>
      <c r="Q80" s="91">
        <f t="array" ref="Q80:S80">IFERROR(ROUNDUP(_xlfn.XLOOKUP(A80,'Budget FY26-28'!A:A,'Budget FY26-28'!M:O)*(1+Summary!$C$2), -2), "")</f>
        <v/>
      </c>
      <c r="R80" s="91" t="n">
        <v>500</v>
      </c>
      <c r="S80" s="91" t="n">
        <v>500</v>
      </c>
      <c r="T80" s="74" t="inlineStr">
        <is>
          <t>Ready</t>
        </is>
      </c>
      <c r="U80" s="78" t="n"/>
      <c r="V80" s="84" t="inlineStr">
        <is>
          <t>A-A7CEE9F0_5270000035</t>
        </is>
      </c>
      <c r="W80" s="84" t="inlineStr">
        <is>
          <t>Natural Gas - PDF Parsing</t>
        </is>
      </c>
      <c r="X80" s="84" t="inlineStr">
        <is>
          <t>Natural Gas [GJ]</t>
        </is>
      </c>
      <c r="Y80" s="84" t="inlineStr">
        <is>
          <t>Origin</t>
        </is>
      </c>
      <c r="Z80" s="84" t="inlineStr">
        <is>
          <t>Tamworth</t>
        </is>
      </c>
      <c r="AA80" s="84" t="inlineStr">
        <is>
          <t>170937</t>
        </is>
      </c>
      <c r="AB80" s="84" t="inlineStr">
        <is>
          <t>Active</t>
        </is>
      </c>
      <c r="AC80" s="84" t="inlineStr">
        <is>
          <t>Connection ID is the account number suffix</t>
        </is>
      </c>
      <c r="AD80" s="85" t="inlineStr">
        <is>
          <t>1109123_5270000035; 15003902611_5270000035</t>
        </is>
      </c>
      <c r="AE80" s="85" t="inlineStr">
        <is>
          <t>LGCS_4001158058 (at this location, different ID) - historical</t>
        </is>
      </c>
    </row>
    <row r="81" customFormat="1" s="79">
      <c r="A81" s="73" t="n">
        <v>5410075384</v>
      </c>
      <c r="B81" s="74" t="inlineStr">
        <is>
          <t>Natural Gas</t>
        </is>
      </c>
      <c r="C81" s="74" t="inlineStr">
        <is>
          <t>Australia</t>
        </is>
      </c>
      <c r="D81" s="74" t="inlineStr">
        <is>
          <t>QLD</t>
        </is>
      </c>
      <c r="E81" s="74" t="inlineStr">
        <is>
          <t>AU Small Energy</t>
        </is>
      </c>
      <c r="F81" s="74" t="inlineStr">
        <is>
          <t>Mineral Tech - Carrara</t>
        </is>
      </c>
      <c r="G81" s="74" t="inlineStr">
        <is>
          <t>11 ELYSIUM ROAD CARRARA QLD 4211</t>
        </is>
      </c>
      <c r="H81" s="74" t="inlineStr">
        <is>
          <t>MINERAL TECHNOLOGIES PTY LTD (ABN: 52 105 309 260)</t>
        </is>
      </c>
      <c r="I81" s="74" t="inlineStr">
        <is>
          <t>Mineral Tech</t>
        </is>
      </c>
      <c r="J81" s="74" t="inlineStr">
        <is>
          <t>MJ</t>
        </is>
      </c>
      <c r="K81" s="89" t="n">
        <v>27439</v>
      </c>
      <c r="L81" s="74" t="inlineStr">
        <is>
          <t>Origin</t>
        </is>
      </c>
      <c r="M81" s="90" t="inlineStr">
        <is>
          <t>Origin</t>
        </is>
      </c>
      <c r="N81" s="90" t="n">
        <v>46204</v>
      </c>
      <c r="O81" s="90" t="n">
        <v>46934</v>
      </c>
      <c r="P81" s="74" t="inlineStr">
        <is>
          <t>24 months</t>
        </is>
      </c>
      <c r="Q81" s="91">
        <f t="array" ref="Q81:S81">IFERROR(ROUNDUP(_xlfn.XLOOKUP(A81,'Budget FY26-28'!A:A,'Budget FY26-28'!M:O)*(1+Summary!$C$2), -2), "")</f>
        <v/>
      </c>
      <c r="R81" s="91" t="n">
        <v>1700</v>
      </c>
      <c r="S81" s="91" t="n">
        <v>1700</v>
      </c>
      <c r="T81" s="74" t="inlineStr">
        <is>
          <t>Ready</t>
        </is>
      </c>
      <c r="U81" s="78" t="n"/>
      <c r="V81" s="84" t="inlineStr">
        <is>
          <t>A-C4B69989_5410075384</t>
        </is>
      </c>
      <c r="W81" s="84" t="inlineStr">
        <is>
          <t>Natural Gas - PDF Parsing</t>
        </is>
      </c>
      <c r="X81" s="84" t="inlineStr">
        <is>
          <t>Natural Gas [GJ]</t>
        </is>
      </c>
      <c r="Y81" s="84" t="inlineStr">
        <is>
          <t>Origin</t>
        </is>
      </c>
      <c r="Z81" s="84" t="inlineStr">
        <is>
          <t>MT-Carrara</t>
        </is>
      </c>
      <c r="AA81" s="84" t="inlineStr">
        <is>
          <t>MT-39510068</t>
        </is>
      </c>
      <c r="AB81" s="84" t="inlineStr">
        <is>
          <t>Active</t>
        </is>
      </c>
      <c r="AC81" s="84" t="inlineStr">
        <is>
          <t>Connection ID is the account number suffix</t>
        </is>
      </c>
      <c r="AD81" s="85" t="inlineStr">
        <is>
          <t>71432793_5410075384; 400033605199_5410075384; A-E7991C4D_5410075384</t>
        </is>
      </c>
      <c r="AE81" s="85" t="inlineStr">
        <is>
          <t>LGCS_QB06081428 (at this location, different ID) - historical · LGCS_QB06082220 (at this location, different ID) - historical</t>
        </is>
      </c>
    </row>
    <row r="82" customFormat="1" s="79">
      <c r="A82" s="73" t="n">
        <v>5410078053</v>
      </c>
      <c r="B82" s="74" t="inlineStr">
        <is>
          <t>Natural Gas</t>
        </is>
      </c>
      <c r="C82" s="74" t="inlineStr">
        <is>
          <t>Australia</t>
        </is>
      </c>
      <c r="D82" s="74" t="inlineStr">
        <is>
          <t>QLD</t>
        </is>
      </c>
      <c r="E82" s="74" t="inlineStr">
        <is>
          <t>AU Small Energy</t>
        </is>
      </c>
      <c r="F82" s="74" t="inlineStr">
        <is>
          <t>SPOTLESS SOUTHBANK TAFE</t>
        </is>
      </c>
      <c r="G82" s="74" t="inlineStr">
        <is>
          <t>16 GLEBELG STREET SOUTH BRISBANE QLD 4101</t>
        </is>
      </c>
      <c r="H82" s="74" t="inlineStr">
        <is>
          <t>SPOTLESS FACILITY SERVICES PTY LTD (ABN: 83 072 293 880)</t>
        </is>
      </c>
      <c r="I82" s="74" t="inlineStr">
        <is>
          <t>SPOTLESS</t>
        </is>
      </c>
      <c r="J82" s="74" t="inlineStr">
        <is>
          <t>MJ</t>
        </is>
      </c>
      <c r="K82" s="89" t="n">
        <v>153318</v>
      </c>
      <c r="L82" s="74" t="inlineStr">
        <is>
          <t>Origin</t>
        </is>
      </c>
      <c r="M82" s="90" t="inlineStr">
        <is>
          <t>Origin</t>
        </is>
      </c>
      <c r="N82" s="90" t="n">
        <v>46204</v>
      </c>
      <c r="O82" s="90" t="n">
        <v>46934</v>
      </c>
      <c r="P82" s="74" t="inlineStr">
        <is>
          <t>24 months</t>
        </is>
      </c>
      <c r="Q82" s="91">
        <f t="array" ref="Q82:S82">IFERROR(ROUNDUP(_xlfn.XLOOKUP(A82,'Budget FY26-28'!A:A,'Budget FY26-28'!M:O)*(1+Summary!$C$2), -2), "")</f>
        <v/>
      </c>
      <c r="R82" s="91" t="n">
        <v>7000</v>
      </c>
      <c r="S82" s="91" t="n">
        <v>7000</v>
      </c>
      <c r="T82" s="74" t="inlineStr">
        <is>
          <t>Ready</t>
        </is>
      </c>
      <c r="U82" s="78" t="n"/>
      <c r="V82" s="84" t="inlineStr">
        <is>
          <t>A-0818208A_5410078053</t>
        </is>
      </c>
      <c r="W82" s="84" t="inlineStr">
        <is>
          <t>Natural Gas - PDF Parsing</t>
        </is>
      </c>
      <c r="X82" s="84" t="inlineStr">
        <is>
          <t>Natural Gas [GJ]</t>
        </is>
      </c>
      <c r="Y82" s="84" t="inlineStr">
        <is>
          <t>Origin</t>
        </is>
      </c>
      <c r="Z82" s="84" t="inlineStr">
        <is>
          <t>PPP - Southbank TAFE (QLD)</t>
        </is>
      </c>
      <c r="AA82" s="84" t="inlineStr">
        <is>
          <t>9108</t>
        </is>
      </c>
      <c r="AB82" s="84" t="inlineStr">
        <is>
          <t>Active</t>
        </is>
      </c>
      <c r="AC82" s="84" t="inlineStr">
        <is>
          <t>Connection ID is the account number suffix</t>
        </is>
      </c>
      <c r="AD82" s="85" t="inlineStr">
        <is>
          <t>70928841_5410078053; A-8AB66196_5410078053</t>
        </is>
      </c>
      <c r="AE82" s="85" t="inlineStr"/>
    </row>
    <row r="83" customFormat="1" s="79">
      <c r="A83" s="73" t="n">
        <v>5410086500</v>
      </c>
      <c r="B83" s="74" t="inlineStr">
        <is>
          <t>Natural Gas</t>
        </is>
      </c>
      <c r="C83" s="74" t="inlineStr">
        <is>
          <t>Australia</t>
        </is>
      </c>
      <c r="D83" s="74" t="inlineStr">
        <is>
          <t>QLD</t>
        </is>
      </c>
      <c r="E83" s="74" t="inlineStr">
        <is>
          <t>AU Small Energy</t>
        </is>
      </c>
      <c r="F83" s="74" t="inlineStr">
        <is>
          <t>SPOTLESS SOUTHBANK TAFE</t>
        </is>
      </c>
      <c r="G83" s="74" t="inlineStr">
        <is>
          <t>BUILDING D 0 COLCHESTER STREET SOUTH BRISBANE QLD 4101</t>
        </is>
      </c>
      <c r="H83" s="74" t="inlineStr">
        <is>
          <t>SPOTLESS FACILITY SERVICES PTY LTD (ABN: 83 072 293 880)</t>
        </is>
      </c>
      <c r="I83" s="74" t="inlineStr">
        <is>
          <t>SPOTLESS</t>
        </is>
      </c>
      <c r="J83" s="74" t="inlineStr">
        <is>
          <t>MJ</t>
        </is>
      </c>
      <c r="K83" s="89" t="n">
        <v>504905</v>
      </c>
      <c r="L83" s="74" t="inlineStr">
        <is>
          <t>Origin</t>
        </is>
      </c>
      <c r="M83" s="90" t="inlineStr">
        <is>
          <t>Origin</t>
        </is>
      </c>
      <c r="N83" s="90" t="n">
        <v>46204</v>
      </c>
      <c r="O83" s="90" t="n">
        <v>46934</v>
      </c>
      <c r="P83" s="74" t="inlineStr">
        <is>
          <t>24 months</t>
        </is>
      </c>
      <c r="Q83" s="91">
        <f t="array" ref="Q83:S83">IFERROR(ROUNDUP(_xlfn.XLOOKUP(A83,'Budget FY26-28'!A:A,'Budget FY26-28'!M:O)*(1+Summary!$C$2), -2), "")</f>
        <v/>
      </c>
      <c r="R83" s="91" t="n">
        <v>19700</v>
      </c>
      <c r="S83" s="91" t="n">
        <v>19700</v>
      </c>
      <c r="T83" s="74" t="inlineStr">
        <is>
          <t>Ready</t>
        </is>
      </c>
      <c r="U83" s="78" t="n"/>
      <c r="V83" s="84" t="inlineStr">
        <is>
          <t>A-87825F48_5410086500</t>
        </is>
      </c>
      <c r="W83" s="84" t="inlineStr">
        <is>
          <t>Natural Gas - PDF Parsing</t>
        </is>
      </c>
      <c r="X83" s="84" t="inlineStr">
        <is>
          <t>Natural Gas [GJ]</t>
        </is>
      </c>
      <c r="Y83" s="84" t="inlineStr">
        <is>
          <t>Origin</t>
        </is>
      </c>
      <c r="Z83" s="84" t="inlineStr">
        <is>
          <t>PPP - Southbank TAFE (QLD)</t>
        </is>
      </c>
      <c r="AA83" s="84" t="inlineStr">
        <is>
          <t>9108</t>
        </is>
      </c>
      <c r="AB83" s="84" t="inlineStr">
        <is>
          <t>Active</t>
        </is>
      </c>
      <c r="AC83" s="84" t="inlineStr">
        <is>
          <t>Connection ID is the account number suffix</t>
        </is>
      </c>
      <c r="AD83" s="85" t="inlineStr">
        <is>
          <t>70485982_5410086500; 400033605165_5410086500; A-5C73568F_5410086500</t>
        </is>
      </c>
      <c r="AE83" s="85" t="inlineStr"/>
    </row>
    <row r="84" customFormat="1" s="79">
      <c r="A84" s="73" t="n">
        <v>5420000032</v>
      </c>
      <c r="B84" s="74" t="inlineStr">
        <is>
          <t>Natural Gas</t>
        </is>
      </c>
      <c r="C84" s="74" t="inlineStr">
        <is>
          <t>Australia</t>
        </is>
      </c>
      <c r="D84" s="74" t="inlineStr">
        <is>
          <t>QLD</t>
        </is>
      </c>
      <c r="E84" s="74" t="inlineStr">
        <is>
          <t>AU Small Energy</t>
        </is>
      </c>
      <c r="F84" s="74" t="inlineStr">
        <is>
          <t>Rail - Maryborough</t>
        </is>
      </c>
      <c r="G84" s="74" t="inlineStr">
        <is>
          <t>23 Bowen Street Maryborough QLD 4650</t>
        </is>
      </c>
      <c r="H84" s="74" t="inlineStr">
        <is>
          <t>DOWNER EDI RAIL PTY LTD (ABN: 92 000 002 031)</t>
        </is>
      </c>
      <c r="I84" s="74" t="inlineStr">
        <is>
          <t>ROLLING STOCK</t>
        </is>
      </c>
      <c r="J84" s="74" t="inlineStr">
        <is>
          <t>MJ</t>
        </is>
      </c>
      <c r="K84" s="89" t="n">
        <v>888078</v>
      </c>
      <c r="L84" s="74" t="inlineStr">
        <is>
          <t>Origin</t>
        </is>
      </c>
      <c r="M84" s="90" t="inlineStr">
        <is>
          <t>Origin</t>
        </is>
      </c>
      <c r="N84" s="90" t="n">
        <v>46204</v>
      </c>
      <c r="O84" s="90" t="n">
        <v>46934</v>
      </c>
      <c r="P84" s="74" t="inlineStr">
        <is>
          <t>24 months</t>
        </is>
      </c>
      <c r="Q84" s="91">
        <f t="array" ref="Q84:S84">IFERROR(ROUNDUP(_xlfn.XLOOKUP(A84,'Budget FY26-28'!A:A,'Budget FY26-28'!M:O)*(1+Summary!$C$2), -2), "")</f>
        <v/>
      </c>
      <c r="R84" s="91" t="n">
        <v>41300</v>
      </c>
      <c r="S84" s="91" t="n">
        <v>41300</v>
      </c>
      <c r="T84" s="74" t="inlineStr">
        <is>
          <t>Ready</t>
        </is>
      </c>
      <c r="U84" s="78" t="n"/>
      <c r="V84" s="84" t="inlineStr">
        <is>
          <t>A-0870F40E_5420000032</t>
        </is>
      </c>
      <c r="W84" s="84" t="inlineStr">
        <is>
          <t>Natural Gas - PDF Parsing</t>
        </is>
      </c>
      <c r="X84" s="84" t="inlineStr">
        <is>
          <t>Natural Gas [GJ]</t>
        </is>
      </c>
      <c r="Y84" s="84" t="inlineStr">
        <is>
          <t>Origin</t>
        </is>
      </c>
      <c r="Z84" s="84" t="inlineStr">
        <is>
          <t>Maryborough</t>
        </is>
      </c>
      <c r="AA84" s="84" t="inlineStr">
        <is>
          <t>3011</t>
        </is>
      </c>
      <c r="AB84" s="84" t="inlineStr">
        <is>
          <t>Active</t>
        </is>
      </c>
      <c r="AC84" s="84" t="inlineStr">
        <is>
          <t>Connection ID is the account number suffix</t>
        </is>
      </c>
      <c r="AD84" s="85" t="inlineStr">
        <is>
          <t>15001100210_5420000032</t>
        </is>
      </c>
      <c r="AE84" s="85" t="inlineStr">
        <is>
          <t>LGCS_QGGG000010 (at this location, different ID) - historical · LGCS_QGGG000320 (at this location, different ID) - historical</t>
        </is>
      </c>
    </row>
    <row r="85" customFormat="1" s="79">
      <c r="A85" s="73" t="n">
        <v>5510484999</v>
      </c>
      <c r="B85" s="74" t="inlineStr">
        <is>
          <t>Natural Gas</t>
        </is>
      </c>
      <c r="C85" s="74" t="inlineStr">
        <is>
          <t>Australia</t>
        </is>
      </c>
      <c r="D85" s="74" t="inlineStr">
        <is>
          <t>SA</t>
        </is>
      </c>
      <c r="E85" s="74" t="inlineStr">
        <is>
          <t>AU Small Energy</t>
        </is>
      </c>
      <c r="F85" s="74" t="inlineStr">
        <is>
          <t>Roads - Largs Bay</t>
        </is>
      </c>
      <c r="G85" s="74" t="inlineStr">
        <is>
          <t>188 Jetty Road Largs Bay SA 5016</t>
        </is>
      </c>
      <c r="H85" s="74" t="inlineStr">
        <is>
          <t>DOWNER EDI WORKS PTY LTD (ABN: 66 008 709 608)</t>
        </is>
      </c>
      <c r="I85" s="74" t="inlineStr">
        <is>
          <t>ROAD SERVICES</t>
        </is>
      </c>
      <c r="J85" s="74" t="inlineStr">
        <is>
          <t>MJ</t>
        </is>
      </c>
      <c r="K85" s="89" t="n">
        <v>766606</v>
      </c>
      <c r="L85" s="74" t="inlineStr">
        <is>
          <t>EnergyAustralia</t>
        </is>
      </c>
      <c r="M85" s="90" t="inlineStr">
        <is>
          <t>Origin</t>
        </is>
      </c>
      <c r="N85" s="90" t="n">
        <v>46204</v>
      </c>
      <c r="O85" s="90" t="n">
        <v>46934</v>
      </c>
      <c r="P85" s="74" t="inlineStr">
        <is>
          <t>24 months</t>
        </is>
      </c>
      <c r="Q85" s="91">
        <f t="array" ref="Q85:S85">IFERROR(ROUNDUP(_xlfn.XLOOKUP(A85,'Budget FY26-28'!A:A,'Budget FY26-28'!M:O)*(1+Summary!$C$2), -2), "")</f>
        <v/>
      </c>
      <c r="R85" s="91" t="n">
        <v>26500</v>
      </c>
      <c r="S85" s="91" t="n">
        <v>26500</v>
      </c>
      <c r="T85" s="74" t="inlineStr">
        <is>
          <t>Ready</t>
        </is>
      </c>
      <c r="U85" s="78" t="n"/>
      <c r="V85" s="84" t="inlineStr">
        <is>
          <t>1262946362_5510484999</t>
        </is>
      </c>
      <c r="W85" s="84" t="inlineStr">
        <is>
          <t>Natural Gas - PDF Parsing</t>
        </is>
      </c>
      <c r="X85" s="84" t="inlineStr">
        <is>
          <t>Natural Gas [GJ]</t>
        </is>
      </c>
      <c r="Y85" s="84" t="inlineStr">
        <is>
          <t>EnergyAustralia</t>
        </is>
      </c>
      <c r="Z85" s="84" t="inlineStr">
        <is>
          <t>Largs Bay</t>
        </is>
      </c>
      <c r="AA85" s="84" t="inlineStr">
        <is>
          <t>163</t>
        </is>
      </c>
      <c r="AB85" s="84" t="inlineStr">
        <is>
          <t>Active</t>
        </is>
      </c>
      <c r="AC85" s="84" t="inlineStr">
        <is>
          <t>Connection ID is the account number suffix</t>
        </is>
      </c>
      <c r="AD85" s="85" t="inlineStr">
        <is>
          <t>15000050510_5510484999; 50002669746_5510484999</t>
        </is>
      </c>
      <c r="AE85" s="85" t="inlineStr">
        <is>
          <t>LGCS_SAAAAAB023 (at this location, different ID) - historical · LGCS_SAAAAAC481 (at this location, different ID) - historical</t>
        </is>
      </c>
    </row>
    <row r="86" customFormat="1" s="79">
      <c r="A86" s="73" t="n">
        <v>5321918308</v>
      </c>
      <c r="B86" s="74" t="inlineStr">
        <is>
          <t>Natural Gas</t>
        </is>
      </c>
      <c r="C86" s="74" t="inlineStr">
        <is>
          <t>Australia</t>
        </is>
      </c>
      <c r="D86" s="74" t="inlineStr">
        <is>
          <t>VIC</t>
        </is>
      </c>
      <c r="E86" s="74" t="inlineStr">
        <is>
          <t>AU Small Energy</t>
        </is>
      </c>
      <c r="F86" s="74" t="inlineStr">
        <is>
          <t>Fowlers Asphalting Trafalgar (Contour Road)</t>
        </is>
      </c>
      <c r="G86" s="74" t="inlineStr">
        <is>
          <t>100 Contour Road Trafalgar VIC 3824</t>
        </is>
      </c>
      <c r="H86" s="74" t="inlineStr">
        <is>
          <t>FOWLERS ASPHALTING PTY. LIMITED (ABN: 86 007 406 386)</t>
        </is>
      </c>
      <c r="I86" s="74" t="inlineStr">
        <is>
          <t>ROAD SERVICES</t>
        </is>
      </c>
      <c r="J86" s="74" t="inlineStr">
        <is>
          <t>MJ</t>
        </is>
      </c>
      <c r="K86" s="89" t="n">
        <v>0</v>
      </c>
      <c r="L86" s="74" t="inlineStr">
        <is>
          <t>Origin</t>
        </is>
      </c>
      <c r="M86" s="90" t="inlineStr">
        <is>
          <t>Origin</t>
        </is>
      </c>
      <c r="N86" s="90" t="n">
        <v>46204</v>
      </c>
      <c r="O86" s="90" t="n">
        <v>46934</v>
      </c>
      <c r="P86" s="74" t="inlineStr">
        <is>
          <t>24 months</t>
        </is>
      </c>
      <c r="Q86" s="91">
        <f t="array" ref="Q86:S86">IFERROR(ROUNDUP(_xlfn.XLOOKUP(A86,'Budget FY26-28'!A:A,'Budget FY26-28'!M:O)*(1+Summary!$C$2), -2), "")</f>
        <v/>
      </c>
      <c r="R86" s="91" t="n">
        <v>500</v>
      </c>
      <c r="S86" s="91" t="n">
        <v>500</v>
      </c>
      <c r="T86" s="74" t="inlineStr">
        <is>
          <t>Ready</t>
        </is>
      </c>
      <c r="U86" s="78" t="n"/>
      <c r="V86" s="84" t="inlineStr">
        <is>
          <t>A-25171392_5321918308</t>
        </is>
      </c>
      <c r="W86" s="84" t="inlineStr">
        <is>
          <t>Natural Gas - PDF Parsing</t>
        </is>
      </c>
      <c r="X86" s="84" t="inlineStr">
        <is>
          <t>Natural Gas [GJ]</t>
        </is>
      </c>
      <c r="Y86" s="84" t="inlineStr">
        <is>
          <t>Origin</t>
        </is>
      </c>
      <c r="Z86" s="84" t="inlineStr">
        <is>
          <t>Fowlers Asphalting, Trafalgar Depot</t>
        </is>
      </c>
      <c r="AA86" s="84" t="inlineStr"/>
      <c r="AB86" s="84" t="inlineStr">
        <is>
          <t>Active</t>
        </is>
      </c>
      <c r="AC86" s="84" t="inlineStr">
        <is>
          <t>Connection ID is the account number suffix</t>
        </is>
      </c>
      <c r="AD86" s="85" t="inlineStr">
        <is>
          <t>300007860145_5321918308; 300046364232_5321918308</t>
        </is>
      </c>
      <c r="AE86" s="85" t="inlineStr">
        <is>
          <t>LGCS_6305110585 (at this location, different ID) - historical</t>
        </is>
      </c>
    </row>
    <row r="87" customFormat="1" s="72">
      <c r="A87" s="66" t="n">
        <v>7001184714</v>
      </c>
      <c r="B87" s="67" t="inlineStr">
        <is>
          <t>Electricity</t>
        </is>
      </c>
      <c r="C87" s="67" t="inlineStr">
        <is>
          <t>Australia</t>
        </is>
      </c>
      <c r="D87" s="67" t="inlineStr">
        <is>
          <t>ACT</t>
        </is>
      </c>
      <c r="E87" s="67" t="inlineStr">
        <is>
          <t>AU Large Electricity</t>
        </is>
      </c>
      <c r="F87" s="67" t="inlineStr">
        <is>
          <t>Roads - Hume</t>
        </is>
      </c>
      <c r="G87" s="67" t="inlineStr">
        <is>
          <t>36 Sawmill Circuit</t>
        </is>
      </c>
      <c r="H87" s="67" t="inlineStr">
        <is>
          <t>DOWNER EDI SERVICES PTY LTD (ABN: 71 137 732 042)</t>
        </is>
      </c>
      <c r="I87" s="67" t="inlineStr">
        <is>
          <t>T&amp;I</t>
        </is>
      </c>
      <c r="J87" s="67" t="inlineStr">
        <is>
          <t>kWh</t>
        </is>
      </c>
      <c r="K87" s="86" t="n">
        <v>928827.6759999999</v>
      </c>
      <c r="L87" s="67" t="inlineStr">
        <is>
          <t>Origin</t>
        </is>
      </c>
      <c r="M87" s="87" t="inlineStr">
        <is>
          <t>Origin</t>
        </is>
      </c>
      <c r="N87" s="87" t="n">
        <v>46204</v>
      </c>
      <c r="O87" s="87" t="n">
        <v>46934</v>
      </c>
      <c r="P87" s="67" t="inlineStr">
        <is>
          <t>24 months</t>
        </is>
      </c>
      <c r="Q87" s="88">
        <f t="array" ref="Q87:S87">IFERROR(ROUNDUP(_xlfn.XLOOKUP(A87,'Budget FY26-28'!A:A,'Budget FY26-28'!M:O)*(1+Summary!$C$2), -2), "")</f>
        <v/>
      </c>
      <c r="R87" s="88" t="n">
        <v>194100</v>
      </c>
      <c r="S87" s="88" t="n">
        <v>192500</v>
      </c>
      <c r="T87" s="67" t="inlineStr">
        <is>
          <t>Ready</t>
        </is>
      </c>
      <c r="U87" s="71" t="n"/>
      <c r="V87" s="84" t="inlineStr">
        <is>
          <t>50002618040_7001184714</t>
        </is>
      </c>
      <c r="W87" s="84" t="inlineStr">
        <is>
          <t>Electricity Large Market</t>
        </is>
      </c>
      <c r="X87" s="84" t="inlineStr">
        <is>
          <t>Electricity [kWh]</t>
        </is>
      </c>
      <c r="Y87" s="84" t="inlineStr">
        <is>
          <t>Origin</t>
        </is>
      </c>
      <c r="Z87" s="84" t="inlineStr">
        <is>
          <t>Asphalt Prod - Hume (101)</t>
        </is>
      </c>
      <c r="AA87" s="84" t="inlineStr">
        <is>
          <t>101</t>
        </is>
      </c>
      <c r="AB87" s="84" t="inlineStr">
        <is>
          <t>Active</t>
        </is>
      </c>
      <c r="AC87" s="84" t="inlineStr">
        <is>
          <t>Connection ID is the account number suffix</t>
        </is>
      </c>
      <c r="AD87" s="85" t="inlineStr">
        <is>
          <t>50002618040_7001184714_CERTS; LGCS_7001184714; 385317_7001184714</t>
        </is>
      </c>
      <c r="AE87" s="85" t="inlineStr">
        <is>
          <t>50002618040_7001184714_CERTS (live) · LGCS_7001184714 - historical</t>
        </is>
      </c>
    </row>
    <row r="88" customFormat="1" s="72">
      <c r="A88" s="66" t="n">
        <v>4001127731</v>
      </c>
      <c r="B88" s="67" t="inlineStr">
        <is>
          <t>Electricity</t>
        </is>
      </c>
      <c r="C88" s="67" t="inlineStr">
        <is>
          <t>Australia</t>
        </is>
      </c>
      <c r="D88" s="67" t="inlineStr">
        <is>
          <t>NSW</t>
        </is>
      </c>
      <c r="E88" s="67" t="inlineStr">
        <is>
          <t>AU Large Electricity</t>
        </is>
      </c>
      <c r="F88" s="67" t="inlineStr">
        <is>
          <t>Roads - Jerramadra (Mogo)</t>
        </is>
      </c>
      <c r="G88" s="67" t="inlineStr">
        <is>
          <t>55 Princes Highway</t>
        </is>
      </c>
      <c r="H88" s="67" t="inlineStr">
        <is>
          <t>DOWNER EDI WORKS PTY LTD (ABN: 66 008 709 608)</t>
        </is>
      </c>
      <c r="I88" s="67" t="inlineStr">
        <is>
          <t>T&amp;I</t>
        </is>
      </c>
      <c r="J88" s="67" t="inlineStr">
        <is>
          <t>kWh</t>
        </is>
      </c>
      <c r="K88" s="86" t="n">
        <v>44278.31</v>
      </c>
      <c r="L88" s="67" t="inlineStr">
        <is>
          <t>Origin</t>
        </is>
      </c>
      <c r="M88" s="87" t="inlineStr">
        <is>
          <t>Origin</t>
        </is>
      </c>
      <c r="N88" s="87" t="n">
        <v>46204</v>
      </c>
      <c r="O88" s="87" t="n">
        <v>46934</v>
      </c>
      <c r="P88" s="67" t="inlineStr">
        <is>
          <t>24 months</t>
        </is>
      </c>
      <c r="Q88" s="88">
        <f t="array" ref="Q88:S88">IFERROR(ROUNDUP(_xlfn.XLOOKUP(A88,'Budget FY26-28'!A:A,'Budget FY26-28'!M:O)*(1+Summary!$C$2), -2), "")</f>
        <v/>
      </c>
      <c r="R88" s="88" t="n">
        <v>22100</v>
      </c>
      <c r="S88" s="88" t="n">
        <v>22100</v>
      </c>
      <c r="T88" s="67" t="inlineStr">
        <is>
          <t>Ready</t>
        </is>
      </c>
      <c r="U88" s="71" t="n"/>
      <c r="V88" s="84" t="inlineStr">
        <is>
          <t>50002769514_4001127731</t>
        </is>
      </c>
      <c r="W88" s="84" t="inlineStr">
        <is>
          <t>Electricity Small Market</t>
        </is>
      </c>
      <c r="X88" s="84" t="inlineStr">
        <is>
          <t>Electricity [kWh]</t>
        </is>
      </c>
      <c r="Y88" s="84" t="inlineStr">
        <is>
          <t>Origin</t>
        </is>
      </c>
      <c r="Z88" s="84" t="inlineStr">
        <is>
          <t>Asphalt Prod - Mogo (154)</t>
        </is>
      </c>
      <c r="AA88" s="84" t="inlineStr">
        <is>
          <t>154</t>
        </is>
      </c>
      <c r="AB88" s="84" t="inlineStr">
        <is>
          <t>Active</t>
        </is>
      </c>
      <c r="AC88" s="84" t="inlineStr">
        <is>
          <t>Connection ID is the account number suffix</t>
        </is>
      </c>
      <c r="AD88" s="85" t="inlineStr">
        <is>
          <t>LGCS_4001127731; 9863438916_4001127731; 200021562893_4001127731</t>
        </is>
      </c>
      <c r="AE88" s="85" t="inlineStr">
        <is>
          <t>50002769514_4001127731_CERTS (to create) · LGCS_4001127731 - historical · LGCS_4204072845 (at this location, different ID) - historical</t>
        </is>
      </c>
    </row>
    <row r="89" customFormat="1" s="72">
      <c r="A89" s="66" t="n">
        <v>4001158058</v>
      </c>
      <c r="B89" s="67" t="inlineStr">
        <is>
          <t>Electricity</t>
        </is>
      </c>
      <c r="C89" s="67" t="inlineStr">
        <is>
          <t>Australia</t>
        </is>
      </c>
      <c r="D89" s="67" t="inlineStr">
        <is>
          <t>NSW</t>
        </is>
      </c>
      <c r="E89" s="67" t="inlineStr">
        <is>
          <t>AU Large Electricity</t>
        </is>
      </c>
      <c r="F89" s="67" t="inlineStr">
        <is>
          <t>Roads - Tamworth</t>
        </is>
      </c>
      <c r="G89" s="67" t="inlineStr">
        <is>
          <t>15 Armstrong Street</t>
        </is>
      </c>
      <c r="H89" s="67" t="inlineStr">
        <is>
          <t>DOWNER EDI SERVICES PTY LTD (ABN: 71 137 732 042)</t>
        </is>
      </c>
      <c r="I89" s="67" t="inlineStr">
        <is>
          <t>T&amp;I</t>
        </is>
      </c>
      <c r="J89" s="67" t="inlineStr">
        <is>
          <t>kWh</t>
        </is>
      </c>
      <c r="K89" s="86" t="n">
        <v>0</v>
      </c>
      <c r="L89" s="67" t="inlineStr">
        <is>
          <t>Origin</t>
        </is>
      </c>
      <c r="M89" s="87" t="inlineStr">
        <is>
          <t>Origin</t>
        </is>
      </c>
      <c r="N89" s="87" t="n">
        <v>46204</v>
      </c>
      <c r="O89" s="87" t="n">
        <v>46934</v>
      </c>
      <c r="P89" s="67" t="inlineStr">
        <is>
          <t>24 months</t>
        </is>
      </c>
      <c r="Q89" s="88">
        <f t="array" ref="Q89:S89">IFERROR(ROUNDUP(_xlfn.XLOOKUP(A89,'Budget FY26-28'!A:A,'Budget FY26-28'!M:O)*(1+Summary!$C$2), -2), "")</f>
        <v/>
      </c>
      <c r="R89" s="88" t="n">
        <v>0</v>
      </c>
      <c r="S89" s="88" t="n">
        <v>0</v>
      </c>
      <c r="T89" s="67" t="inlineStr">
        <is>
          <t>Review required</t>
        </is>
      </c>
      <c r="U89" s="71" t="inlineStr">
        <is>
          <t>No consumption reported</t>
        </is>
      </c>
      <c r="V89" s="84" t="inlineStr">
        <is>
          <t>50002617983_4001158058</t>
        </is>
      </c>
      <c r="W89" s="84" t="inlineStr">
        <is>
          <t>Electricity Large Market</t>
        </is>
      </c>
      <c r="X89" s="84" t="inlineStr">
        <is>
          <t>Electricity [kWh]</t>
        </is>
      </c>
      <c r="Y89" s="84" t="inlineStr">
        <is>
          <t>Origin</t>
        </is>
      </c>
      <c r="Z89" s="84" t="inlineStr">
        <is>
          <t>Tamworth</t>
        </is>
      </c>
      <c r="AA89" s="84" t="inlineStr">
        <is>
          <t>170937</t>
        </is>
      </c>
      <c r="AB89" s="84" t="inlineStr">
        <is>
          <t>Active</t>
        </is>
      </c>
      <c r="AC89" s="84" t="inlineStr">
        <is>
          <t>Connection ID is the account number suffix</t>
        </is>
      </c>
      <c r="AD89" s="85" t="inlineStr">
        <is>
          <t>50002617983_4001158058_CERTS; LGCS_4001158058; 385299_4001158058</t>
        </is>
      </c>
      <c r="AE89" s="85" t="inlineStr">
        <is>
          <t>50002617983_4001158058_CERTS (live) · LGCS_4001158058 - historical</t>
        </is>
      </c>
    </row>
    <row r="90" customFormat="1" s="72">
      <c r="A90" s="66" t="n">
        <v>4001198085</v>
      </c>
      <c r="B90" s="67" t="inlineStr">
        <is>
          <t>Electricity</t>
        </is>
      </c>
      <c r="C90" s="67" t="inlineStr">
        <is>
          <t>Australia</t>
        </is>
      </c>
      <c r="D90" s="67" t="inlineStr">
        <is>
          <t>NSW</t>
        </is>
      </c>
      <c r="E90" s="67" t="inlineStr">
        <is>
          <t>AU Large Electricity</t>
        </is>
      </c>
      <c r="F90" s="67" t="inlineStr">
        <is>
          <t>NSW Schools 2 - Kelso HS</t>
        </is>
      </c>
      <c r="G90" s="67" t="inlineStr">
        <is>
          <t>88 Boyd St</t>
        </is>
      </c>
      <c r="H90" s="67" t="inlineStr">
        <is>
          <t>SPOTLESS FACILITY SERVICES PTY LTD (ABN: 83 072 293 880)</t>
        </is>
      </c>
      <c r="I90" s="67" t="inlineStr">
        <is>
          <t>SICS</t>
        </is>
      </c>
      <c r="J90" s="67" t="inlineStr">
        <is>
          <t>kWh</t>
        </is>
      </c>
      <c r="K90" s="86" t="n">
        <v>399092.86</v>
      </c>
      <c r="L90" s="67" t="inlineStr">
        <is>
          <t>Origin</t>
        </is>
      </c>
      <c r="M90" s="87" t="inlineStr">
        <is>
          <t>Origin</t>
        </is>
      </c>
      <c r="N90" s="87" t="n">
        <v>46204</v>
      </c>
      <c r="O90" s="87" t="n">
        <v>46934</v>
      </c>
      <c r="P90" s="67" t="inlineStr">
        <is>
          <t>24 months</t>
        </is>
      </c>
      <c r="Q90" s="88">
        <f t="array" ref="Q90:S90">IFERROR(ROUNDUP(_xlfn.XLOOKUP(A90,'Budget FY26-28'!A:A,'Budget FY26-28'!M:O)*(1+Summary!$C$2), -2), "")</f>
        <v/>
      </c>
      <c r="R90" s="88" t="n">
        <v>119700</v>
      </c>
      <c r="S90" s="88" t="n">
        <v>118900</v>
      </c>
      <c r="T90" s="67" t="inlineStr">
        <is>
          <t>Ready</t>
        </is>
      </c>
      <c r="U90" s="71" t="n"/>
      <c r="V90" s="84" t="inlineStr">
        <is>
          <t>50002617982_4001198085</t>
        </is>
      </c>
      <c r="W90" s="84" t="inlineStr">
        <is>
          <t>Electricity Large Market</t>
        </is>
      </c>
      <c r="X90" s="84" t="inlineStr">
        <is>
          <t>Electricity [kWh]</t>
        </is>
      </c>
      <c r="Y90" s="84" t="inlineStr">
        <is>
          <t>Origin</t>
        </is>
      </c>
      <c r="Z90" s="84" t="inlineStr">
        <is>
          <t>PPP - NSW Schools 2 (Kelso HS)</t>
        </is>
      </c>
      <c r="AA90" s="84" t="inlineStr">
        <is>
          <t>9002</t>
        </is>
      </c>
      <c r="AB90" s="84" t="inlineStr">
        <is>
          <t>Active</t>
        </is>
      </c>
      <c r="AC90" s="84" t="inlineStr">
        <is>
          <t>Connection ID is the account number suffix</t>
        </is>
      </c>
      <c r="AD90" s="85" t="inlineStr">
        <is>
          <t>50002617982_4001198085_CERTS; 385274_4001198085</t>
        </is>
      </c>
      <c r="AE90" s="85" t="inlineStr">
        <is>
          <t>50002617982_4001198085_CERTS (live)</t>
        </is>
      </c>
    </row>
    <row r="91" customFormat="1" s="72">
      <c r="A91" s="66" t="n">
        <v>4001200751</v>
      </c>
      <c r="B91" s="67" t="inlineStr">
        <is>
          <t>Electricity</t>
        </is>
      </c>
      <c r="C91" s="67" t="inlineStr">
        <is>
          <t>Australia</t>
        </is>
      </c>
      <c r="D91" s="67" t="inlineStr">
        <is>
          <t>NSW</t>
        </is>
      </c>
      <c r="E91" s="67" t="inlineStr">
        <is>
          <t>AU Large Electricity</t>
        </is>
      </c>
      <c r="F91" s="67" t="inlineStr">
        <is>
          <t>Defence - HQJOC</t>
        </is>
      </c>
      <c r="G91" s="67" t="inlineStr">
        <is>
          <t>5835 Kings Hwy</t>
        </is>
      </c>
      <c r="H91" s="67" t="inlineStr">
        <is>
          <t>SPOTLESS FACILITY SERVICES PTY LTD (ABN: 83 072 293 880)</t>
        </is>
      </c>
      <c r="I91" s="67" t="inlineStr">
        <is>
          <t>SICS</t>
        </is>
      </c>
      <c r="J91" s="67" t="inlineStr">
        <is>
          <t>kWh</t>
        </is>
      </c>
      <c r="K91" s="86" t="n">
        <v>10268531.8</v>
      </c>
      <c r="L91" s="67" t="inlineStr">
        <is>
          <t>Origin</t>
        </is>
      </c>
      <c r="M91" s="87" t="inlineStr">
        <is>
          <t>Origin</t>
        </is>
      </c>
      <c r="N91" s="87" t="n">
        <v>46204</v>
      </c>
      <c r="O91" s="87" t="n">
        <v>46934</v>
      </c>
      <c r="P91" s="67" t="inlineStr">
        <is>
          <t>24 months</t>
        </is>
      </c>
      <c r="Q91" s="88">
        <f t="array" ref="Q91:S91">IFERROR(ROUNDUP(_xlfn.XLOOKUP(A91,'Budget FY26-28'!A:A,'Budget FY26-28'!M:O)*(1+Summary!$C$2), -2), "")</f>
        <v/>
      </c>
      <c r="R91" s="88" t="n">
        <v>1916900</v>
      </c>
      <c r="S91" s="88" t="n">
        <v>1906600</v>
      </c>
      <c r="T91" s="67" t="inlineStr">
        <is>
          <t>Ready</t>
        </is>
      </c>
      <c r="U91" s="71" t="n"/>
      <c r="V91" s="84" t="inlineStr">
        <is>
          <t>50002617969_4001200751</t>
        </is>
      </c>
      <c r="W91" s="84" t="inlineStr">
        <is>
          <t>Electricity Large Market</t>
        </is>
      </c>
      <c r="X91" s="84" t="inlineStr">
        <is>
          <t>Electricity [kWh]</t>
        </is>
      </c>
      <c r="Y91" s="84" t="inlineStr">
        <is>
          <t>Origin</t>
        </is>
      </c>
      <c r="Z91" s="84" t="inlineStr">
        <is>
          <t>PPP - HQJOC (ACT)</t>
        </is>
      </c>
      <c r="AA91" s="84" t="inlineStr">
        <is>
          <t>9092</t>
        </is>
      </c>
      <c r="AB91" s="84" t="inlineStr">
        <is>
          <t>Active</t>
        </is>
      </c>
      <c r="AC91" s="84" t="inlineStr">
        <is>
          <t>Connection ID is the account number suffix</t>
        </is>
      </c>
      <c r="AD91" s="85" t="inlineStr">
        <is>
          <t>50002617969_4001200751_CERTS; 385289_4001200751</t>
        </is>
      </c>
      <c r="AE91" s="85" t="inlineStr">
        <is>
          <t>50002617969_4001200751_CERTS (live)</t>
        </is>
      </c>
    </row>
    <row r="92" customFormat="1" s="72">
      <c r="A92" s="66" t="n">
        <v>4001287259</v>
      </c>
      <c r="B92" s="67" t="inlineStr">
        <is>
          <t>Electricity</t>
        </is>
      </c>
      <c r="C92" s="67" t="inlineStr">
        <is>
          <t>Australia</t>
        </is>
      </c>
      <c r="D92" s="67" t="inlineStr">
        <is>
          <t>NSW</t>
        </is>
      </c>
      <c r="E92" s="67" t="inlineStr">
        <is>
          <t>AU Large Electricity</t>
        </is>
      </c>
      <c r="F92" s="67" t="inlineStr">
        <is>
          <t>RPQ SPRAYSEAL</t>
        </is>
      </c>
      <c r="G92" s="67" t="inlineStr">
        <is>
          <t>Lot 12 122 Gwydir St</t>
        </is>
      </c>
      <c r="H92" s="67" t="inlineStr">
        <is>
          <t>RPQ PTY LTD (ABN: 53 010 760 826)</t>
        </is>
      </c>
      <c r="I92" s="67" t="inlineStr">
        <is>
          <t>T&amp;I</t>
        </is>
      </c>
      <c r="J92" s="67" t="inlineStr">
        <is>
          <t>kWh</t>
        </is>
      </c>
      <c r="K92" s="86" t="n">
        <v>171810.509</v>
      </c>
      <c r="L92" s="67" t="inlineStr">
        <is>
          <t>Origin</t>
        </is>
      </c>
      <c r="M92" s="87" t="inlineStr">
        <is>
          <t>Origin</t>
        </is>
      </c>
      <c r="N92" s="87" t="n">
        <v>46204</v>
      </c>
      <c r="O92" s="87" t="n">
        <v>46934</v>
      </c>
      <c r="P92" s="67" t="inlineStr">
        <is>
          <t>24 months</t>
        </is>
      </c>
      <c r="Q92" s="88">
        <f t="array" ref="Q92:S92">IFERROR(ROUNDUP(_xlfn.XLOOKUP(A92,'Budget FY26-28'!A:A,'Budget FY26-28'!M:O)*(1+Summary!$C$2), -2), "")</f>
        <v/>
      </c>
      <c r="R92" s="88" t="n">
        <v>41600</v>
      </c>
      <c r="S92" s="88" t="n">
        <v>41500</v>
      </c>
      <c r="T92" s="67" t="inlineStr">
        <is>
          <t>Ready</t>
        </is>
      </c>
      <c r="U92" s="71" t="n"/>
      <c r="V92" s="84" t="inlineStr">
        <is>
          <t>50002617997_4001287259</t>
        </is>
      </c>
      <c r="W92" s="84" t="inlineStr">
        <is>
          <t>Electricity Large Market</t>
        </is>
      </c>
      <c r="X92" s="84" t="inlineStr">
        <is>
          <t>Electricity [kWh]</t>
        </is>
      </c>
      <c r="Y92" s="84" t="inlineStr">
        <is>
          <t>Origin</t>
        </is>
      </c>
      <c r="Z92" s="84" t="inlineStr">
        <is>
          <t>RPQ NSW Moree</t>
        </is>
      </c>
      <c r="AA92" s="84" t="inlineStr">
        <is>
          <t>L9.J.171220</t>
        </is>
      </c>
      <c r="AB92" s="84" t="inlineStr">
        <is>
          <t>Active</t>
        </is>
      </c>
      <c r="AC92" s="84" t="inlineStr">
        <is>
          <t>Connection ID is the account number suffix</t>
        </is>
      </c>
      <c r="AD92" s="85" t="inlineStr">
        <is>
          <t>50002617997_4001287259_CERTS; LGCS_4001287259; LGCS_4001287259; 200034933644_4001287259</t>
        </is>
      </c>
      <c r="AE92" s="85" t="inlineStr">
        <is>
          <t>50002617997_4001287259_CERTS (live) · LGCS_4001287259 - historical</t>
        </is>
      </c>
    </row>
    <row r="93" customFormat="1" s="72">
      <c r="A93" s="66" t="n">
        <v>4103689689</v>
      </c>
      <c r="B93" s="67" t="inlineStr">
        <is>
          <t>Electricity</t>
        </is>
      </c>
      <c r="C93" s="67" t="inlineStr">
        <is>
          <t>Australia</t>
        </is>
      </c>
      <c r="D93" s="67" t="inlineStr">
        <is>
          <t>NSW</t>
        </is>
      </c>
      <c r="E93" s="67" t="inlineStr">
        <is>
          <t>AU Large Electricity</t>
        </is>
      </c>
      <c r="F93" s="67" t="inlineStr">
        <is>
          <t>NSW Schools 2-  Ashtonfield</t>
        </is>
      </c>
      <c r="G93" s="67" t="inlineStr">
        <is>
          <t>4642 Norfolk Street</t>
        </is>
      </c>
      <c r="H93" s="67" t="inlineStr">
        <is>
          <t>SPOTLESS FACILITY SERVICES PTY LTD (ABN: 83 072 293 880)</t>
        </is>
      </c>
      <c r="I93" s="67" t="inlineStr">
        <is>
          <t>SICS</t>
        </is>
      </c>
      <c r="J93" s="67" t="inlineStr">
        <is>
          <t>kWh</t>
        </is>
      </c>
      <c r="K93" s="86" t="n">
        <v>143552.12</v>
      </c>
      <c r="L93" s="67" t="inlineStr">
        <is>
          <t>Origin</t>
        </is>
      </c>
      <c r="M93" s="87" t="inlineStr">
        <is>
          <t>Origin</t>
        </is>
      </c>
      <c r="N93" s="87" t="n">
        <v>46204</v>
      </c>
      <c r="O93" s="87" t="n">
        <v>46934</v>
      </c>
      <c r="P93" s="67" t="inlineStr">
        <is>
          <t>24 months</t>
        </is>
      </c>
      <c r="Q93" s="88">
        <f t="array" ref="Q93:S93">IFERROR(ROUNDUP(_xlfn.XLOOKUP(A93,'Budget FY26-28'!A:A,'Budget FY26-28'!M:O)*(1+Summary!$C$2), -2), "")</f>
        <v/>
      </c>
      <c r="R93" s="88" t="n">
        <v>36800</v>
      </c>
      <c r="S93" s="88" t="n">
        <v>36600</v>
      </c>
      <c r="T93" s="67" t="inlineStr">
        <is>
          <t>Ready</t>
        </is>
      </c>
      <c r="U93" s="71" t="n"/>
      <c r="V93" s="84" t="inlineStr">
        <is>
          <t>50002716068_4103689689</t>
        </is>
      </c>
      <c r="W93" s="84" t="inlineStr">
        <is>
          <t>Electricity Large Market</t>
        </is>
      </c>
      <c r="X93" s="84" t="inlineStr">
        <is>
          <t>Electricity [kWh]</t>
        </is>
      </c>
      <c r="Y93" s="84" t="inlineStr">
        <is>
          <t>Origin</t>
        </is>
      </c>
      <c r="Z93" s="84" t="inlineStr">
        <is>
          <t>PPP - NSW Schools 2 (Ashtonfield PS)</t>
        </is>
      </c>
      <c r="AA93" s="84" t="inlineStr">
        <is>
          <t>9008</t>
        </is>
      </c>
      <c r="AB93" s="84" t="inlineStr">
        <is>
          <t>Active</t>
        </is>
      </c>
      <c r="AC93" s="84" t="inlineStr">
        <is>
          <t>Connection ID is the account number suffix</t>
        </is>
      </c>
      <c r="AD93" s="85" t="inlineStr">
        <is>
          <t>50002716068_4103689689_CERTS</t>
        </is>
      </c>
      <c r="AE93" s="85" t="inlineStr">
        <is>
          <t>50002716068_4103689689_CERTS (live)</t>
        </is>
      </c>
    </row>
    <row r="94" customFormat="1" s="72">
      <c r="A94" s="66" t="n">
        <v>4103705443</v>
      </c>
      <c r="B94" s="67" t="inlineStr">
        <is>
          <t>Electricity</t>
        </is>
      </c>
      <c r="C94" s="67" t="inlineStr">
        <is>
          <t>Australia</t>
        </is>
      </c>
      <c r="D94" s="67" t="inlineStr">
        <is>
          <t>NSW</t>
        </is>
      </c>
      <c r="E94" s="67" t="inlineStr">
        <is>
          <t>AU Large Electricity</t>
        </is>
      </c>
      <c r="F94" s="67" t="inlineStr">
        <is>
          <t>NSW Schools 2- Warnervale PS</t>
        </is>
      </c>
      <c r="G94" s="67" t="inlineStr">
        <is>
          <t>Warnervale Rd</t>
        </is>
      </c>
      <c r="H94" s="67" t="inlineStr">
        <is>
          <t>SPOTLESS FACILITY SERVICES PTY LTD (ABN: 83 072 293 880)</t>
        </is>
      </c>
      <c r="I94" s="67" t="inlineStr">
        <is>
          <t>SICS</t>
        </is>
      </c>
      <c r="J94" s="67" t="inlineStr">
        <is>
          <t>kWh</t>
        </is>
      </c>
      <c r="K94" s="86" t="n">
        <v>106397.96</v>
      </c>
      <c r="L94" s="67" t="inlineStr">
        <is>
          <t>Origin</t>
        </is>
      </c>
      <c r="M94" s="87" t="inlineStr">
        <is>
          <t>Origin</t>
        </is>
      </c>
      <c r="N94" s="87" t="n">
        <v>46204</v>
      </c>
      <c r="O94" s="87" t="n">
        <v>46934</v>
      </c>
      <c r="P94" s="67" t="inlineStr">
        <is>
          <t>24 months</t>
        </is>
      </c>
      <c r="Q94" s="88">
        <f t="array" ref="Q94:S94">IFERROR(ROUNDUP(_xlfn.XLOOKUP(A94,'Budget FY26-28'!A:A,'Budget FY26-28'!M:O)*(1+Summary!$C$2), -2), "")</f>
        <v/>
      </c>
      <c r="R94" s="88" t="n">
        <v>26900</v>
      </c>
      <c r="S94" s="88" t="n">
        <v>26700</v>
      </c>
      <c r="T94" s="67" t="inlineStr">
        <is>
          <t>Ready</t>
        </is>
      </c>
      <c r="U94" s="71" t="n"/>
      <c r="V94" s="84" t="inlineStr">
        <is>
          <t>50002617995_4103705443</t>
        </is>
      </c>
      <c r="W94" s="84" t="inlineStr">
        <is>
          <t>Electricity Large Market</t>
        </is>
      </c>
      <c r="X94" s="84" t="inlineStr">
        <is>
          <t>Electricity [kWh]</t>
        </is>
      </c>
      <c r="Y94" s="84" t="inlineStr">
        <is>
          <t>Origin</t>
        </is>
      </c>
      <c r="Z94" s="84" t="inlineStr">
        <is>
          <t>PPP - NSW Schools 2 (Warnervale PS)</t>
        </is>
      </c>
      <c r="AA94" s="84" t="inlineStr">
        <is>
          <t>9007</t>
        </is>
      </c>
      <c r="AB94" s="84" t="inlineStr">
        <is>
          <t>Active</t>
        </is>
      </c>
      <c r="AC94" s="84" t="inlineStr">
        <is>
          <t>Connection ID is the account number suffix</t>
        </is>
      </c>
      <c r="AD94" s="85" t="inlineStr">
        <is>
          <t>50002617995_4103705443_CERTS; 3229870000_4103705443</t>
        </is>
      </c>
      <c r="AE94" s="85" t="inlineStr">
        <is>
          <t>50002617995_4103705443_CERTS (live)</t>
        </is>
      </c>
    </row>
    <row r="95" customFormat="1" s="72">
      <c r="A95" s="66" t="n">
        <v>4103711576</v>
      </c>
      <c r="B95" s="67" t="inlineStr">
        <is>
          <t>Electricity</t>
        </is>
      </c>
      <c r="C95" s="67" t="inlineStr">
        <is>
          <t>Australia</t>
        </is>
      </c>
      <c r="D95" s="67" t="inlineStr">
        <is>
          <t>NSW</t>
        </is>
      </c>
      <c r="E95" s="67" t="inlineStr">
        <is>
          <t>AU Large Electricity</t>
        </is>
      </c>
      <c r="F95" s="67" t="inlineStr">
        <is>
          <t>Rail - Auburn</t>
        </is>
      </c>
      <c r="G95" s="67" t="inlineStr">
        <is>
          <t>Manchester Road</t>
        </is>
      </c>
      <c r="H95" s="67" t="inlineStr">
        <is>
          <t>DOWNER EDI SERVICES PTY LTD (ABN: 71 137 732 042)</t>
        </is>
      </c>
      <c r="I95" s="67" t="inlineStr">
        <is>
          <t>RAIL</t>
        </is>
      </c>
      <c r="J95" s="67" t="inlineStr">
        <is>
          <t>kWh</t>
        </is>
      </c>
      <c r="K95" s="86" t="n">
        <v>2405011.6</v>
      </c>
      <c r="L95" s="67" t="inlineStr">
        <is>
          <t>Origin</t>
        </is>
      </c>
      <c r="M95" s="87" t="inlineStr">
        <is>
          <t>Origin</t>
        </is>
      </c>
      <c r="N95" s="87" t="n">
        <v>46204</v>
      </c>
      <c r="O95" s="87" t="n">
        <v>46934</v>
      </c>
      <c r="P95" s="67" t="inlineStr">
        <is>
          <t>24 months</t>
        </is>
      </c>
      <c r="Q95" s="88">
        <f t="array" ref="Q95:S95">IFERROR(ROUNDUP(_xlfn.XLOOKUP(A95,'Budget FY26-28'!A:A,'Budget FY26-28'!M:O)*(1+Summary!$C$2), -2), "")</f>
        <v/>
      </c>
      <c r="R95" s="88" t="n">
        <v>409100</v>
      </c>
      <c r="S95" s="88" t="n">
        <v>406500</v>
      </c>
      <c r="T95" s="67" t="inlineStr">
        <is>
          <t>Ready</t>
        </is>
      </c>
      <c r="U95" s="71" t="n"/>
      <c r="V95" s="84" t="inlineStr">
        <is>
          <t>50002617965_4103711576</t>
        </is>
      </c>
      <c r="W95" s="84" t="inlineStr">
        <is>
          <t>Electricity Large Market</t>
        </is>
      </c>
      <c r="X95" s="84" t="inlineStr">
        <is>
          <t>Electricity [kWh]</t>
        </is>
      </c>
      <c r="Y95" s="84" t="inlineStr">
        <is>
          <t>Origin</t>
        </is>
      </c>
      <c r="Z95" s="84" t="inlineStr">
        <is>
          <t>Auburn</t>
        </is>
      </c>
      <c r="AA95" s="84" t="inlineStr">
        <is>
          <t>3002</t>
        </is>
      </c>
      <c r="AB95" s="84" t="inlineStr">
        <is>
          <t>Active</t>
        </is>
      </c>
      <c r="AC95" s="84" t="inlineStr">
        <is>
          <t>Connection ID is the account number suffix</t>
        </is>
      </c>
      <c r="AD95" s="85" t="inlineStr">
        <is>
          <t>50002617965_4103711576_CERTS; LGCS_4103711576; 385297_4103711576</t>
        </is>
      </c>
      <c r="AE95" s="85" t="inlineStr">
        <is>
          <t>50002617965_4103711576_CERTS (live) · LGCS_4103711576 - historical · LGCS_4103713125 (at this location, different ID) - historical</t>
        </is>
      </c>
    </row>
    <row r="96" customFormat="1" s="72">
      <c r="A96" s="66" t="n">
        <v>4103713125</v>
      </c>
      <c r="B96" s="67" t="inlineStr">
        <is>
          <t>Electricity</t>
        </is>
      </c>
      <c r="C96" s="67" t="inlineStr">
        <is>
          <t>Australia</t>
        </is>
      </c>
      <c r="D96" s="67" t="inlineStr">
        <is>
          <t>NSW</t>
        </is>
      </c>
      <c r="E96" s="67" t="inlineStr">
        <is>
          <t>AU Large Electricity</t>
        </is>
      </c>
      <c r="F96" s="67" t="inlineStr">
        <is>
          <t>Rail - Auburn</t>
        </is>
      </c>
      <c r="G96" s="67" t="inlineStr">
        <is>
          <t>Manchester Road</t>
        </is>
      </c>
      <c r="H96" s="67" t="inlineStr">
        <is>
          <t>DOWNER EDI SERVICES PTY LTD (ABN: 71 137 732 042)</t>
        </is>
      </c>
      <c r="I96" s="67" t="inlineStr">
        <is>
          <t>RAIL</t>
        </is>
      </c>
      <c r="J96" s="67" t="inlineStr">
        <is>
          <t>kWh</t>
        </is>
      </c>
      <c r="K96" s="86" t="n">
        <v>1251891.6</v>
      </c>
      <c r="L96" s="67" t="inlineStr">
        <is>
          <t>Origin</t>
        </is>
      </c>
      <c r="M96" s="87" t="inlineStr">
        <is>
          <t>Origin</t>
        </is>
      </c>
      <c r="N96" s="87" t="n">
        <v>46204</v>
      </c>
      <c r="O96" s="87" t="n">
        <v>46934</v>
      </c>
      <c r="P96" s="67" t="inlineStr">
        <is>
          <t>24 months</t>
        </is>
      </c>
      <c r="Q96" s="88">
        <f t="array" ref="Q96:S96">IFERROR(ROUNDUP(_xlfn.XLOOKUP(A96,'Budget FY26-28'!A:A,'Budget FY26-28'!M:O)*(1+Summary!$C$2), -2), "")</f>
        <v/>
      </c>
      <c r="R96" s="88" t="n">
        <v>257800</v>
      </c>
      <c r="S96" s="88" t="n">
        <v>256500</v>
      </c>
      <c r="T96" s="67" t="inlineStr">
        <is>
          <t>Ready</t>
        </is>
      </c>
      <c r="U96" s="71" t="n"/>
      <c r="V96" s="84" t="inlineStr">
        <is>
          <t>50002617957_4103713125</t>
        </is>
      </c>
      <c r="W96" s="84" t="inlineStr">
        <is>
          <t>Electricity Large Market</t>
        </is>
      </c>
      <c r="X96" s="84" t="inlineStr">
        <is>
          <t>Electricity [kWh]</t>
        </is>
      </c>
      <c r="Y96" s="84" t="inlineStr">
        <is>
          <t>Origin</t>
        </is>
      </c>
      <c r="Z96" s="84" t="inlineStr">
        <is>
          <t>Auburn</t>
        </is>
      </c>
      <c r="AA96" s="84" t="inlineStr">
        <is>
          <t>3002</t>
        </is>
      </c>
      <c r="AB96" s="84" t="inlineStr">
        <is>
          <t>Active</t>
        </is>
      </c>
      <c r="AC96" s="84" t="inlineStr">
        <is>
          <t>Connection ID is the account number suffix</t>
        </is>
      </c>
      <c r="AD96" s="85" t="inlineStr">
        <is>
          <t>50002617957_4103713125_CERTS; LGCS_4103713125; 385287_4103713125</t>
        </is>
      </c>
      <c r="AE96" s="85" t="inlineStr">
        <is>
          <t>50002617957_4103713125_CERTS (live) · LGCS_4103711576 (at this location, different ID) - historical · LGCS_4103713125 - historical</t>
        </is>
      </c>
    </row>
    <row r="97" customFormat="1" s="72">
      <c r="A97" s="66" t="n">
        <v>4103737079</v>
      </c>
      <c r="B97" s="67" t="inlineStr">
        <is>
          <t>Electricity</t>
        </is>
      </c>
      <c r="C97" s="67" t="inlineStr">
        <is>
          <t>Australia</t>
        </is>
      </c>
      <c r="D97" s="67" t="inlineStr">
        <is>
          <t>NSW</t>
        </is>
      </c>
      <c r="E97" s="67" t="inlineStr">
        <is>
          <t>AU Large Electricity</t>
        </is>
      </c>
      <c r="F97" s="67" t="inlineStr">
        <is>
          <t>Corporate Office - North Ryde</t>
        </is>
      </c>
      <c r="G97" s="67" t="inlineStr">
        <is>
          <t>Floor 2 - Trinity Bus Campus Bldg A, 39 Delphi Road</t>
        </is>
      </c>
      <c r="H97" s="67" t="inlineStr">
        <is>
          <t>DOWNER EDI SERVICES PTY LTD (ABN: 71 137 732 042)</t>
        </is>
      </c>
      <c r="I97" s="67" t="inlineStr">
        <is>
          <t>CORPORATE</t>
        </is>
      </c>
      <c r="J97" s="67" t="inlineStr">
        <is>
          <t>kWh</t>
        </is>
      </c>
      <c r="K97" s="86" t="n">
        <v>19241.4</v>
      </c>
      <c r="L97" s="67" t="inlineStr">
        <is>
          <t>Origin</t>
        </is>
      </c>
      <c r="M97" s="87" t="inlineStr">
        <is>
          <t>Origin</t>
        </is>
      </c>
      <c r="N97" s="87" t="n">
        <v>46204</v>
      </c>
      <c r="O97" s="87" t="n">
        <v>46934</v>
      </c>
      <c r="P97" s="67" t="inlineStr">
        <is>
          <t>24 months</t>
        </is>
      </c>
      <c r="Q97" s="88">
        <f t="array" ref="Q97:S97">IFERROR(ROUNDUP(_xlfn.XLOOKUP(A97,'Budget FY26-28'!A:A,'Budget FY26-28'!M:O)*(1+Summary!$C$2), -2), "")</f>
        <v/>
      </c>
      <c r="R97" s="88" t="n">
        <v>10800</v>
      </c>
      <c r="S97" s="88" t="n">
        <v>10800</v>
      </c>
      <c r="T97" s="67" t="inlineStr">
        <is>
          <t>Ready</t>
        </is>
      </c>
      <c r="U97" s="71" t="n"/>
      <c r="V97" s="84" t="inlineStr">
        <is>
          <t>50002617973_4103737079</t>
        </is>
      </c>
      <c r="W97" s="84" t="inlineStr">
        <is>
          <t>Electricity Large Market</t>
        </is>
      </c>
      <c r="X97" s="84" t="inlineStr">
        <is>
          <t>Electricity [kWh]</t>
        </is>
      </c>
      <c r="Y97" s="84" t="inlineStr">
        <is>
          <t>Origin</t>
        </is>
      </c>
      <c r="Z97" s="84" t="inlineStr">
        <is>
          <t>North Ryde T1 - Level 1</t>
        </is>
      </c>
      <c r="AA97" s="84" t="inlineStr">
        <is>
          <t>1006</t>
        </is>
      </c>
      <c r="AB97" s="84" t="inlineStr">
        <is>
          <t>Active</t>
        </is>
      </c>
      <c r="AC97" s="84" t="inlineStr">
        <is>
          <t>Connection ID is the account number suffix</t>
        </is>
      </c>
      <c r="AD97" s="85" t="inlineStr">
        <is>
          <t>50002617973_4103737079_CERTS; LGCS_4103737079; 385314_4103737079</t>
        </is>
      </c>
      <c r="AE97" s="85" t="inlineStr">
        <is>
          <t>50002617973_4103737079_CERTS (live) · LGCS_4103737079 - historical · LGCS_4103737729 (at this location, different ID) - historical</t>
        </is>
      </c>
    </row>
    <row r="98" customFormat="1" s="72">
      <c r="A98" s="66" t="n">
        <v>4103737729</v>
      </c>
      <c r="B98" s="67" t="inlineStr">
        <is>
          <t>Electricity</t>
        </is>
      </c>
      <c r="C98" s="67" t="inlineStr">
        <is>
          <t>Australia</t>
        </is>
      </c>
      <c r="D98" s="67" t="inlineStr">
        <is>
          <t>NSW</t>
        </is>
      </c>
      <c r="E98" s="67" t="inlineStr">
        <is>
          <t>AU Large Electricity</t>
        </is>
      </c>
      <c r="F98" s="67" t="inlineStr">
        <is>
          <t>Corporate Office - North Ryde</t>
        </is>
      </c>
      <c r="G98" s="67" t="inlineStr">
        <is>
          <t>Floor 1 - Trinity Bus Campus Bldg A, 39 Delphi Road</t>
        </is>
      </c>
      <c r="H98" s="67" t="inlineStr">
        <is>
          <t>DOWNER EDI SERVICES PTY LTD (ABN: 71 137 732 042)</t>
        </is>
      </c>
      <c r="I98" s="67" t="inlineStr">
        <is>
          <t>CORPORATE</t>
        </is>
      </c>
      <c r="J98" s="67" t="inlineStr">
        <is>
          <t>kWh</t>
        </is>
      </c>
      <c r="K98" s="86" t="n">
        <v>13618.63</v>
      </c>
      <c r="L98" s="67" t="inlineStr">
        <is>
          <t>Origin</t>
        </is>
      </c>
      <c r="M98" s="87" t="inlineStr">
        <is>
          <t>Origin</t>
        </is>
      </c>
      <c r="N98" s="87" t="n">
        <v>46204</v>
      </c>
      <c r="O98" s="87" t="n">
        <v>46934</v>
      </c>
      <c r="P98" s="67" t="inlineStr">
        <is>
          <t>24 months</t>
        </is>
      </c>
      <c r="Q98" s="88">
        <f t="array" ref="Q98:S98">IFERROR(ROUNDUP(_xlfn.XLOOKUP(A98,'Budget FY26-28'!A:A,'Budget FY26-28'!M:O)*(1+Summary!$C$2), -2), "")</f>
        <v/>
      </c>
      <c r="R98" s="88" t="n">
        <v>3900</v>
      </c>
      <c r="S98" s="88" t="n">
        <v>3900</v>
      </c>
      <c r="T98" s="67" t="inlineStr">
        <is>
          <t>Ready</t>
        </is>
      </c>
      <c r="U98" s="71" t="n"/>
      <c r="V98" s="84" t="inlineStr">
        <is>
          <t>50002617971_4103737729</t>
        </is>
      </c>
      <c r="W98" s="84" t="inlineStr">
        <is>
          <t>Electricity Large Market</t>
        </is>
      </c>
      <c r="X98" s="84" t="inlineStr">
        <is>
          <t>Electricity [kWh]</t>
        </is>
      </c>
      <c r="Y98" s="84" t="inlineStr">
        <is>
          <t>Origin</t>
        </is>
      </c>
      <c r="Z98" s="84" t="inlineStr">
        <is>
          <t>North Ryde T1 - Level 1</t>
        </is>
      </c>
      <c r="AA98" s="84" t="inlineStr">
        <is>
          <t>1006</t>
        </is>
      </c>
      <c r="AB98" s="84" t="inlineStr">
        <is>
          <t>Active</t>
        </is>
      </c>
      <c r="AC98" s="84" t="inlineStr">
        <is>
          <t>Connection ID is the account number suffix</t>
        </is>
      </c>
      <c r="AD98" s="85" t="inlineStr">
        <is>
          <t>50002617971_4103737729_CERTS; LGCS_4103737729; 385282_4103737729</t>
        </is>
      </c>
      <c r="AE98" s="85" t="inlineStr">
        <is>
          <t>50002617971_4103737729_CERTS (live) · LGCS_4103737079 (at this location, different ID) - historical · LGCS_4103737729 - historical</t>
        </is>
      </c>
    </row>
    <row r="99" customFormat="1" s="72">
      <c r="A99" s="66" t="n">
        <v>4103742938</v>
      </c>
      <c r="B99" s="67" t="inlineStr">
        <is>
          <t>Electricity</t>
        </is>
      </c>
      <c r="C99" s="67" t="inlineStr">
        <is>
          <t>Australia</t>
        </is>
      </c>
      <c r="D99" s="67" t="inlineStr">
        <is>
          <t>NSW</t>
        </is>
      </c>
      <c r="E99" s="67" t="inlineStr">
        <is>
          <t>AU Large Electricity</t>
        </is>
      </c>
      <c r="F99" s="67" t="inlineStr">
        <is>
          <t>Corporate Office - North Ryde</t>
        </is>
      </c>
      <c r="G99" s="67" t="inlineStr">
        <is>
          <t>Triniti 1, Level 3, 39 Delhi Road (Trinity Business Campus)</t>
        </is>
      </c>
      <c r="H99" s="67" t="inlineStr">
        <is>
          <t>DOWNER EDI SERVICES PTY LTD (ABN: 71 137 732 042)</t>
        </is>
      </c>
      <c r="I99" s="67" t="inlineStr">
        <is>
          <t>CORPORATE</t>
        </is>
      </c>
      <c r="J99" s="67" t="inlineStr">
        <is>
          <t>kWh</t>
        </is>
      </c>
      <c r="K99" s="86" t="n">
        <v>105623.45</v>
      </c>
      <c r="L99" s="67" t="inlineStr">
        <is>
          <t>Origin</t>
        </is>
      </c>
      <c r="M99" s="87" t="inlineStr">
        <is>
          <t>Origin</t>
        </is>
      </c>
      <c r="N99" s="87" t="n">
        <v>46204</v>
      </c>
      <c r="O99" s="87" t="n">
        <v>46934</v>
      </c>
      <c r="P99" s="67" t="inlineStr">
        <is>
          <t>24 months</t>
        </is>
      </c>
      <c r="Q99" s="88">
        <f t="array" ref="Q99:S99">IFERROR(ROUNDUP(_xlfn.XLOOKUP(A99,'Budget FY26-28'!A:A,'Budget FY26-28'!M:O)*(1+Summary!$C$2), -2), "")</f>
        <v/>
      </c>
      <c r="R99" s="88" t="n">
        <v>50300</v>
      </c>
      <c r="S99" s="88" t="n">
        <v>50100</v>
      </c>
      <c r="T99" s="67" t="inlineStr">
        <is>
          <t>Ready</t>
        </is>
      </c>
      <c r="U99" s="71" t="n"/>
      <c r="V99" s="84" t="inlineStr">
        <is>
          <t>50002617975_4103742938</t>
        </is>
      </c>
      <c r="W99" s="84" t="inlineStr">
        <is>
          <t>Electricity Large Market</t>
        </is>
      </c>
      <c r="X99" s="84" t="inlineStr">
        <is>
          <t>Electricity [kWh]</t>
        </is>
      </c>
      <c r="Y99" s="84" t="inlineStr">
        <is>
          <t>Origin</t>
        </is>
      </c>
      <c r="Z99" s="84" t="inlineStr">
        <is>
          <t>North Ryde T1 - Level 3</t>
        </is>
      </c>
      <c r="AA99" s="84" t="inlineStr">
        <is>
          <t>1007</t>
        </is>
      </c>
      <c r="AB99" s="84" t="inlineStr">
        <is>
          <t>Active</t>
        </is>
      </c>
      <c r="AC99" s="84" t="inlineStr">
        <is>
          <t>Connection ID is the account number suffix</t>
        </is>
      </c>
      <c r="AD99" s="85" t="inlineStr">
        <is>
          <t>50002617975_4103742938_CERTS; LGCS_4103742938; 385300_4103742938</t>
        </is>
      </c>
      <c r="AE99" s="85" t="inlineStr">
        <is>
          <t>50002617975_4103742938_CERTS (live) · LGCS_4103742938 - historical · LGCS_4103742939 (at this location, different ID) - historical</t>
        </is>
      </c>
    </row>
    <row r="100" customFormat="1" s="72">
      <c r="A100" s="66" t="n">
        <v>4103742939</v>
      </c>
      <c r="B100" s="67" t="inlineStr">
        <is>
          <t>Electricity</t>
        </is>
      </c>
      <c r="C100" s="67" t="inlineStr">
        <is>
          <t>Australia</t>
        </is>
      </c>
      <c r="D100" s="67" t="inlineStr">
        <is>
          <t>NSW</t>
        </is>
      </c>
      <c r="E100" s="67" t="inlineStr">
        <is>
          <t>AU Large Electricity</t>
        </is>
      </c>
      <c r="F100" s="67" t="inlineStr">
        <is>
          <t>Corporate Office - North Ryde</t>
        </is>
      </c>
      <c r="G100" s="67" t="inlineStr">
        <is>
          <t>Trinity Business Campus Bld A Level 3 Tenant Server Room Tenacy Fl 3, 39 Delhi Road</t>
        </is>
      </c>
      <c r="H100" s="67" t="inlineStr">
        <is>
          <t>DOWNER EDI SERVICES PTY LTD (ABN: 71 137 732 042)</t>
        </is>
      </c>
      <c r="I100" s="67" t="inlineStr">
        <is>
          <t>CORPORATE</t>
        </is>
      </c>
      <c r="J100" s="67" t="inlineStr">
        <is>
          <t>kWh</t>
        </is>
      </c>
      <c r="K100" s="86" t="n">
        <v>81857.79999999999</v>
      </c>
      <c r="L100" s="67" t="inlineStr">
        <is>
          <t>Origin</t>
        </is>
      </c>
      <c r="M100" s="87" t="inlineStr">
        <is>
          <t>Origin</t>
        </is>
      </c>
      <c r="N100" s="87" t="n">
        <v>46204</v>
      </c>
      <c r="O100" s="87" t="n">
        <v>46934</v>
      </c>
      <c r="P100" s="67" t="inlineStr">
        <is>
          <t>24 months</t>
        </is>
      </c>
      <c r="Q100" s="88">
        <f t="array" ref="Q100:S100">IFERROR(ROUNDUP(_xlfn.XLOOKUP(A100,'Budget FY26-28'!A:A,'Budget FY26-28'!M:O)*(1+Summary!$C$2), -2), "")</f>
        <v/>
      </c>
      <c r="R100" s="88" t="n">
        <v>38800</v>
      </c>
      <c r="S100" s="88" t="n">
        <v>38800</v>
      </c>
      <c r="T100" s="67" t="inlineStr">
        <is>
          <t>Ready</t>
        </is>
      </c>
      <c r="U100" s="71" t="n"/>
      <c r="V100" s="84" t="inlineStr">
        <is>
          <t>50002617966_4103742939</t>
        </is>
      </c>
      <c r="W100" s="84" t="inlineStr">
        <is>
          <t>Electricity Large Market</t>
        </is>
      </c>
      <c r="X100" s="84" t="inlineStr">
        <is>
          <t>Electricity [kWh]</t>
        </is>
      </c>
      <c r="Y100" s="84" t="inlineStr">
        <is>
          <t>Origin</t>
        </is>
      </c>
      <c r="Z100" s="84" t="inlineStr">
        <is>
          <t>North Ryde T1 - Level 3</t>
        </is>
      </c>
      <c r="AA100" s="84" t="inlineStr">
        <is>
          <t>1007</t>
        </is>
      </c>
      <c r="AB100" s="84" t="inlineStr">
        <is>
          <t>Active</t>
        </is>
      </c>
      <c r="AC100" s="84" t="inlineStr">
        <is>
          <t>Connection ID is the account number suffix</t>
        </is>
      </c>
      <c r="AD100" s="85" t="inlineStr">
        <is>
          <t>50002617966_4103742939_CERTS; LGCS_4103742939; 385315_4103742939</t>
        </is>
      </c>
      <c r="AE100" s="85" t="inlineStr">
        <is>
          <t>50002617966_4103742939_CERTS (live) · LGCS_4103742938 (at this location, different ID) - historical · LGCS_4103742939 - historical</t>
        </is>
      </c>
    </row>
    <row r="101" customFormat="1" s="72">
      <c r="A101" s="66" t="n">
        <v>4103742940</v>
      </c>
      <c r="B101" s="67" t="inlineStr">
        <is>
          <t>Electricity</t>
        </is>
      </c>
      <c r="C101" s="67" t="inlineStr">
        <is>
          <t>Australia</t>
        </is>
      </c>
      <c r="D101" s="67" t="inlineStr">
        <is>
          <t>NSW</t>
        </is>
      </c>
      <c r="E101" s="67" t="inlineStr">
        <is>
          <t>AU Large Electricity</t>
        </is>
      </c>
      <c r="F101" s="67" t="inlineStr">
        <is>
          <t>Corporate Office - North Ryde</t>
        </is>
      </c>
      <c r="G101" s="67" t="inlineStr">
        <is>
          <t>Triniti 1, Level 4, 39 Delhi Road (Trinity Business Campus)</t>
        </is>
      </c>
      <c r="H101" s="67" t="inlineStr">
        <is>
          <t>DOWNER EDI SERVICES PTY LTD (ABN: 71 137 732 042)</t>
        </is>
      </c>
      <c r="I101" s="67" t="inlineStr">
        <is>
          <t>CORPORATE</t>
        </is>
      </c>
      <c r="J101" s="67" t="inlineStr">
        <is>
          <t>kWh</t>
        </is>
      </c>
      <c r="K101" s="86" t="n">
        <v>90701.86</v>
      </c>
      <c r="L101" s="67" t="inlineStr">
        <is>
          <t>Origin</t>
        </is>
      </c>
      <c r="M101" s="87" t="inlineStr">
        <is>
          <t>Origin</t>
        </is>
      </c>
      <c r="N101" s="87" t="n">
        <v>46204</v>
      </c>
      <c r="O101" s="87" t="n">
        <v>46934</v>
      </c>
      <c r="P101" s="67" t="inlineStr">
        <is>
          <t>24 months</t>
        </is>
      </c>
      <c r="Q101" s="88">
        <f t="array" ref="Q101:S101">IFERROR(ROUNDUP(_xlfn.XLOOKUP(A101,'Budget FY26-28'!A:A,'Budget FY26-28'!M:O)*(1+Summary!$C$2), -2), "")</f>
        <v/>
      </c>
      <c r="R101" s="88" t="n">
        <v>43800</v>
      </c>
      <c r="S101" s="88" t="n">
        <v>43700</v>
      </c>
      <c r="T101" s="67" t="inlineStr">
        <is>
          <t>Ready</t>
        </is>
      </c>
      <c r="U101" s="71" t="n"/>
      <c r="V101" s="84" t="inlineStr">
        <is>
          <t>50002617985_4103742940</t>
        </is>
      </c>
      <c r="W101" s="84" t="inlineStr">
        <is>
          <t>Electricity Large Market</t>
        </is>
      </c>
      <c r="X101" s="84" t="inlineStr">
        <is>
          <t>Electricity [kWh]</t>
        </is>
      </c>
      <c r="Y101" s="84" t="inlineStr">
        <is>
          <t>Origin</t>
        </is>
      </c>
      <c r="Z101" s="84" t="inlineStr">
        <is>
          <t>North Ryde T1 - Level 4</t>
        </is>
      </c>
      <c r="AA101" s="84" t="inlineStr">
        <is>
          <t>1008</t>
        </is>
      </c>
      <c r="AB101" s="84" t="inlineStr">
        <is>
          <t>Active</t>
        </is>
      </c>
      <c r="AC101" s="84" t="inlineStr">
        <is>
          <t>Connection ID is the account number suffix</t>
        </is>
      </c>
      <c r="AD101" s="85" t="inlineStr">
        <is>
          <t>50002617985_4103742940_CERTS; LGCS_4103742940; 385298_4103742940</t>
        </is>
      </c>
      <c r="AE101" s="85" t="inlineStr">
        <is>
          <t>50002617985_4103742940_CERTS (live) · LGCS_4103742940 - historical</t>
        </is>
      </c>
    </row>
    <row r="102" customFormat="1" s="72">
      <c r="A102" s="66" t="n">
        <v>4103759848</v>
      </c>
      <c r="B102" s="67" t="inlineStr">
        <is>
          <t>Electricity</t>
        </is>
      </c>
      <c r="C102" s="67" t="inlineStr">
        <is>
          <t>Australia</t>
        </is>
      </c>
      <c r="D102" s="67" t="inlineStr">
        <is>
          <t>NSW</t>
        </is>
      </c>
      <c r="E102" s="67" t="inlineStr">
        <is>
          <t>AU Large Electricity</t>
        </is>
      </c>
      <c r="F102" s="67" t="inlineStr">
        <is>
          <t>Corporate Office - North Ryde</t>
        </is>
      </c>
      <c r="G102" s="67" t="inlineStr">
        <is>
          <t>Level 2 - Trinity Bus Campus Bldg T1, 39 Dephi Road</t>
        </is>
      </c>
      <c r="H102" s="67" t="inlineStr">
        <is>
          <t>DOWNER EDI SERVICES PTY LTD (ABN: 71 137 732 042)</t>
        </is>
      </c>
      <c r="I102" s="67" t="inlineStr">
        <is>
          <t>CORPORATE</t>
        </is>
      </c>
      <c r="J102" s="67" t="inlineStr">
        <is>
          <t>kWh</t>
        </is>
      </c>
      <c r="K102" s="86" t="n">
        <v>102767.91</v>
      </c>
      <c r="L102" s="67" t="inlineStr">
        <is>
          <t>Origin</t>
        </is>
      </c>
      <c r="M102" s="87" t="inlineStr">
        <is>
          <t>Origin</t>
        </is>
      </c>
      <c r="N102" s="87" t="n">
        <v>46204</v>
      </c>
      <c r="O102" s="87" t="n">
        <v>46934</v>
      </c>
      <c r="P102" s="67" t="inlineStr">
        <is>
          <t>24 months</t>
        </is>
      </c>
      <c r="Q102" s="88">
        <f t="array" ref="Q102:S102">IFERROR(ROUNDUP(_xlfn.XLOOKUP(A102,'Budget FY26-28'!A:A,'Budget FY26-28'!M:O)*(1+Summary!$C$2), -2), "")</f>
        <v/>
      </c>
      <c r="R102" s="88" t="n">
        <v>22200</v>
      </c>
      <c r="S102" s="88" t="n">
        <v>22100</v>
      </c>
      <c r="T102" s="67" t="inlineStr">
        <is>
          <t>Ready</t>
        </is>
      </c>
      <c r="U102" s="71" t="n"/>
      <c r="V102" s="84" t="inlineStr">
        <is>
          <t>50002617958_4103759848</t>
        </is>
      </c>
      <c r="W102" s="84" t="inlineStr">
        <is>
          <t>Electricity Large Market</t>
        </is>
      </c>
      <c r="X102" s="84" t="inlineStr">
        <is>
          <t>Electricity [kWh]</t>
        </is>
      </c>
      <c r="Y102" s="84" t="inlineStr">
        <is>
          <t>Origin</t>
        </is>
      </c>
      <c r="Z102" s="84" t="inlineStr">
        <is>
          <t>North Ryde T3 - Level 2</t>
        </is>
      </c>
      <c r="AA102" s="84" t="inlineStr">
        <is>
          <t>1013</t>
        </is>
      </c>
      <c r="AB102" s="84" t="inlineStr">
        <is>
          <t>Active</t>
        </is>
      </c>
      <c r="AC102" s="84" t="inlineStr">
        <is>
          <t>Connection ID is the account number suffix</t>
        </is>
      </c>
      <c r="AD102" s="85" t="inlineStr">
        <is>
          <t>50002617958_4103759848_CERTS; LGCS_4103759848; 385294_4103759848</t>
        </is>
      </c>
      <c r="AE102" s="85" t="inlineStr">
        <is>
          <t>50002617958_4103759848_CERTS (live) · LGCS_4103759848 - historical</t>
        </is>
      </c>
    </row>
    <row r="103" customFormat="1" s="72">
      <c r="A103" s="66" t="n">
        <v>4103759849</v>
      </c>
      <c r="B103" s="67" t="inlineStr">
        <is>
          <t>Electricity</t>
        </is>
      </c>
      <c r="C103" s="67" t="inlineStr">
        <is>
          <t>Australia</t>
        </is>
      </c>
      <c r="D103" s="67" t="inlineStr">
        <is>
          <t>NSW</t>
        </is>
      </c>
      <c r="E103" s="67" t="inlineStr">
        <is>
          <t>AU Large Electricity</t>
        </is>
      </c>
      <c r="F103" s="67" t="inlineStr">
        <is>
          <t>Corporate Office - North Ryde</t>
        </is>
      </c>
      <c r="G103" s="67" t="inlineStr">
        <is>
          <t>Level 3 - Trinity Bus Campus Bldg T1, 39 Dephi Road</t>
        </is>
      </c>
      <c r="H103" s="67" t="inlineStr">
        <is>
          <t>DOWNER EDI SERVICES PTY LTD (ABN: 71 137 732 042)</t>
        </is>
      </c>
      <c r="I103" s="67" t="inlineStr">
        <is>
          <t>CORPORATE</t>
        </is>
      </c>
      <c r="J103" s="67" t="inlineStr">
        <is>
          <t>kWh</t>
        </is>
      </c>
      <c r="K103" s="86" t="n">
        <v>94304.33000000002</v>
      </c>
      <c r="L103" s="67" t="inlineStr">
        <is>
          <t>Origin</t>
        </is>
      </c>
      <c r="M103" s="87" t="inlineStr">
        <is>
          <t>Origin</t>
        </is>
      </c>
      <c r="N103" s="87" t="n">
        <v>46204</v>
      </c>
      <c r="O103" s="87" t="n">
        <v>46934</v>
      </c>
      <c r="P103" s="67" t="inlineStr">
        <is>
          <t>24 months</t>
        </is>
      </c>
      <c r="Q103" s="88">
        <f t="array" ref="Q103:S103">IFERROR(ROUNDUP(_xlfn.XLOOKUP(A103,'Budget FY26-28'!A:A,'Budget FY26-28'!M:O)*(1+Summary!$C$2), -2), "")</f>
        <v/>
      </c>
      <c r="R103" s="88" t="n">
        <v>45600</v>
      </c>
      <c r="S103" s="88" t="n">
        <v>45400</v>
      </c>
      <c r="T103" s="67" t="inlineStr">
        <is>
          <t>Ready</t>
        </is>
      </c>
      <c r="U103" s="71" t="n"/>
      <c r="V103" s="84" t="inlineStr">
        <is>
          <t>50002617952_4103759849</t>
        </is>
      </c>
      <c r="W103" s="84" t="inlineStr">
        <is>
          <t>Electricity Large Market</t>
        </is>
      </c>
      <c r="X103" s="84" t="inlineStr">
        <is>
          <t>Electricity [kWh]</t>
        </is>
      </c>
      <c r="Y103" s="84" t="inlineStr">
        <is>
          <t>Origin</t>
        </is>
      </c>
      <c r="Z103" s="84" t="inlineStr">
        <is>
          <t>North Ryde T3 - Level 3</t>
        </is>
      </c>
      <c r="AA103" s="84" t="inlineStr">
        <is>
          <t>1009</t>
        </is>
      </c>
      <c r="AB103" s="84" t="inlineStr">
        <is>
          <t>Active</t>
        </is>
      </c>
      <c r="AC103" s="84" t="inlineStr">
        <is>
          <t>Connection ID is the account number suffix</t>
        </is>
      </c>
      <c r="AD103" s="85" t="inlineStr">
        <is>
          <t>50002617952_4103759849_CERTS; LGCS_4103759849; 385292_4103759849</t>
        </is>
      </c>
      <c r="AE103" s="85" t="inlineStr">
        <is>
          <t>50002617952_4103759849_CERTS (live) · LGCS_4103759849 - historical</t>
        </is>
      </c>
    </row>
    <row r="104" customFormat="1" s="72">
      <c r="A104" s="66" t="n">
        <v>4103766552</v>
      </c>
      <c r="B104" s="67" t="inlineStr">
        <is>
          <t>Electricity</t>
        </is>
      </c>
      <c r="C104" s="67" t="inlineStr">
        <is>
          <t>Australia</t>
        </is>
      </c>
      <c r="D104" s="67" t="inlineStr">
        <is>
          <t>NSW</t>
        </is>
      </c>
      <c r="E104" s="67" t="inlineStr">
        <is>
          <t>AU Large Electricity</t>
        </is>
      </c>
      <c r="F104" s="67" t="inlineStr">
        <is>
          <t>NSW Schools 2 - Kariong HS</t>
        </is>
      </c>
      <c r="G104" s="67" t="inlineStr">
        <is>
          <t>Kariong High School, Festival Drive</t>
        </is>
      </c>
      <c r="H104" s="67" t="inlineStr">
        <is>
          <t>SPOTLESS FACILITY SERVICES PTY LTD (ABN: 83 072 293 880)</t>
        </is>
      </c>
      <c r="I104" s="67" t="inlineStr">
        <is>
          <t>SICS</t>
        </is>
      </c>
      <c r="J104" s="67" t="inlineStr">
        <is>
          <t>kWh</t>
        </is>
      </c>
      <c r="K104" s="86" t="n">
        <v>224019.81</v>
      </c>
      <c r="L104" s="67" t="inlineStr">
        <is>
          <t>Origin</t>
        </is>
      </c>
      <c r="M104" s="87" t="inlineStr">
        <is>
          <t>Origin</t>
        </is>
      </c>
      <c r="N104" s="87" t="n">
        <v>46204</v>
      </c>
      <c r="O104" s="87" t="n">
        <v>46934</v>
      </c>
      <c r="P104" s="67" t="inlineStr">
        <is>
          <t>24 months</t>
        </is>
      </c>
      <c r="Q104" s="88">
        <f t="array" ref="Q104:S104">IFERROR(ROUNDUP(_xlfn.XLOOKUP(A104,'Budget FY26-28'!A:A,'Budget FY26-28'!M:O)*(1+Summary!$C$2), -2), "")</f>
        <v/>
      </c>
      <c r="R104" s="88" t="n">
        <v>54000</v>
      </c>
      <c r="S104" s="88" t="n">
        <v>53600</v>
      </c>
      <c r="T104" s="67" t="inlineStr">
        <is>
          <t>Ready</t>
        </is>
      </c>
      <c r="U104" s="71" t="n"/>
      <c r="V104" s="84" t="inlineStr">
        <is>
          <t>50002617993_4103766552</t>
        </is>
      </c>
      <c r="W104" s="84" t="inlineStr">
        <is>
          <t>Electricity Large Market</t>
        </is>
      </c>
      <c r="X104" s="84" t="inlineStr">
        <is>
          <t>Electricity [kWh]</t>
        </is>
      </c>
      <c r="Y104" s="84" t="inlineStr">
        <is>
          <t>Origin</t>
        </is>
      </c>
      <c r="Z104" s="84" t="inlineStr">
        <is>
          <t>PPP - NSW Schools 2 (Kariong)</t>
        </is>
      </c>
      <c r="AA104" s="84" t="inlineStr">
        <is>
          <t>9001</t>
        </is>
      </c>
      <c r="AB104" s="84" t="inlineStr">
        <is>
          <t>Active</t>
        </is>
      </c>
      <c r="AC104" s="84" t="inlineStr">
        <is>
          <t>Connection ID is the account number suffix</t>
        </is>
      </c>
      <c r="AD104" s="85" t="inlineStr">
        <is>
          <t>50002617993_4103766552_CERTS; 385291_4103766552</t>
        </is>
      </c>
      <c r="AE104" s="85" t="inlineStr">
        <is>
          <t>50002617993_4103766552_CERTS (live)</t>
        </is>
      </c>
    </row>
    <row r="105" customFormat="1" s="72">
      <c r="A105" s="66" t="n">
        <v>4103803680</v>
      </c>
      <c r="B105" s="67" t="inlineStr">
        <is>
          <t>Electricity</t>
        </is>
      </c>
      <c r="C105" s="67" t="inlineStr">
        <is>
          <t>Australia</t>
        </is>
      </c>
      <c r="D105" s="67" t="inlineStr">
        <is>
          <t>NSW</t>
        </is>
      </c>
      <c r="E105" s="67" t="inlineStr">
        <is>
          <t>AU Large Electricity</t>
        </is>
      </c>
      <c r="F105" s="67" t="inlineStr">
        <is>
          <t>Corporate Office - Hexham</t>
        </is>
      </c>
      <c r="G105" s="67" t="inlineStr">
        <is>
          <t>16 Galleghan Road</t>
        </is>
      </c>
      <c r="H105" s="67" t="inlineStr">
        <is>
          <t>DOWNER EDI SERVICES PTY LTD (ABN: 71 137 732 042)</t>
        </is>
      </c>
      <c r="I105" s="67" t="inlineStr">
        <is>
          <t>E&amp;U</t>
        </is>
      </c>
      <c r="J105" s="67" t="inlineStr">
        <is>
          <t>kWh</t>
        </is>
      </c>
      <c r="K105" s="86" t="n">
        <v>346471.81</v>
      </c>
      <c r="L105" s="67" t="inlineStr">
        <is>
          <t>Origin</t>
        </is>
      </c>
      <c r="M105" s="87" t="inlineStr">
        <is>
          <t>Origin</t>
        </is>
      </c>
      <c r="N105" s="87" t="n">
        <v>46204</v>
      </c>
      <c r="O105" s="87" t="n">
        <v>46934</v>
      </c>
      <c r="P105" s="67" t="inlineStr">
        <is>
          <t>24 months</t>
        </is>
      </c>
      <c r="Q105" s="88">
        <f t="array" ref="Q105:S105">IFERROR(ROUNDUP(_xlfn.XLOOKUP(A105,'Budget FY26-28'!A:A,'Budget FY26-28'!M:O)*(1+Summary!$C$2), -2), "")</f>
        <v/>
      </c>
      <c r="R105" s="88" t="n">
        <v>69300</v>
      </c>
      <c r="S105" s="88" t="n">
        <v>68800</v>
      </c>
      <c r="T105" s="67" t="inlineStr">
        <is>
          <t>Ready</t>
        </is>
      </c>
      <c r="U105" s="71" t="n"/>
      <c r="V105" s="84" t="inlineStr">
        <is>
          <t>50002617953_4103803680</t>
        </is>
      </c>
      <c r="W105" s="84" t="inlineStr">
        <is>
          <t>Electricity Large Market</t>
        </is>
      </c>
      <c r="X105" s="84" t="inlineStr">
        <is>
          <t>Electricity [kWh]</t>
        </is>
      </c>
      <c r="Y105" s="84" t="inlineStr">
        <is>
          <t>Origin</t>
        </is>
      </c>
      <c r="Z105" s="84" t="inlineStr">
        <is>
          <t>Hexham Office</t>
        </is>
      </c>
      <c r="AA105" s="84" t="inlineStr">
        <is>
          <t>COR-10920006</t>
        </is>
      </c>
      <c r="AB105" s="84" t="inlineStr">
        <is>
          <t>Active</t>
        </is>
      </c>
      <c r="AC105" s="84" t="inlineStr">
        <is>
          <t>Connection ID is the account number suffix</t>
        </is>
      </c>
      <c r="AD105" s="85" t="inlineStr">
        <is>
          <t>50002617953_4103803680_CERTS; LGCS_4103803680; 385309_4103803680</t>
        </is>
      </c>
      <c r="AE105" s="85" t="inlineStr">
        <is>
          <t>50002617953_4103803680_CERTS (live) · LGCS_4103803680 - historical · LGCS_4103893142 (at this location, different ID) - historical</t>
        </is>
      </c>
    </row>
    <row r="106" customFormat="1" s="72">
      <c r="A106" s="66" t="n">
        <v>4103927804</v>
      </c>
      <c r="B106" s="67" t="inlineStr">
        <is>
          <t>Electricity</t>
        </is>
      </c>
      <c r="C106" s="67" t="inlineStr">
        <is>
          <t>Australia</t>
        </is>
      </c>
      <c r="D106" s="67" t="inlineStr">
        <is>
          <t>NSW</t>
        </is>
      </c>
      <c r="E106" s="67" t="inlineStr">
        <is>
          <t>AU Large Electricity</t>
        </is>
      </c>
      <c r="F106" s="67" t="inlineStr">
        <is>
          <t>Sydney Entertainment Centre</t>
        </is>
      </c>
      <c r="G106" s="67" t="inlineStr">
        <is>
          <t>Siceep Bayside Building Gate A 1 Darling Drive</t>
        </is>
      </c>
      <c r="H106" s="67" t="inlineStr">
        <is>
          <t>SPOTLESS FACILITY SERVICES PTY LTD (ABN: 83 072 293 880)</t>
        </is>
      </c>
      <c r="I106" s="67" t="inlineStr">
        <is>
          <t>SICS</t>
        </is>
      </c>
      <c r="J106" s="67" t="inlineStr">
        <is>
          <t>kWh</t>
        </is>
      </c>
      <c r="K106" s="86" t="n">
        <v>3094734.32</v>
      </c>
      <c r="L106" s="67" t="inlineStr">
        <is>
          <t>Origin</t>
        </is>
      </c>
      <c r="M106" s="87" t="inlineStr">
        <is>
          <t>Origin</t>
        </is>
      </c>
      <c r="N106" s="87" t="n">
        <v>46204</v>
      </c>
      <c r="O106" s="87" t="n">
        <v>46934</v>
      </c>
      <c r="P106" s="67" t="inlineStr">
        <is>
          <t>24 months</t>
        </is>
      </c>
      <c r="Q106" s="88">
        <f t="array" ref="Q106:S106">IFERROR(ROUNDUP(_xlfn.XLOOKUP(A106,'Budget FY26-28'!A:A,'Budget FY26-28'!M:O)*(1+Summary!$C$2), -2), "")</f>
        <v/>
      </c>
      <c r="R106" s="88" t="n">
        <v>721700</v>
      </c>
      <c r="S106" s="88" t="n">
        <v>717800</v>
      </c>
      <c r="T106" s="67" t="inlineStr">
        <is>
          <t>Ready</t>
        </is>
      </c>
      <c r="U106" s="71" t="n"/>
      <c r="V106" s="84" t="inlineStr">
        <is>
          <t>50002617960_4103927804</t>
        </is>
      </c>
      <c r="W106" s="84" t="inlineStr">
        <is>
          <t>Electricity Large Market</t>
        </is>
      </c>
      <c r="X106" s="84" t="inlineStr">
        <is>
          <t>Electricity [kWh]</t>
        </is>
      </c>
      <c r="Y106" s="84" t="inlineStr">
        <is>
          <t>Origin</t>
        </is>
      </c>
      <c r="Z106" s="84" t="inlineStr">
        <is>
          <t>PPP - SICEEP</t>
        </is>
      </c>
      <c r="AA106" s="84" t="inlineStr">
        <is>
          <t>9077</t>
        </is>
      </c>
      <c r="AB106" s="84" t="inlineStr">
        <is>
          <t>Active</t>
        </is>
      </c>
      <c r="AC106" s="84" t="inlineStr">
        <is>
          <t>Connection ID is the account number suffix</t>
        </is>
      </c>
      <c r="AD106" s="85" t="inlineStr">
        <is>
          <t>50002617960_4103927804_CERTS; LGCS_4103927804; 385279_4103927804</t>
        </is>
      </c>
      <c r="AE106" s="85" t="inlineStr">
        <is>
          <t>50002617960_4103927804_CERTS (live) · LGCS_4103927804 - historical · LGCS_4103927806 (at this location, different ID) - historical · LGCS_4103927808 (at this location, different ID) - historical · LGCS_4103927809 (at this location, different ID) - historical</t>
        </is>
      </c>
    </row>
    <row r="107" customFormat="1" s="72">
      <c r="A107" s="66" t="n">
        <v>4103927806</v>
      </c>
      <c r="B107" s="67" t="inlineStr">
        <is>
          <t>Electricity</t>
        </is>
      </c>
      <c r="C107" s="67" t="inlineStr">
        <is>
          <t>Australia</t>
        </is>
      </c>
      <c r="D107" s="67" t="inlineStr">
        <is>
          <t>NSW</t>
        </is>
      </c>
      <c r="E107" s="67" t="inlineStr">
        <is>
          <t>AU Large Electricity</t>
        </is>
      </c>
      <c r="F107" s="67" t="inlineStr">
        <is>
          <t>Sydney Entertainment Centre</t>
        </is>
      </c>
      <c r="G107" s="67" t="inlineStr">
        <is>
          <t>Siceep Parkside Building Gate A 1 Darling Drive</t>
        </is>
      </c>
      <c r="H107" s="67" t="inlineStr">
        <is>
          <t>SPOTLESS FACILITY SERVICES PTY LTD (ABN: 83 072 293 880)</t>
        </is>
      </c>
      <c r="I107" s="67" t="inlineStr">
        <is>
          <t>SICS</t>
        </is>
      </c>
      <c r="J107" s="67" t="inlineStr">
        <is>
          <t>kWh</t>
        </is>
      </c>
      <c r="K107" s="86" t="n">
        <v>4948634.311999999</v>
      </c>
      <c r="L107" s="67" t="inlineStr">
        <is>
          <t>Origin</t>
        </is>
      </c>
      <c r="M107" s="87" t="inlineStr">
        <is>
          <t>Origin</t>
        </is>
      </c>
      <c r="N107" s="87" t="n">
        <v>46204</v>
      </c>
      <c r="O107" s="87" t="n">
        <v>46934</v>
      </c>
      <c r="P107" s="67" t="inlineStr">
        <is>
          <t>24 months</t>
        </is>
      </c>
      <c r="Q107" s="88">
        <f t="array" ref="Q107:S107">IFERROR(ROUNDUP(_xlfn.XLOOKUP(A107,'Budget FY26-28'!A:A,'Budget FY26-28'!M:O)*(1+Summary!$C$2), -2), "")</f>
        <v/>
      </c>
      <c r="R107" s="88" t="n">
        <v>1070100</v>
      </c>
      <c r="S107" s="88" t="n">
        <v>1063400</v>
      </c>
      <c r="T107" s="67" t="inlineStr">
        <is>
          <t>Ready</t>
        </is>
      </c>
      <c r="U107" s="71" t="n"/>
      <c r="V107" s="84" t="inlineStr">
        <is>
          <t>50002617968_4103927806</t>
        </is>
      </c>
      <c r="W107" s="84" t="inlineStr">
        <is>
          <t>Electricity Large Market</t>
        </is>
      </c>
      <c r="X107" s="84" t="inlineStr">
        <is>
          <t>Electricity [kWh]</t>
        </is>
      </c>
      <c r="Y107" s="84" t="inlineStr">
        <is>
          <t>Origin</t>
        </is>
      </c>
      <c r="Z107" s="84" t="inlineStr">
        <is>
          <t>PPP - SICEEP</t>
        </is>
      </c>
      <c r="AA107" s="84" t="inlineStr">
        <is>
          <t>9077</t>
        </is>
      </c>
      <c r="AB107" s="84" t="inlineStr">
        <is>
          <t>Active</t>
        </is>
      </c>
      <c r="AC107" s="84" t="inlineStr">
        <is>
          <t>Connection ID is the account number suffix</t>
        </is>
      </c>
      <c r="AD107" s="85" t="inlineStr">
        <is>
          <t>50002617968_4103927806_CERTS; LGCS_4103927806; 385276_4103927806</t>
        </is>
      </c>
      <c r="AE107" s="85" t="inlineStr">
        <is>
          <t>50002617968_4103927806_CERTS (live) · LGCS_4103927804 (at this location, different ID) - historical · LGCS_4103927806 - historical · LGCS_4103927808 (at this location, different ID) - historical · LGCS_4103927809 (at this location, different ID) - historical</t>
        </is>
      </c>
    </row>
    <row r="108" customFormat="1" s="72">
      <c r="A108" s="66" t="n">
        <v>4103927808</v>
      </c>
      <c r="B108" s="67" t="inlineStr">
        <is>
          <t>Electricity</t>
        </is>
      </c>
      <c r="C108" s="67" t="inlineStr">
        <is>
          <t>Australia</t>
        </is>
      </c>
      <c r="D108" s="67" t="inlineStr">
        <is>
          <t>NSW</t>
        </is>
      </c>
      <c r="E108" s="67" t="inlineStr">
        <is>
          <t>AU Large Electricity</t>
        </is>
      </c>
      <c r="F108" s="67" t="inlineStr">
        <is>
          <t>Sydney Entertainment Centre</t>
        </is>
      </c>
      <c r="G108" s="67" t="inlineStr">
        <is>
          <t>Siceep Exhibition Building Gate A 1 Darling Drive</t>
        </is>
      </c>
      <c r="H108" s="67" t="inlineStr">
        <is>
          <t>SPOTLESS FACILITY SERVICES PTY LTD (ABN: 83 072 293 880)</t>
        </is>
      </c>
      <c r="I108" s="67" t="inlineStr">
        <is>
          <t>SICS</t>
        </is>
      </c>
      <c r="J108" s="67" t="inlineStr">
        <is>
          <t>kWh</t>
        </is>
      </c>
      <c r="K108" s="86" t="n">
        <v>2401931.455</v>
      </c>
      <c r="L108" s="67" t="inlineStr">
        <is>
          <t>Origin</t>
        </is>
      </c>
      <c r="M108" s="87" t="inlineStr">
        <is>
          <t>Origin</t>
        </is>
      </c>
      <c r="N108" s="87" t="n">
        <v>46204</v>
      </c>
      <c r="O108" s="87" t="n">
        <v>46934</v>
      </c>
      <c r="P108" s="67" t="inlineStr">
        <is>
          <t>24 months</t>
        </is>
      </c>
      <c r="Q108" s="88">
        <f t="array" ref="Q108:S108">IFERROR(ROUNDUP(_xlfn.XLOOKUP(A108,'Budget FY26-28'!A:A,'Budget FY26-28'!M:O)*(1+Summary!$C$2), -2), "")</f>
        <v/>
      </c>
      <c r="R108" s="88" t="n">
        <v>578500</v>
      </c>
      <c r="S108" s="88" t="n">
        <v>575600</v>
      </c>
      <c r="T108" s="67" t="inlineStr">
        <is>
          <t>Ready</t>
        </is>
      </c>
      <c r="U108" s="71" t="n"/>
      <c r="V108" s="84" t="inlineStr">
        <is>
          <t>50002617956_4103927808</t>
        </is>
      </c>
      <c r="W108" s="84" t="inlineStr">
        <is>
          <t>Electricity Large Market</t>
        </is>
      </c>
      <c r="X108" s="84" t="inlineStr">
        <is>
          <t>Electricity [kWh]</t>
        </is>
      </c>
      <c r="Y108" s="84" t="inlineStr">
        <is>
          <t>Origin</t>
        </is>
      </c>
      <c r="Z108" s="84" t="inlineStr">
        <is>
          <t>PPP - SICEEP</t>
        </is>
      </c>
      <c r="AA108" s="84" t="inlineStr">
        <is>
          <t>9077</t>
        </is>
      </c>
      <c r="AB108" s="84" t="inlineStr">
        <is>
          <t>Active</t>
        </is>
      </c>
      <c r="AC108" s="84" t="inlineStr">
        <is>
          <t>Connection ID is the account number suffix</t>
        </is>
      </c>
      <c r="AD108" s="85" t="inlineStr">
        <is>
          <t>50002617956_4103927808_CERTS; LGCS_4103927808; 385284_4103927808</t>
        </is>
      </c>
      <c r="AE108" s="85" t="inlineStr">
        <is>
          <t>50002617956_4103927808_CERTS (live) · LGCS_4103927804 (at this location, different ID) - historical · LGCS_4103927806 (at this location, different ID) - historical · LGCS_4103927808 - historical · LGCS_4103927809 (at this location, different ID) - historical</t>
        </is>
      </c>
    </row>
    <row r="109" customFormat="1" s="72">
      <c r="A109" s="66" t="n">
        <v>4103927809</v>
      </c>
      <c r="B109" s="67" t="inlineStr">
        <is>
          <t>Electricity</t>
        </is>
      </c>
      <c r="C109" s="67" t="inlineStr">
        <is>
          <t>Australia</t>
        </is>
      </c>
      <c r="D109" s="67" t="inlineStr">
        <is>
          <t>NSW</t>
        </is>
      </c>
      <c r="E109" s="67" t="inlineStr">
        <is>
          <t>AU Large Electricity</t>
        </is>
      </c>
      <c r="F109" s="67" t="inlineStr">
        <is>
          <t>Sydney Entertainment Centre</t>
        </is>
      </c>
      <c r="G109" s="67" t="inlineStr">
        <is>
          <t>Siceep Theatre Exhibition Building  Gate A 1 Darling Drive</t>
        </is>
      </c>
      <c r="H109" s="67" t="inlineStr">
        <is>
          <t>SPOTLESS FACILITY SERVICES PTY LTD (ABN: 83 072 293 880)</t>
        </is>
      </c>
      <c r="I109" s="67" t="inlineStr">
        <is>
          <t>SICS</t>
        </is>
      </c>
      <c r="J109" s="67" t="inlineStr">
        <is>
          <t>kWh</t>
        </is>
      </c>
      <c r="K109" s="86" t="n">
        <v>2847633.482000001</v>
      </c>
      <c r="L109" s="67" t="inlineStr">
        <is>
          <t>Origin</t>
        </is>
      </c>
      <c r="M109" s="87" t="inlineStr">
        <is>
          <t>Origin</t>
        </is>
      </c>
      <c r="N109" s="87" t="n">
        <v>46204</v>
      </c>
      <c r="O109" s="87" t="n">
        <v>46934</v>
      </c>
      <c r="P109" s="67" t="inlineStr">
        <is>
          <t>24 months</t>
        </is>
      </c>
      <c r="Q109" s="88">
        <f t="array" ref="Q109:S109">IFERROR(ROUNDUP(_xlfn.XLOOKUP(A109,'Budget FY26-28'!A:A,'Budget FY26-28'!M:O)*(1+Summary!$C$2), -2), "")</f>
        <v/>
      </c>
      <c r="R109" s="88" t="n">
        <v>563000</v>
      </c>
      <c r="S109" s="88" t="n">
        <v>559800</v>
      </c>
      <c r="T109" s="67" t="inlineStr">
        <is>
          <t>Ready</t>
        </is>
      </c>
      <c r="U109" s="71" t="n"/>
      <c r="V109" s="84" t="inlineStr">
        <is>
          <t>50002617980_4103927809</t>
        </is>
      </c>
      <c r="W109" s="84" t="inlineStr">
        <is>
          <t>Electricity Large Market</t>
        </is>
      </c>
      <c r="X109" s="84" t="inlineStr">
        <is>
          <t>Electricity [kWh]</t>
        </is>
      </c>
      <c r="Y109" s="84" t="inlineStr">
        <is>
          <t>Origin</t>
        </is>
      </c>
      <c r="Z109" s="84" t="inlineStr">
        <is>
          <t>PPP - SICEEP</t>
        </is>
      </c>
      <c r="AA109" s="84" t="inlineStr">
        <is>
          <t>9077</t>
        </is>
      </c>
      <c r="AB109" s="84" t="inlineStr">
        <is>
          <t>Active</t>
        </is>
      </c>
      <c r="AC109" s="84" t="inlineStr">
        <is>
          <t>Connection ID is the account number suffix</t>
        </is>
      </c>
      <c r="AD109" s="85" t="inlineStr">
        <is>
          <t>50002617980_4103927809_CERTS; LGCS_4103927809; 385293_4103927809</t>
        </is>
      </c>
      <c r="AE109" s="85" t="inlineStr">
        <is>
          <t>50002617980_4103927809_CERTS (live) · LGCS_4103927804 (at this location, different ID) - historical · LGCS_4103927806 (at this location, different ID) - historical · LGCS_4103927808 (at this location, different ID) - historical · LGCS_4103927809 - historical</t>
        </is>
      </c>
    </row>
    <row r="110" customFormat="1" s="72">
      <c r="A110" s="66" t="n">
        <v>4104030101</v>
      </c>
      <c r="B110" s="67" t="inlineStr">
        <is>
          <t>Electricity</t>
        </is>
      </c>
      <c r="C110" s="67" t="inlineStr">
        <is>
          <t>Australia</t>
        </is>
      </c>
      <c r="D110" s="67" t="inlineStr">
        <is>
          <t>NSW</t>
        </is>
      </c>
      <c r="E110" s="67" t="inlineStr">
        <is>
          <t>AU Large Electricity</t>
        </is>
      </c>
      <c r="F110" s="67" t="inlineStr">
        <is>
          <t>Roads - Teralba</t>
        </is>
      </c>
      <c r="G110" s="67" t="inlineStr">
        <is>
          <t>2 Lot 1 Rhondda Rd Teralba</t>
        </is>
      </c>
      <c r="H110" s="67" t="inlineStr">
        <is>
          <t>DOWNER EDI SERVICES PTY LTD (ABN: 71 137 732 042)</t>
        </is>
      </c>
      <c r="I110" s="67" t="inlineStr">
        <is>
          <t>T&amp;I</t>
        </is>
      </c>
      <c r="J110" s="67" t="inlineStr">
        <is>
          <t>kWh</t>
        </is>
      </c>
      <c r="K110" s="86" t="n">
        <v>687204.96</v>
      </c>
      <c r="L110" s="67" t="inlineStr">
        <is>
          <t>Origin</t>
        </is>
      </c>
      <c r="M110" s="87" t="inlineStr">
        <is>
          <t>Origin</t>
        </is>
      </c>
      <c r="N110" s="87" t="n">
        <v>46204</v>
      </c>
      <c r="O110" s="87" t="n">
        <v>46934</v>
      </c>
      <c r="P110" s="67" t="inlineStr">
        <is>
          <t>24 months</t>
        </is>
      </c>
      <c r="Q110" s="88">
        <f t="array" ref="Q110:S110">IFERROR(ROUNDUP(_xlfn.XLOOKUP(A110,'Budget FY26-28'!A:A,'Budget FY26-28'!M:O)*(1+Summary!$C$2), -2), "")</f>
        <v/>
      </c>
      <c r="R110" s="88" t="n">
        <v>158900</v>
      </c>
      <c r="S110" s="88" t="n">
        <v>158200</v>
      </c>
      <c r="T110" s="67" t="inlineStr">
        <is>
          <t>Ready</t>
        </is>
      </c>
      <c r="U110" s="71" t="n"/>
      <c r="V110" s="84" t="inlineStr">
        <is>
          <t>50002617996_4104030101</t>
        </is>
      </c>
      <c r="W110" s="84" t="inlineStr">
        <is>
          <t>Electricity Large Market</t>
        </is>
      </c>
      <c r="X110" s="84" t="inlineStr">
        <is>
          <t>Electricity [kWh]</t>
        </is>
      </c>
      <c r="Y110" s="84" t="inlineStr">
        <is>
          <t>Origin</t>
        </is>
      </c>
      <c r="Z110" s="84" t="inlineStr">
        <is>
          <t>Asphalt Prod - Teralba (152)</t>
        </is>
      </c>
      <c r="AA110" s="84" t="inlineStr">
        <is>
          <t>152</t>
        </is>
      </c>
      <c r="AB110" s="84" t="inlineStr">
        <is>
          <t>Active</t>
        </is>
      </c>
      <c r="AC110" s="84" t="inlineStr">
        <is>
          <t>Connection ID is the account number suffix</t>
        </is>
      </c>
      <c r="AD110" s="85" t="inlineStr">
        <is>
          <t>50002617996_4104030101_CERTS; LGCS_4104030101; 389751_4104030101</t>
        </is>
      </c>
      <c r="AE110" s="85" t="inlineStr">
        <is>
          <t>50002617996_4104030101_CERTS (live) · LGCS_4104030101 - historical</t>
        </is>
      </c>
    </row>
    <row r="111" customFormat="1" s="72">
      <c r="A111" s="66" t="n">
        <v>4204072845</v>
      </c>
      <c r="B111" s="67" t="inlineStr">
        <is>
          <t>Electricity</t>
        </is>
      </c>
      <c r="C111" s="67" t="inlineStr">
        <is>
          <t>Australia</t>
        </is>
      </c>
      <c r="D111" s="67" t="inlineStr">
        <is>
          <t>NSW</t>
        </is>
      </c>
      <c r="E111" s="67" t="inlineStr">
        <is>
          <t>AU Large Electricity</t>
        </is>
      </c>
      <c r="F111" s="67" t="inlineStr">
        <is>
          <t>Roads - Mogo</t>
        </is>
      </c>
      <c r="G111" s="67" t="inlineStr">
        <is>
          <t>84 Princes Highway</t>
        </is>
      </c>
      <c r="H111" s="67" t="inlineStr">
        <is>
          <t>DOWNER EDI SERVICES PTY LTD (ABN: 71 137 732 042)</t>
        </is>
      </c>
      <c r="I111" s="67" t="inlineStr">
        <is>
          <t>T&amp;I</t>
        </is>
      </c>
      <c r="J111" s="67" t="inlineStr">
        <is>
          <t>kWh</t>
        </is>
      </c>
      <c r="K111" s="86" t="n">
        <v>377879.64</v>
      </c>
      <c r="L111" s="67" t="inlineStr">
        <is>
          <t>Origin</t>
        </is>
      </c>
      <c r="M111" s="87" t="inlineStr">
        <is>
          <t>Origin</t>
        </is>
      </c>
      <c r="N111" s="87" t="n">
        <v>46204</v>
      </c>
      <c r="O111" s="87" t="n">
        <v>46934</v>
      </c>
      <c r="P111" s="67" t="inlineStr">
        <is>
          <t>24 months</t>
        </is>
      </c>
      <c r="Q111" s="88">
        <f t="array" ref="Q111:S111">IFERROR(ROUNDUP(_xlfn.XLOOKUP(A111,'Budget FY26-28'!A:A,'Budget FY26-28'!M:O)*(1+Summary!$C$2), -2), "")</f>
        <v/>
      </c>
      <c r="R111" s="88" t="n">
        <v>126900</v>
      </c>
      <c r="S111" s="88" t="n">
        <v>126500</v>
      </c>
      <c r="T111" s="67" t="inlineStr">
        <is>
          <t>Ready</t>
        </is>
      </c>
      <c r="U111" s="71" t="n"/>
      <c r="V111" s="84" t="inlineStr">
        <is>
          <t>50002617992_4204072845</t>
        </is>
      </c>
      <c r="W111" s="84" t="inlineStr">
        <is>
          <t>Electricity Large Market</t>
        </is>
      </c>
      <c r="X111" s="84" t="inlineStr">
        <is>
          <t>Electricity [kWh]</t>
        </is>
      </c>
      <c r="Y111" s="84" t="inlineStr">
        <is>
          <t>Origin</t>
        </is>
      </c>
      <c r="Z111" s="84" t="inlineStr">
        <is>
          <t>Asphalt Prod - Mogo (154)</t>
        </is>
      </c>
      <c r="AA111" s="84" t="inlineStr">
        <is>
          <t>154</t>
        </is>
      </c>
      <c r="AB111" s="84" t="inlineStr">
        <is>
          <t>Active</t>
        </is>
      </c>
      <c r="AC111" s="84" t="inlineStr">
        <is>
          <t>Connection ID is the account number suffix</t>
        </is>
      </c>
      <c r="AD111" s="85" t="inlineStr">
        <is>
          <t>50002617992_4204072845_CERTS; LGCS_4204072845; 385308_4204072845</t>
        </is>
      </c>
      <c r="AE111" s="85" t="inlineStr">
        <is>
          <t>50002617992_4204072845_CERTS (live) · LGCS_4001127731 (at this location, different ID) - historical · LGCS_4204072845 - historical</t>
        </is>
      </c>
    </row>
    <row r="112" customFormat="1" s="72">
      <c r="A112" s="66" t="n">
        <v>4310934278</v>
      </c>
      <c r="B112" s="67" t="inlineStr">
        <is>
          <t>Electricity</t>
        </is>
      </c>
      <c r="C112" s="67" t="inlineStr">
        <is>
          <t>Australia</t>
        </is>
      </c>
      <c r="D112" s="67" t="inlineStr">
        <is>
          <t>NSW</t>
        </is>
      </c>
      <c r="E112" s="67" t="inlineStr">
        <is>
          <t>AU Large Electricity</t>
        </is>
      </c>
      <c r="F112" s="67" t="inlineStr">
        <is>
          <t>NSW Schools 2 - Halinda HS</t>
        </is>
      </c>
      <c r="G112" s="67" t="inlineStr">
        <is>
          <t>Samarai Rd Whalan</t>
        </is>
      </c>
      <c r="H112" s="67" t="inlineStr">
        <is>
          <t>SPOTLESS FACILITY SERVICES PTY LTD (ABN: 83 072 293 880)</t>
        </is>
      </c>
      <c r="I112" s="67" t="inlineStr">
        <is>
          <t>SICS</t>
        </is>
      </c>
      <c r="J112" s="67" t="inlineStr">
        <is>
          <t>kWh</t>
        </is>
      </c>
      <c r="K112" s="86" t="n">
        <v>210805.16</v>
      </c>
      <c r="L112" s="67" t="inlineStr">
        <is>
          <t>Origin</t>
        </is>
      </c>
      <c r="M112" s="87" t="inlineStr">
        <is>
          <t>Origin</t>
        </is>
      </c>
      <c r="N112" s="87" t="n">
        <v>46204</v>
      </c>
      <c r="O112" s="87" t="n">
        <v>46934</v>
      </c>
      <c r="P112" s="67" t="inlineStr">
        <is>
          <t>24 months</t>
        </is>
      </c>
      <c r="Q112" s="88">
        <f t="array" ref="Q112:S112">IFERROR(ROUNDUP(_xlfn.XLOOKUP(A112,'Budget FY26-28'!A:A,'Budget FY26-28'!M:O)*(1+Summary!$C$2), -2), "")</f>
        <v/>
      </c>
      <c r="R112" s="88" t="n">
        <v>47200</v>
      </c>
      <c r="S112" s="88" t="n">
        <v>46800</v>
      </c>
      <c r="T112" s="67" t="inlineStr">
        <is>
          <t>Ready</t>
        </is>
      </c>
      <c r="U112" s="71" t="n"/>
      <c r="V112" s="84" t="inlineStr">
        <is>
          <t>50002617986_4310934278</t>
        </is>
      </c>
      <c r="W112" s="84" t="inlineStr">
        <is>
          <t>Electricity Large Market</t>
        </is>
      </c>
      <c r="X112" s="84" t="inlineStr">
        <is>
          <t>Electricity [kWh]</t>
        </is>
      </c>
      <c r="Y112" s="84" t="inlineStr">
        <is>
          <t>Origin</t>
        </is>
      </c>
      <c r="Z112" s="84" t="inlineStr">
        <is>
          <t>PPP - NSW Schools 2 (Halinda SSP)</t>
        </is>
      </c>
      <c r="AA112" s="84" t="inlineStr">
        <is>
          <t>9010</t>
        </is>
      </c>
      <c r="AB112" s="84" t="inlineStr">
        <is>
          <t>Active</t>
        </is>
      </c>
      <c r="AC112" s="84" t="inlineStr">
        <is>
          <t>Connection ID is the account number suffix</t>
        </is>
      </c>
      <c r="AD112" s="85" t="inlineStr">
        <is>
          <t>50002617986_4310934278_CERTS; 385301_4310934278</t>
        </is>
      </c>
      <c r="AE112" s="85" t="inlineStr">
        <is>
          <t>50002617986_4310934278_CERTS (live)</t>
        </is>
      </c>
    </row>
    <row r="113" customFormat="1" s="72">
      <c r="A113" s="66" t="n">
        <v>4310938258</v>
      </c>
      <c r="B113" s="67" t="inlineStr">
        <is>
          <t>Electricity</t>
        </is>
      </c>
      <c r="C113" s="67" t="inlineStr">
        <is>
          <t>Australia</t>
        </is>
      </c>
      <c r="D113" s="67" t="inlineStr">
        <is>
          <t>NSW</t>
        </is>
      </c>
      <c r="E113" s="67" t="inlineStr">
        <is>
          <t>AU Large Electricity</t>
        </is>
      </c>
      <c r="F113" s="67" t="inlineStr">
        <is>
          <t>NSW Schools 2 - Ropes Crossing PS</t>
        </is>
      </c>
      <c r="G113" s="67" t="inlineStr">
        <is>
          <t>Pulley  Drive Ropes Crossing</t>
        </is>
      </c>
      <c r="H113" s="67" t="inlineStr">
        <is>
          <t>SPOTLESS FACILITY SERVICES PTY LTD (ABN: 83 072 293 880)</t>
        </is>
      </c>
      <c r="I113" s="67" t="inlineStr">
        <is>
          <t>SICS</t>
        </is>
      </c>
      <c r="J113" s="67" t="inlineStr">
        <is>
          <t>kWh</t>
        </is>
      </c>
      <c r="K113" s="86" t="n">
        <v>147736.15</v>
      </c>
      <c r="L113" s="67" t="inlineStr">
        <is>
          <t>Origin</t>
        </is>
      </c>
      <c r="M113" s="87" t="inlineStr">
        <is>
          <t>Origin</t>
        </is>
      </c>
      <c r="N113" s="87" t="n">
        <v>46204</v>
      </c>
      <c r="O113" s="87" t="n">
        <v>46934</v>
      </c>
      <c r="P113" s="67" t="inlineStr">
        <is>
          <t>24 months</t>
        </is>
      </c>
      <c r="Q113" s="88">
        <f t="array" ref="Q113:S113">IFERROR(ROUNDUP(_xlfn.XLOOKUP(A113,'Budget FY26-28'!A:A,'Budget FY26-28'!M:O)*(1+Summary!$C$2), -2), "")</f>
        <v/>
      </c>
      <c r="R113" s="88" t="n">
        <v>35000</v>
      </c>
      <c r="S113" s="88" t="n">
        <v>34600</v>
      </c>
      <c r="T113" s="67" t="inlineStr">
        <is>
          <t>Ready</t>
        </is>
      </c>
      <c r="U113" s="71" t="n"/>
      <c r="V113" s="84" t="inlineStr">
        <is>
          <t>50002617970_4310938258</t>
        </is>
      </c>
      <c r="W113" s="84" t="inlineStr">
        <is>
          <t>Electricity Large Market</t>
        </is>
      </c>
      <c r="X113" s="84" t="inlineStr">
        <is>
          <t>Electricity [kWh]</t>
        </is>
      </c>
      <c r="Y113" s="84" t="inlineStr">
        <is>
          <t>Origin</t>
        </is>
      </c>
      <c r="Z113" s="84" t="inlineStr">
        <is>
          <t>PPP - NSW Schools 2 (Ropes Crossing PS)</t>
        </is>
      </c>
      <c r="AA113" s="84" t="inlineStr">
        <is>
          <t>9004</t>
        </is>
      </c>
      <c r="AB113" s="84" t="inlineStr">
        <is>
          <t>Active</t>
        </is>
      </c>
      <c r="AC113" s="84" t="inlineStr">
        <is>
          <t>Connection ID is the account number suffix</t>
        </is>
      </c>
      <c r="AD113" s="85" t="inlineStr">
        <is>
          <t>50002617970_4310938258_CERTS; 385413_4310938258</t>
        </is>
      </c>
      <c r="AE113" s="85" t="inlineStr">
        <is>
          <t>50002617970_4310938258_CERTS (live)</t>
        </is>
      </c>
    </row>
    <row r="114" customFormat="1" s="72">
      <c r="A114" s="66" t="n">
        <v>4310955386</v>
      </c>
      <c r="B114" s="67" t="inlineStr">
        <is>
          <t>Electricity</t>
        </is>
      </c>
      <c r="C114" s="67" t="inlineStr">
        <is>
          <t>Australia</t>
        </is>
      </c>
      <c r="D114" s="67" t="inlineStr">
        <is>
          <t>NSW</t>
        </is>
      </c>
      <c r="E114" s="67" t="inlineStr">
        <is>
          <t>AU Large Electricity</t>
        </is>
      </c>
      <c r="F114" s="67" t="inlineStr">
        <is>
          <t>NSW Schools 2 - Tullimbar</t>
        </is>
      </c>
      <c r="G114" s="67" t="inlineStr">
        <is>
          <t>4649 Exeter Place</t>
        </is>
      </c>
      <c r="H114" s="67" t="inlineStr">
        <is>
          <t>SPOTLESS FACILITY SERVICES PTY LTD (ABN: 83 072 293 880)</t>
        </is>
      </c>
      <c r="I114" s="67" t="inlineStr">
        <is>
          <t>SICS</t>
        </is>
      </c>
      <c r="J114" s="67" t="inlineStr">
        <is>
          <t>kWh</t>
        </is>
      </c>
      <c r="K114" s="86" t="n">
        <v>110678.1</v>
      </c>
      <c r="L114" s="67" t="inlineStr">
        <is>
          <t>Origin</t>
        </is>
      </c>
      <c r="M114" s="87" t="inlineStr">
        <is>
          <t>Origin</t>
        </is>
      </c>
      <c r="N114" s="87" t="n">
        <v>46204</v>
      </c>
      <c r="O114" s="87" t="n">
        <v>46934</v>
      </c>
      <c r="P114" s="67" t="inlineStr">
        <is>
          <t>24 months</t>
        </is>
      </c>
      <c r="Q114" s="88">
        <f t="array" ref="Q114:S114">IFERROR(ROUNDUP(_xlfn.XLOOKUP(A114,'Budget FY26-28'!A:A,'Budget FY26-28'!M:O)*(1+Summary!$C$2), -2), "")</f>
        <v/>
      </c>
      <c r="R114" s="88" t="n">
        <v>25800</v>
      </c>
      <c r="S114" s="88" t="n">
        <v>25600</v>
      </c>
      <c r="T114" s="67" t="inlineStr">
        <is>
          <t>Ready</t>
        </is>
      </c>
      <c r="U114" s="71" t="n"/>
      <c r="V114" s="84" t="inlineStr">
        <is>
          <t>50002716071_4310955386</t>
        </is>
      </c>
      <c r="W114" s="84" t="inlineStr">
        <is>
          <t>Electricity Large Market</t>
        </is>
      </c>
      <c r="X114" s="84" t="inlineStr">
        <is>
          <t>Electricity [kWh]</t>
        </is>
      </c>
      <c r="Y114" s="84" t="inlineStr">
        <is>
          <t>Origin</t>
        </is>
      </c>
      <c r="Z114" s="84" t="inlineStr">
        <is>
          <t>PPP - NSW Schools 2 (Tulimbar PS)</t>
        </is>
      </c>
      <c r="AA114" s="84" t="inlineStr">
        <is>
          <t>9006</t>
        </is>
      </c>
      <c r="AB114" s="84" t="inlineStr">
        <is>
          <t>Active</t>
        </is>
      </c>
      <c r="AC114" s="84" t="inlineStr">
        <is>
          <t>Connection ID is the account number suffix</t>
        </is>
      </c>
      <c r="AD114" s="85" t="inlineStr">
        <is>
          <t>50002716071_4310955386_CERTS</t>
        </is>
      </c>
      <c r="AE114" s="85" t="inlineStr">
        <is>
          <t>50002716071_4310955386_CERTS (live)</t>
        </is>
      </c>
    </row>
    <row r="115" customFormat="1" s="72">
      <c r="A115" s="66" t="n">
        <v>4310957406</v>
      </c>
      <c r="B115" s="67" t="inlineStr">
        <is>
          <t>Electricity</t>
        </is>
      </c>
      <c r="C115" s="67" t="inlineStr">
        <is>
          <t>Australia</t>
        </is>
      </c>
      <c r="D115" s="67" t="inlineStr">
        <is>
          <t>NSW</t>
        </is>
      </c>
      <c r="E115" s="67" t="inlineStr">
        <is>
          <t>AU Large Electricity</t>
        </is>
      </c>
      <c r="F115" s="67" t="inlineStr">
        <is>
          <t>NSW Schools 2 - John Palmer PS</t>
        </is>
      </c>
      <c r="G115" s="67" t="inlineStr">
        <is>
          <t>Lt 1077 The Ponds Blvd</t>
        </is>
      </c>
      <c r="H115" s="67" t="inlineStr">
        <is>
          <t>SPOTLESS FACILITY SERVICES PTY LTD (ABN: 83 072 293 880)</t>
        </is>
      </c>
      <c r="I115" s="67" t="inlineStr">
        <is>
          <t>SICS</t>
        </is>
      </c>
      <c r="J115" s="67" t="inlineStr">
        <is>
          <t>kWh</t>
        </is>
      </c>
      <c r="K115" s="86" t="n">
        <v>26836.14</v>
      </c>
      <c r="L115" s="67" t="inlineStr">
        <is>
          <t>Origin</t>
        </is>
      </c>
      <c r="M115" s="87" t="inlineStr">
        <is>
          <t>Origin</t>
        </is>
      </c>
      <c r="N115" s="87" t="n">
        <v>46204</v>
      </c>
      <c r="O115" s="87" t="n">
        <v>46934</v>
      </c>
      <c r="P115" s="67" t="inlineStr">
        <is>
          <t>24 months</t>
        </is>
      </c>
      <c r="Q115" s="88">
        <f t="array" ref="Q115:S115">IFERROR(ROUNDUP(_xlfn.XLOOKUP(A115,'Budget FY26-28'!A:A,'Budget FY26-28'!M:O)*(1+Summary!$C$2), -2), "")</f>
        <v/>
      </c>
      <c r="R115" s="88" t="n">
        <v>14500</v>
      </c>
      <c r="S115" s="88" t="n">
        <v>14400</v>
      </c>
      <c r="T115" s="67" t="inlineStr">
        <is>
          <t>Ready</t>
        </is>
      </c>
      <c r="U115" s="71" t="n"/>
      <c r="V115" s="84" t="inlineStr">
        <is>
          <t>50002617955_4310957406</t>
        </is>
      </c>
      <c r="W115" s="84" t="inlineStr">
        <is>
          <t>Electricity Large Market</t>
        </is>
      </c>
      <c r="X115" s="84" t="inlineStr">
        <is>
          <t>Electricity [kWh]</t>
        </is>
      </c>
      <c r="Y115" s="84" t="inlineStr">
        <is>
          <t>Origin</t>
        </is>
      </c>
      <c r="Z115" s="84" t="inlineStr">
        <is>
          <t>PPP - NSW Schools 2 (John Palmer PS)</t>
        </is>
      </c>
      <c r="AA115" s="84" t="inlineStr">
        <is>
          <t>9011</t>
        </is>
      </c>
      <c r="AB115" s="84" t="inlineStr">
        <is>
          <t>Active</t>
        </is>
      </c>
      <c r="AC115" s="84" t="inlineStr">
        <is>
          <t>Connection ID is the account number suffix</t>
        </is>
      </c>
      <c r="AD115" s="85" t="inlineStr">
        <is>
          <t>50002617955_4310957406_CERTS; 385281_4310957406</t>
        </is>
      </c>
      <c r="AE115" s="85" t="inlineStr">
        <is>
          <t>50002617955_4310957406_CERTS (live)</t>
        </is>
      </c>
    </row>
    <row r="116" customFormat="1" s="72">
      <c r="A116" s="66" t="n">
        <v>4310984436</v>
      </c>
      <c r="B116" s="67" t="inlineStr">
        <is>
          <t>Electricity</t>
        </is>
      </c>
      <c r="C116" s="67" t="inlineStr">
        <is>
          <t>Australia</t>
        </is>
      </c>
      <c r="D116" s="67" t="inlineStr">
        <is>
          <t>NSW</t>
        </is>
      </c>
      <c r="E116" s="67" t="inlineStr">
        <is>
          <t>AU Large Electricity</t>
        </is>
      </c>
      <c r="F116" s="67" t="inlineStr">
        <is>
          <t>NSW Schools 2 - Rouse Hill HS</t>
        </is>
      </c>
      <c r="G116" s="67" t="inlineStr">
        <is>
          <t>105 Withers Rd</t>
        </is>
      </c>
      <c r="H116" s="67" t="inlineStr">
        <is>
          <t>SPOTLESS FACILITY SERVICES PTY LTD (ABN: 83 072 293 880)</t>
        </is>
      </c>
      <c r="I116" s="67" t="inlineStr">
        <is>
          <t>SICS</t>
        </is>
      </c>
      <c r="J116" s="67" t="inlineStr">
        <is>
          <t>kWh</t>
        </is>
      </c>
      <c r="K116" s="86" t="n">
        <v>238859.85</v>
      </c>
      <c r="L116" s="67" t="inlineStr">
        <is>
          <t>Origin</t>
        </is>
      </c>
      <c r="M116" s="87" t="inlineStr">
        <is>
          <t>Origin</t>
        </is>
      </c>
      <c r="N116" s="87" t="n">
        <v>46204</v>
      </c>
      <c r="O116" s="87" t="n">
        <v>46934</v>
      </c>
      <c r="P116" s="67" t="inlineStr">
        <is>
          <t>24 months</t>
        </is>
      </c>
      <c r="Q116" s="88">
        <f t="array" ref="Q116:S116">IFERROR(ROUNDUP(_xlfn.XLOOKUP(A116,'Budget FY26-28'!A:A,'Budget FY26-28'!M:O)*(1+Summary!$C$2), -2), "")</f>
        <v/>
      </c>
      <c r="R116" s="88" t="n">
        <v>56900</v>
      </c>
      <c r="S116" s="88" t="n">
        <v>56400</v>
      </c>
      <c r="T116" s="67" t="inlineStr">
        <is>
          <t>Ready</t>
        </is>
      </c>
      <c r="U116" s="71" t="n"/>
      <c r="V116" s="84" t="inlineStr">
        <is>
          <t>50002617959_4310984436</t>
        </is>
      </c>
      <c r="W116" s="84" t="inlineStr">
        <is>
          <t>Electricity Large Market</t>
        </is>
      </c>
      <c r="X116" s="84" t="inlineStr">
        <is>
          <t>Electricity [kWh]</t>
        </is>
      </c>
      <c r="Y116" s="84" t="inlineStr">
        <is>
          <t>Origin</t>
        </is>
      </c>
      <c r="Z116" s="84" t="inlineStr">
        <is>
          <t>PPP - NSW Schools 2 (Rouse Hill HS)</t>
        </is>
      </c>
      <c r="AA116" s="84" t="inlineStr">
        <is>
          <t>9005</t>
        </is>
      </c>
      <c r="AB116" s="84" t="inlineStr">
        <is>
          <t>Active</t>
        </is>
      </c>
      <c r="AC116" s="84" t="inlineStr">
        <is>
          <t>Connection ID is the account number suffix</t>
        </is>
      </c>
      <c r="AD116" s="85" t="inlineStr">
        <is>
          <t>50002617959_4310984436_CERTS; 385275_4310984436</t>
        </is>
      </c>
      <c r="AE116" s="85" t="inlineStr">
        <is>
          <t>50002617959_4310984436_CERTS (live)</t>
        </is>
      </c>
    </row>
    <row r="117" customFormat="1" s="72">
      <c r="A117" s="66" t="n">
        <v>4311006154</v>
      </c>
      <c r="B117" s="67" t="inlineStr">
        <is>
          <t>Electricity</t>
        </is>
      </c>
      <c r="C117" s="67" t="inlineStr">
        <is>
          <t>Australia</t>
        </is>
      </c>
      <c r="D117" s="67" t="inlineStr">
        <is>
          <t>NSW</t>
        </is>
      </c>
      <c r="E117" s="67" t="inlineStr">
        <is>
          <t>AU Large Electricity</t>
        </is>
      </c>
      <c r="F117" s="67" t="inlineStr">
        <is>
          <t>NSW Schools 2 - Elderslie PS</t>
        </is>
      </c>
      <c r="G117" s="67" t="inlineStr">
        <is>
          <t>170 Lodges Rd</t>
        </is>
      </c>
      <c r="H117" s="67" t="inlineStr">
        <is>
          <t>SPOTLESS FACILITY SERVICES PTY LTD (ABN: 83 072 293 880)</t>
        </is>
      </c>
      <c r="I117" s="67" t="inlineStr">
        <is>
          <t>SICS</t>
        </is>
      </c>
      <c r="J117" s="67" t="inlineStr">
        <is>
          <t>kWh</t>
        </is>
      </c>
      <c r="K117" s="86" t="n">
        <v>141294.49</v>
      </c>
      <c r="L117" s="67" t="inlineStr">
        <is>
          <t>Origin</t>
        </is>
      </c>
      <c r="M117" s="87" t="inlineStr">
        <is>
          <t>Origin</t>
        </is>
      </c>
      <c r="N117" s="87" t="n">
        <v>46204</v>
      </c>
      <c r="O117" s="87" t="n">
        <v>46934</v>
      </c>
      <c r="P117" s="67" t="inlineStr">
        <is>
          <t>24 months</t>
        </is>
      </c>
      <c r="Q117" s="88">
        <f t="array" ref="Q117:S117">IFERROR(ROUNDUP(_xlfn.XLOOKUP(A117,'Budget FY26-28'!A:A,'Budget FY26-28'!M:O)*(1+Summary!$C$2), -2), "")</f>
        <v/>
      </c>
      <c r="R117" s="88" t="n">
        <v>33600</v>
      </c>
      <c r="S117" s="88" t="n">
        <v>33300</v>
      </c>
      <c r="T117" s="67" t="inlineStr">
        <is>
          <t>Ready</t>
        </is>
      </c>
      <c r="U117" s="71" t="n"/>
      <c r="V117" s="84" t="inlineStr">
        <is>
          <t>50002617988_4311006154</t>
        </is>
      </c>
      <c r="W117" s="84" t="inlineStr">
        <is>
          <t>Electricity Large Market</t>
        </is>
      </c>
      <c r="X117" s="84" t="inlineStr">
        <is>
          <t>Electricity [kWh]</t>
        </is>
      </c>
      <c r="Y117" s="84" t="inlineStr">
        <is>
          <t>Origin</t>
        </is>
      </c>
      <c r="Z117" s="84" t="inlineStr">
        <is>
          <t>PPP - NSW Schools 2 (Elderslie PS)</t>
        </is>
      </c>
      <c r="AA117" s="84" t="inlineStr">
        <is>
          <t>9009</t>
        </is>
      </c>
      <c r="AB117" s="84" t="inlineStr">
        <is>
          <t>Active</t>
        </is>
      </c>
      <c r="AC117" s="84" t="inlineStr">
        <is>
          <t>Connection ID is the account number suffix</t>
        </is>
      </c>
      <c r="AD117" s="85" t="inlineStr">
        <is>
          <t>50002617988_4311006154_CERTS; 385277_4311006154</t>
        </is>
      </c>
      <c r="AE117" s="85" t="inlineStr">
        <is>
          <t>50002617988_4311006154_CERTS (live)</t>
        </is>
      </c>
    </row>
    <row r="118" customFormat="1" s="72">
      <c r="A118" s="66" t="n">
        <v>4311006155</v>
      </c>
      <c r="B118" s="67" t="inlineStr">
        <is>
          <t>Electricity</t>
        </is>
      </c>
      <c r="C118" s="67" t="inlineStr">
        <is>
          <t>Australia</t>
        </is>
      </c>
      <c r="D118" s="67" t="inlineStr">
        <is>
          <t>NSW</t>
        </is>
      </c>
      <c r="E118" s="67" t="inlineStr">
        <is>
          <t>AU Large Electricity</t>
        </is>
      </c>
      <c r="F118" s="67" t="inlineStr">
        <is>
          <t>NSW Schools 2 - Middleton Grange PS</t>
        </is>
      </c>
      <c r="G118" s="67" t="inlineStr">
        <is>
          <t>50 Seventeenth Ave West Hoxton Nsw</t>
        </is>
      </c>
      <c r="H118" s="67" t="inlineStr">
        <is>
          <t>SPOTLESS FACILITY SERVICES PTY LTD (ABN: 83 072 293 880)</t>
        </is>
      </c>
      <c r="I118" s="67" t="inlineStr">
        <is>
          <t>SICS</t>
        </is>
      </c>
      <c r="J118" s="67" t="inlineStr">
        <is>
          <t>kWh</t>
        </is>
      </c>
      <c r="K118" s="86" t="n">
        <v>125233.95</v>
      </c>
      <c r="L118" s="67" t="inlineStr">
        <is>
          <t>Origin</t>
        </is>
      </c>
      <c r="M118" s="87" t="inlineStr">
        <is>
          <t>Origin</t>
        </is>
      </c>
      <c r="N118" s="87" t="n">
        <v>46204</v>
      </c>
      <c r="O118" s="87" t="n">
        <v>46934</v>
      </c>
      <c r="P118" s="67" t="inlineStr">
        <is>
          <t>24 months</t>
        </is>
      </c>
      <c r="Q118" s="88">
        <f t="array" ref="Q118:S118">IFERROR(ROUNDUP(_xlfn.XLOOKUP(A118,'Budget FY26-28'!A:A,'Budget FY26-28'!M:O)*(1+Summary!$C$2), -2), "")</f>
        <v/>
      </c>
      <c r="R118" s="88" t="n">
        <v>30300</v>
      </c>
      <c r="S118" s="88" t="n">
        <v>30000</v>
      </c>
      <c r="T118" s="67" t="inlineStr">
        <is>
          <t>Ready</t>
        </is>
      </c>
      <c r="U118" s="71" t="n"/>
      <c r="V118" s="84" t="inlineStr">
        <is>
          <t>50002617951_4311006155</t>
        </is>
      </c>
      <c r="W118" s="84" t="inlineStr">
        <is>
          <t>Electricity Large Market</t>
        </is>
      </c>
      <c r="X118" s="84" t="inlineStr">
        <is>
          <t>Electricity [kWh]</t>
        </is>
      </c>
      <c r="Y118" s="84" t="inlineStr">
        <is>
          <t>Origin</t>
        </is>
      </c>
      <c r="Z118" s="84" t="inlineStr">
        <is>
          <t>PPP - NSW Schools 2 (Middleton Grange PS)</t>
        </is>
      </c>
      <c r="AA118" s="84" t="inlineStr">
        <is>
          <t>9003</t>
        </is>
      </c>
      <c r="AB118" s="84" t="inlineStr">
        <is>
          <t>Active</t>
        </is>
      </c>
      <c r="AC118" s="84" t="inlineStr">
        <is>
          <t>Connection ID is the account number suffix</t>
        </is>
      </c>
      <c r="AD118" s="85" t="inlineStr">
        <is>
          <t>50002617951_4311006155_CERTS; 385440_4311006155</t>
        </is>
      </c>
      <c r="AE118" s="85" t="inlineStr">
        <is>
          <t>50002617951_4311006155_CERTS (live)</t>
        </is>
      </c>
    </row>
    <row r="119" customFormat="1" s="72">
      <c r="A119" s="66" t="n">
        <v>4311006315</v>
      </c>
      <c r="B119" s="67" t="inlineStr">
        <is>
          <t>Electricity</t>
        </is>
      </c>
      <c r="C119" s="67" t="inlineStr">
        <is>
          <t>Australia</t>
        </is>
      </c>
      <c r="D119" s="67" t="inlineStr">
        <is>
          <t>NSW</t>
        </is>
      </c>
      <c r="E119" s="67" t="inlineStr">
        <is>
          <t>AU Large Electricity</t>
        </is>
      </c>
      <c r="F119" s="67" t="inlineStr">
        <is>
          <t>Roads Workshops Eastern Creek</t>
        </is>
      </c>
      <c r="G119" s="67" t="inlineStr">
        <is>
          <t>50 Eastern Creek Drive</t>
        </is>
      </c>
      <c r="H119" s="67" t="inlineStr">
        <is>
          <t>DOWNER EDI WORKS PTY LTD (ABN: 66 008 709 608)</t>
        </is>
      </c>
      <c r="I119" s="67" t="inlineStr">
        <is>
          <t>T&amp;I</t>
        </is>
      </c>
      <c r="J119" s="67" t="inlineStr">
        <is>
          <t>kWh</t>
        </is>
      </c>
      <c r="K119" s="86" t="n">
        <v>631132.89</v>
      </c>
      <c r="L119" s="67" t="inlineStr">
        <is>
          <t>Origin</t>
        </is>
      </c>
      <c r="M119" s="87" t="inlineStr">
        <is>
          <t>Origin</t>
        </is>
      </c>
      <c r="N119" s="87" t="n">
        <v>46204</v>
      </c>
      <c r="O119" s="87" t="n">
        <v>46934</v>
      </c>
      <c r="P119" s="67" t="inlineStr">
        <is>
          <t>24 months</t>
        </is>
      </c>
      <c r="Q119" s="88">
        <f t="array" ref="Q119:S119">IFERROR(ROUNDUP(_xlfn.XLOOKUP(A119,'Budget FY26-28'!A:A,'Budget FY26-28'!M:O)*(1+Summary!$C$2), -2), "")</f>
        <v/>
      </c>
      <c r="R119" s="88" t="n">
        <v>123200</v>
      </c>
      <c r="S119" s="88" t="n">
        <v>122500</v>
      </c>
      <c r="T119" s="67" t="inlineStr">
        <is>
          <t>Ready</t>
        </is>
      </c>
      <c r="U119" s="71" t="n"/>
      <c r="V119" s="84" t="inlineStr">
        <is>
          <t>50002755315_4311006315</t>
        </is>
      </c>
      <c r="W119" s="84" t="inlineStr">
        <is>
          <t>Electricity Large Market</t>
        </is>
      </c>
      <c r="X119" s="84" t="inlineStr">
        <is>
          <t>Electricity [kWh]</t>
        </is>
      </c>
      <c r="Y119" s="84" t="inlineStr">
        <is>
          <t>Origin</t>
        </is>
      </c>
      <c r="Z119" s="84" t="inlineStr">
        <is>
          <t>Eastern Creek</t>
        </is>
      </c>
      <c r="AA119" s="84" t="inlineStr">
        <is>
          <t>L9.J.170160</t>
        </is>
      </c>
      <c r="AB119" s="84" t="inlineStr">
        <is>
          <t>Active</t>
        </is>
      </c>
      <c r="AC119" s="84" t="inlineStr">
        <is>
          <t>Connection ID is the account number suffix</t>
        </is>
      </c>
      <c r="AD119" s="85" t="inlineStr">
        <is>
          <t>50002755315_4311006315_CERTS; LGCS_4311006315</t>
        </is>
      </c>
      <c r="AE119" s="85" t="inlineStr">
        <is>
          <t>50002755315_4311006315_CERTS (live) · LGCS_4311006315 - historical</t>
        </is>
      </c>
    </row>
    <row r="120" customFormat="1" s="72">
      <c r="A120" s="66" t="n">
        <v>4311396021</v>
      </c>
      <c r="B120" s="67" t="inlineStr">
        <is>
          <t>Electricity</t>
        </is>
      </c>
      <c r="C120" s="67" t="inlineStr">
        <is>
          <t>Australia</t>
        </is>
      </c>
      <c r="D120" s="67" t="inlineStr">
        <is>
          <t>NSW</t>
        </is>
      </c>
      <c r="E120" s="67" t="inlineStr">
        <is>
          <t>AU Large Electricity</t>
        </is>
      </c>
      <c r="F120" s="67" t="inlineStr">
        <is>
          <t>New Asphalt Plant - Rose Hill</t>
        </is>
      </c>
      <c r="G120" s="67" t="inlineStr">
        <is>
          <t>Building A Dp1168951 Lot 100/9 Devon Street</t>
        </is>
      </c>
      <c r="H120" s="67" t="inlineStr">
        <is>
          <t>DOWNER EDI WORKS PTY LTD (ABN: 66 008 709 608)</t>
        </is>
      </c>
      <c r="I120" s="67" t="inlineStr">
        <is>
          <t>T&amp;I</t>
        </is>
      </c>
      <c r="J120" s="67" t="inlineStr">
        <is>
          <t>kWh</t>
        </is>
      </c>
      <c r="K120" s="86" t="n">
        <v>1537138.97</v>
      </c>
      <c r="L120" s="67" t="inlineStr">
        <is>
          <t>Origin</t>
        </is>
      </c>
      <c r="M120" s="87" t="inlineStr">
        <is>
          <t>Origin</t>
        </is>
      </c>
      <c r="N120" s="87" t="n">
        <v>46204</v>
      </c>
      <c r="O120" s="87" t="n">
        <v>46934</v>
      </c>
      <c r="P120" s="67" t="inlineStr">
        <is>
          <t>24 months</t>
        </is>
      </c>
      <c r="Q120" s="88">
        <f t="array" ref="Q120:S120">IFERROR(ROUNDUP(_xlfn.XLOOKUP(A120,'Budget FY26-28'!A:A,'Budget FY26-28'!M:O)*(1+Summary!$C$2), -2), "")</f>
        <v/>
      </c>
      <c r="R120" s="88" t="n">
        <v>326900</v>
      </c>
      <c r="S120" s="88" t="n">
        <v>325200</v>
      </c>
      <c r="T120" s="67" t="inlineStr">
        <is>
          <t>Ready</t>
        </is>
      </c>
      <c r="U120" s="71" t="n"/>
      <c r="V120" s="84" t="inlineStr">
        <is>
          <t>50002756108_4311396021</t>
        </is>
      </c>
      <c r="W120" s="84" t="inlineStr">
        <is>
          <t>Electricity Large Market</t>
        </is>
      </c>
      <c r="X120" s="84" t="inlineStr">
        <is>
          <t>Electricity [kWh]</t>
        </is>
      </c>
      <c r="Y120" s="84" t="inlineStr">
        <is>
          <t>Origin</t>
        </is>
      </c>
      <c r="Z120" s="84" t="inlineStr">
        <is>
          <t>Asphalt Prod - Rosehill (163)</t>
        </is>
      </c>
      <c r="AA120" s="84" t="inlineStr">
        <is>
          <t>163</t>
        </is>
      </c>
      <c r="AB120" s="84" t="inlineStr">
        <is>
          <t>Active</t>
        </is>
      </c>
      <c r="AC120" s="84" t="inlineStr">
        <is>
          <t>Connection ID is the account number suffix</t>
        </is>
      </c>
      <c r="AD120" s="85" t="inlineStr">
        <is>
          <t>50002756108_4311396021_CERTS; LGCS_4311396021</t>
        </is>
      </c>
      <c r="AE120" s="85" t="inlineStr">
        <is>
          <t>50002756108_4311396021_CERTS (live) · LGCS_4311396021 - historical · LGCS_4311396022 (at this location, different ID) - historical</t>
        </is>
      </c>
    </row>
    <row r="121" customFormat="1" s="72">
      <c r="A121" s="66" t="n">
        <v>4311396022</v>
      </c>
      <c r="B121" s="67" t="inlineStr">
        <is>
          <t>Electricity</t>
        </is>
      </c>
      <c r="C121" s="67" t="inlineStr">
        <is>
          <t>Australia</t>
        </is>
      </c>
      <c r="D121" s="67" t="inlineStr">
        <is>
          <t>NSW</t>
        </is>
      </c>
      <c r="E121" s="67" t="inlineStr">
        <is>
          <t>AU Large Electricity</t>
        </is>
      </c>
      <c r="F121" s="67" t="inlineStr">
        <is>
          <t>New Asphalt Plant  Rose Hill</t>
        </is>
      </c>
      <c r="G121" s="67" t="inlineStr">
        <is>
          <t>Building B Dp1168951 Lot 100/9 Devon Street</t>
        </is>
      </c>
      <c r="H121" s="67" t="inlineStr">
        <is>
          <t>DOWNER EDI WORKS PTY LTD (ABN: 66 008 709 608)</t>
        </is>
      </c>
      <c r="I121" s="67" t="inlineStr">
        <is>
          <t>T&amp;I</t>
        </is>
      </c>
      <c r="J121" s="67" t="inlineStr">
        <is>
          <t>kWh</t>
        </is>
      </c>
      <c r="K121" s="86" t="n">
        <v>553695.01</v>
      </c>
      <c r="L121" s="67" t="inlineStr">
        <is>
          <t>Origin</t>
        </is>
      </c>
      <c r="M121" s="87" t="inlineStr">
        <is>
          <t>Origin</t>
        </is>
      </c>
      <c r="N121" s="87" t="n">
        <v>46204</v>
      </c>
      <c r="O121" s="87" t="n">
        <v>46934</v>
      </c>
      <c r="P121" s="67" t="inlineStr">
        <is>
          <t>24 months</t>
        </is>
      </c>
      <c r="Q121" s="88">
        <f t="array" ref="Q121:S121">IFERROR(ROUNDUP(_xlfn.XLOOKUP(A121,'Budget FY26-28'!A:A,'Budget FY26-28'!M:O)*(1+Summary!$C$2), -2), "")</f>
        <v/>
      </c>
      <c r="R121" s="88" t="n">
        <v>121700</v>
      </c>
      <c r="S121" s="88" t="n">
        <v>121100</v>
      </c>
      <c r="T121" s="67" t="inlineStr">
        <is>
          <t>Ready</t>
        </is>
      </c>
      <c r="U121" s="71" t="n"/>
      <c r="V121" s="84" t="inlineStr">
        <is>
          <t>50002756109_4311396022</t>
        </is>
      </c>
      <c r="W121" s="84" t="inlineStr">
        <is>
          <t>Electricity Large Market</t>
        </is>
      </c>
      <c r="X121" s="84" t="inlineStr">
        <is>
          <t>Electricity [kWh]</t>
        </is>
      </c>
      <c r="Y121" s="84" t="inlineStr">
        <is>
          <t>Origin</t>
        </is>
      </c>
      <c r="Z121" s="84" t="inlineStr">
        <is>
          <t>Asphalt Prod - Rosehill (163)</t>
        </is>
      </c>
      <c r="AA121" s="84" t="inlineStr">
        <is>
          <t>163</t>
        </is>
      </c>
      <c r="AB121" s="84" t="inlineStr">
        <is>
          <t>Active</t>
        </is>
      </c>
      <c r="AC121" s="84" t="inlineStr">
        <is>
          <t>Connection ID is the account number suffix</t>
        </is>
      </c>
      <c r="AD121" s="85" t="inlineStr">
        <is>
          <t>50002756109_4311396022_CERTS; LGCS_4311396022</t>
        </is>
      </c>
      <c r="AE121" s="85" t="inlineStr">
        <is>
          <t>50002756109_4311396022_CERTS (live) · LGCS_4311396021 (at this location, different ID) - historical · LGCS_4311396022 - historical</t>
        </is>
      </c>
    </row>
    <row r="122" customFormat="1" s="72">
      <c r="A122" s="66" t="n">
        <v>4407159054</v>
      </c>
      <c r="B122" s="67" t="inlineStr">
        <is>
          <t>Electricity</t>
        </is>
      </c>
      <c r="C122" s="67" t="inlineStr">
        <is>
          <t>Australia</t>
        </is>
      </c>
      <c r="D122" s="67" t="inlineStr">
        <is>
          <t>NSW</t>
        </is>
      </c>
      <c r="E122" s="67" t="inlineStr">
        <is>
          <t>AU Large Electricity</t>
        </is>
      </c>
      <c r="F122" s="67" t="inlineStr">
        <is>
          <t>RPQ Chinderra</t>
        </is>
      </c>
      <c r="G122" s="67" t="inlineStr">
        <is>
          <t>24A Ozone St</t>
        </is>
      </c>
      <c r="H122" s="67" t="inlineStr">
        <is>
          <t>RPQ PTY LTD (ABN: 53 010 760 826)</t>
        </is>
      </c>
      <c r="I122" s="67" t="inlineStr">
        <is>
          <t>T&amp;I</t>
        </is>
      </c>
      <c r="J122" s="67" t="inlineStr">
        <is>
          <t>kWh</t>
        </is>
      </c>
      <c r="K122" s="86" t="n">
        <v>379736.789</v>
      </c>
      <c r="L122" s="67" t="inlineStr">
        <is>
          <t>Origin</t>
        </is>
      </c>
      <c r="M122" s="87" t="inlineStr">
        <is>
          <t>Origin</t>
        </is>
      </c>
      <c r="N122" s="87" t="n">
        <v>46204</v>
      </c>
      <c r="O122" s="87" t="n">
        <v>46934</v>
      </c>
      <c r="P122" s="67" t="inlineStr">
        <is>
          <t>24 months</t>
        </is>
      </c>
      <c r="Q122" s="88">
        <f t="array" ref="Q122:S122">IFERROR(ROUNDUP(_xlfn.XLOOKUP(A122,'Budget FY26-28'!A:A,'Budget FY26-28'!M:O)*(1+Summary!$C$2), -2), "")</f>
        <v/>
      </c>
      <c r="R122" s="88" t="n">
        <v>82200</v>
      </c>
      <c r="S122" s="88" t="n">
        <v>81800</v>
      </c>
      <c r="T122" s="67" t="inlineStr">
        <is>
          <t>Ready</t>
        </is>
      </c>
      <c r="U122" s="71" t="n"/>
      <c r="V122" s="84" t="inlineStr">
        <is>
          <t>50002846159_4407159054</t>
        </is>
      </c>
      <c r="W122" s="84" t="inlineStr">
        <is>
          <t>Electricity Small Market</t>
        </is>
      </c>
      <c r="X122" s="84" t="inlineStr">
        <is>
          <t>Electricity [kWh]</t>
        </is>
      </c>
      <c r="Y122" s="84" t="inlineStr">
        <is>
          <t>Origin</t>
        </is>
      </c>
      <c r="Z122" s="84" t="inlineStr">
        <is>
          <t>RPQ NSW Chinderah</t>
        </is>
      </c>
      <c r="AA122" s="84" t="inlineStr">
        <is>
          <t>L9.J.171210</t>
        </is>
      </c>
      <c r="AB122" s="84" t="inlineStr">
        <is>
          <t>Active</t>
        </is>
      </c>
      <c r="AC122" s="84" t="inlineStr">
        <is>
          <t>Connection ID is the account number suffix</t>
        </is>
      </c>
      <c r="AD122" s="85" t="inlineStr">
        <is>
          <t>50002846159_4407159054_CERTS; LGCS_4407159054; 200051085377_4407159054; A-1D612D9B_4407159054</t>
        </is>
      </c>
      <c r="AE122" s="85" t="inlineStr">
        <is>
          <t>50002846159_4407159054_CERTS (live) · LGCS_4407159054 - historical</t>
        </is>
      </c>
    </row>
    <row r="123" customFormat="1" s="72">
      <c r="A123" s="66" t="inlineStr">
        <is>
          <t>NAAA00AC25</t>
        </is>
      </c>
      <c r="B123" s="67" t="inlineStr">
        <is>
          <t>Electricity</t>
        </is>
      </c>
      <c r="C123" s="67" t="inlineStr">
        <is>
          <t>Australia</t>
        </is>
      </c>
      <c r="D123" s="67" t="inlineStr">
        <is>
          <t>NSW</t>
        </is>
      </c>
      <c r="E123" s="67" t="inlineStr">
        <is>
          <t>AU Large Electricity</t>
        </is>
      </c>
      <c r="F123" s="67" t="inlineStr">
        <is>
          <t>Roads - Kelso</t>
        </is>
      </c>
      <c r="G123" s="67" t="inlineStr">
        <is>
          <t>Zagreb Place</t>
        </is>
      </c>
      <c r="H123" s="67" t="inlineStr">
        <is>
          <t>DOWNER EDI SERVICES PTY LTD (ABN: 71 137 732 042)</t>
        </is>
      </c>
      <c r="I123" s="67" t="inlineStr">
        <is>
          <t>T&amp;I</t>
        </is>
      </c>
      <c r="J123" s="67" t="inlineStr">
        <is>
          <t>kWh</t>
        </is>
      </c>
      <c r="K123" s="86" t="n">
        <v>468259.76</v>
      </c>
      <c r="L123" s="67" t="inlineStr">
        <is>
          <t>Origin</t>
        </is>
      </c>
      <c r="M123" s="87" t="inlineStr">
        <is>
          <t>Origin</t>
        </is>
      </c>
      <c r="N123" s="87" t="n">
        <v>46204</v>
      </c>
      <c r="O123" s="87" t="n">
        <v>46934</v>
      </c>
      <c r="P123" s="67" t="inlineStr">
        <is>
          <t>24 months</t>
        </is>
      </c>
      <c r="Q123" s="88">
        <f t="array" ref="Q123:S123">IFERROR(ROUNDUP(_xlfn.XLOOKUP(A123,'Budget FY26-28'!A:A,'Budget FY26-28'!M:O)*(1+Summary!$C$2), -2), "")</f>
        <v/>
      </c>
      <c r="R123" s="88" t="n">
        <v>157200</v>
      </c>
      <c r="S123" s="88" t="n">
        <v>156700</v>
      </c>
      <c r="T123" s="67" t="inlineStr">
        <is>
          <t>Ready</t>
        </is>
      </c>
      <c r="U123" s="71" t="n"/>
      <c r="V123" s="84" t="inlineStr">
        <is>
          <t>50002617964_NAAA00AC25</t>
        </is>
      </c>
      <c r="W123" s="84" t="inlineStr">
        <is>
          <t>Electricity Large Market</t>
        </is>
      </c>
      <c r="X123" s="84" t="inlineStr">
        <is>
          <t>Electricity [kWh]</t>
        </is>
      </c>
      <c r="Y123" s="84" t="inlineStr">
        <is>
          <t>Origin</t>
        </is>
      </c>
      <c r="Z123" s="84" t="inlineStr">
        <is>
          <t>Asphalt Prod - Bathurst (156)</t>
        </is>
      </c>
      <c r="AA123" s="84" t="inlineStr">
        <is>
          <t>170156</t>
        </is>
      </c>
      <c r="AB123" s="84" t="inlineStr">
        <is>
          <t>Active</t>
        </is>
      </c>
      <c r="AC123" s="84" t="inlineStr">
        <is>
          <t>Connection ID is the account number suffix</t>
        </is>
      </c>
      <c r="AD123" s="85" t="inlineStr">
        <is>
          <t>50002617964_NAAA00AC25_CERTS; LGCS_NAAA00AC25; 385280_NAAA00AC25</t>
        </is>
      </c>
      <c r="AE123" s="85" t="inlineStr">
        <is>
          <t>50002617964_NAAA00AC25_CERTS (live) · LGCS_NAAA00AC25 - historical</t>
        </is>
      </c>
    </row>
    <row r="124" customFormat="1" s="72">
      <c r="A124" s="66" t="n">
        <v>6001311036</v>
      </c>
      <c r="B124" s="67" t="inlineStr">
        <is>
          <t>Electricity</t>
        </is>
      </c>
      <c r="C124" s="67" t="inlineStr">
        <is>
          <t>Australia</t>
        </is>
      </c>
      <c r="D124" s="67" t="inlineStr">
        <is>
          <t>VIC</t>
        </is>
      </c>
      <c r="E124" s="67" t="inlineStr">
        <is>
          <t>AU Large Electricity</t>
        </is>
      </c>
      <c r="F124" s="67" t="inlineStr">
        <is>
          <t>Roads - Somerton</t>
        </is>
      </c>
      <c r="G124" s="67" t="inlineStr">
        <is>
          <t>125 Somerton Road</t>
        </is>
      </c>
      <c r="H124" s="67" t="inlineStr">
        <is>
          <t>DOWNER EDI SERVICES PTY LTD (ABN: 71 137 732 042)</t>
        </is>
      </c>
      <c r="I124" s="67" t="inlineStr">
        <is>
          <t>T&amp;I</t>
        </is>
      </c>
      <c r="J124" s="67" t="inlineStr">
        <is>
          <t>kWh</t>
        </is>
      </c>
      <c r="K124" s="86" t="n">
        <v>1016001.512</v>
      </c>
      <c r="L124" s="67" t="inlineStr">
        <is>
          <t>Origin</t>
        </is>
      </c>
      <c r="M124" s="87" t="inlineStr">
        <is>
          <t>Engie</t>
        </is>
      </c>
      <c r="N124" s="87" t="n">
        <v>46204</v>
      </c>
      <c r="O124" s="87" t="n">
        <v>46934</v>
      </c>
      <c r="P124" s="67" t="inlineStr">
        <is>
          <t>24 months</t>
        </is>
      </c>
      <c r="Q124" s="88">
        <f t="array" ref="Q124:S124">IFERROR(ROUNDUP(_xlfn.XLOOKUP(A124,'Budget FY26-28'!A:A,'Budget FY26-28'!M:O)*(1+Summary!$C$2), -2), "")</f>
        <v/>
      </c>
      <c r="R124" s="88" t="n">
        <v>213000</v>
      </c>
      <c r="S124" s="88" t="n">
        <v>213900</v>
      </c>
      <c r="T124" s="67" t="inlineStr">
        <is>
          <t>Ready</t>
        </is>
      </c>
      <c r="U124" s="71" t="n"/>
      <c r="V124" s="84" t="inlineStr">
        <is>
          <t>900018217_6001311036</t>
        </is>
      </c>
      <c r="W124" s="84" t="inlineStr">
        <is>
          <t>Electricity Small Market</t>
        </is>
      </c>
      <c r="X124" s="84" t="inlineStr">
        <is>
          <t>Electricity [kWh]</t>
        </is>
      </c>
      <c r="Y124" s="84" t="inlineStr">
        <is>
          <t>EngieAU</t>
        </is>
      </c>
      <c r="Z124" s="84" t="inlineStr">
        <is>
          <t>Asphalt Prod - Somerton (303)</t>
        </is>
      </c>
      <c r="AA124" s="84" t="inlineStr">
        <is>
          <t>L9.J.17032627</t>
        </is>
      </c>
      <c r="AB124" s="84" t="inlineStr">
        <is>
          <t>Active</t>
        </is>
      </c>
      <c r="AC124" s="84" t="inlineStr">
        <is>
          <t>Connection ID is the account number suffix</t>
        </is>
      </c>
      <c r="AD124" s="85" t="inlineStr">
        <is>
          <t>LGCS_6001311036; DEDI01_6001311036; 50002646138_6001311036</t>
        </is>
      </c>
      <c r="AE124" s="85" t="inlineStr">
        <is>
          <t>900018217_6001311036_CERTS (to create) · LGCS_6001311036 - historical</t>
        </is>
      </c>
    </row>
    <row r="125" customFormat="1" s="72">
      <c r="A125" s="66" t="n">
        <v>6203753676</v>
      </c>
      <c r="B125" s="67" t="inlineStr">
        <is>
          <t>Electricity</t>
        </is>
      </c>
      <c r="C125" s="67" t="inlineStr">
        <is>
          <t>Australia</t>
        </is>
      </c>
      <c r="D125" s="67" t="inlineStr">
        <is>
          <t>VIC</t>
        </is>
      </c>
      <c r="E125" s="67" t="inlineStr">
        <is>
          <t>AU Large Electricity</t>
        </is>
      </c>
      <c r="F125" s="67" t="inlineStr">
        <is>
          <t>Utilties - Derrimut</t>
        </is>
      </c>
      <c r="G125" s="67" t="inlineStr">
        <is>
          <t>1 Westpark Drive</t>
        </is>
      </c>
      <c r="H125" s="67" t="inlineStr">
        <is>
          <t>DOWNER EDI SERVICES PTY LTD (ABN: 71 137 732 042)</t>
        </is>
      </c>
      <c r="I125" s="67" t="inlineStr">
        <is>
          <t>E&amp;U</t>
        </is>
      </c>
      <c r="J125" s="67" t="inlineStr">
        <is>
          <t>kWh</t>
        </is>
      </c>
      <c r="K125" s="86" t="n">
        <v>298507.32</v>
      </c>
      <c r="L125" s="67" t="inlineStr">
        <is>
          <t>Origin</t>
        </is>
      </c>
      <c r="M125" s="87" t="inlineStr">
        <is>
          <t>Engie</t>
        </is>
      </c>
      <c r="N125" s="87" t="n">
        <v>46204</v>
      </c>
      <c r="O125" s="87" t="n">
        <v>46934</v>
      </c>
      <c r="P125" s="67" t="inlineStr">
        <is>
          <t>24 months</t>
        </is>
      </c>
      <c r="Q125" s="88">
        <f t="array" ref="Q125:S125">IFERROR(ROUNDUP(_xlfn.XLOOKUP(A125,'Budget FY26-28'!A:A,'Budget FY26-28'!M:O)*(1+Summary!$C$2), -2), "")</f>
        <v/>
      </c>
      <c r="R125" s="88" t="n">
        <v>69100</v>
      </c>
      <c r="S125" s="88" t="n">
        <v>69100</v>
      </c>
      <c r="T125" s="67" t="inlineStr">
        <is>
          <t>Ready</t>
        </is>
      </c>
      <c r="U125" s="71" t="n"/>
      <c r="V125" s="84" t="inlineStr">
        <is>
          <t>900018212_6203753676</t>
        </is>
      </c>
      <c r="W125" s="84" t="inlineStr">
        <is>
          <t>Electricity Small Market</t>
        </is>
      </c>
      <c r="X125" s="84" t="inlineStr">
        <is>
          <t>Electricity [kWh]</t>
        </is>
      </c>
      <c r="Y125" s="84" t="inlineStr">
        <is>
          <t>EngieAU</t>
        </is>
      </c>
      <c r="Z125" s="84" t="inlineStr">
        <is>
          <t>Utilities Derrimut Office</t>
        </is>
      </c>
      <c r="AA125" s="84" t="inlineStr">
        <is>
          <t>7010</t>
        </is>
      </c>
      <c r="AB125" s="84" t="inlineStr">
        <is>
          <t>Active</t>
        </is>
      </c>
      <c r="AC125" s="84" t="inlineStr">
        <is>
          <t>Connection ID is the account number suffix</t>
        </is>
      </c>
      <c r="AD125" s="85" t="inlineStr">
        <is>
          <t>LGCS_6203753676; DEDI01_6203753676; 50002646140_6203753676</t>
        </is>
      </c>
      <c r="AE125" s="85" t="inlineStr">
        <is>
          <t>900018212_6203753676_CERTS (to create) · LGCS_6203753676 - historical</t>
        </is>
      </c>
    </row>
    <row r="126" customFormat="1" s="72">
      <c r="A126" s="66" t="n">
        <v>6204134328</v>
      </c>
      <c r="B126" s="67" t="inlineStr">
        <is>
          <t>Electricity</t>
        </is>
      </c>
      <c r="C126" s="67" t="inlineStr">
        <is>
          <t>Australia</t>
        </is>
      </c>
      <c r="D126" s="67" t="inlineStr">
        <is>
          <t>VIC</t>
        </is>
      </c>
      <c r="E126" s="67" t="inlineStr">
        <is>
          <t>AU Large Electricity</t>
        </is>
      </c>
      <c r="F126" s="67" t="inlineStr">
        <is>
          <t>Roads Shepparton</t>
        </is>
      </c>
      <c r="G126" s="67" t="inlineStr">
        <is>
          <t>32 Apollo Drive</t>
        </is>
      </c>
      <c r="H126" s="67" t="inlineStr">
        <is>
          <t>DOWNER EDI SERVICES PTY LTD (ABN: 71 137 732 042)</t>
        </is>
      </c>
      <c r="I126" s="67" t="inlineStr">
        <is>
          <t>T&amp;I</t>
        </is>
      </c>
      <c r="J126" s="67" t="inlineStr">
        <is>
          <t>kWh</t>
        </is>
      </c>
      <c r="K126" s="86" t="n">
        <v>475562.1800000001</v>
      </c>
      <c r="L126" s="67" t="inlineStr">
        <is>
          <t>Origin</t>
        </is>
      </c>
      <c r="M126" s="87" t="inlineStr">
        <is>
          <t>Engie</t>
        </is>
      </c>
      <c r="N126" s="87" t="n">
        <v>46204</v>
      </c>
      <c r="O126" s="87" t="n">
        <v>46934</v>
      </c>
      <c r="P126" s="67" t="inlineStr">
        <is>
          <t>24 months</t>
        </is>
      </c>
      <c r="Q126" s="88">
        <f t="array" ref="Q126:S126">IFERROR(ROUNDUP(_xlfn.XLOOKUP(A126,'Budget FY26-28'!A:A,'Budget FY26-28'!M:O)*(1+Summary!$C$2), -2), "")</f>
        <v/>
      </c>
      <c r="R126" s="88" t="n">
        <v>126000</v>
      </c>
      <c r="S126" s="88" t="n">
        <v>126800</v>
      </c>
      <c r="T126" s="67" t="inlineStr">
        <is>
          <t>Ready</t>
        </is>
      </c>
      <c r="U126" s="71" t="n"/>
      <c r="V126" s="84" t="inlineStr">
        <is>
          <t>900018214_6204134328</t>
        </is>
      </c>
      <c r="W126" s="84" t="inlineStr">
        <is>
          <t>Electricity Small Market</t>
        </is>
      </c>
      <c r="X126" s="84" t="inlineStr">
        <is>
          <t>Electricity [kWh]</t>
        </is>
      </c>
      <c r="Y126" s="84" t="inlineStr">
        <is>
          <t>EngieAU</t>
        </is>
      </c>
      <c r="Z126" s="84" t="inlineStr">
        <is>
          <t>Asphalt Prod - Shepparton (308)</t>
        </is>
      </c>
      <c r="AA126" s="84" t="inlineStr">
        <is>
          <t>308</t>
        </is>
      </c>
      <c r="AB126" s="84" t="inlineStr">
        <is>
          <t>Active</t>
        </is>
      </c>
      <c r="AC126" s="84" t="inlineStr">
        <is>
          <t>Connection ID is the account number suffix</t>
        </is>
      </c>
      <c r="AD126" s="85" t="inlineStr">
        <is>
          <t>50002946681_6204134328</t>
        </is>
      </c>
      <c r="AE126" s="85" t="inlineStr">
        <is>
          <t>900018214_6204134328_CERTS (to create) · LGCS_VCCCSC0020 (at this location, different ID) - historical</t>
        </is>
      </c>
    </row>
    <row r="127" customFormat="1" s="72">
      <c r="A127" s="66" t="n">
        <v>6305920528</v>
      </c>
      <c r="B127" s="67" t="inlineStr">
        <is>
          <t>Electricity</t>
        </is>
      </c>
      <c r="C127" s="67" t="inlineStr">
        <is>
          <t>Australia</t>
        </is>
      </c>
      <c r="D127" s="67" t="inlineStr">
        <is>
          <t>VIC</t>
        </is>
      </c>
      <c r="E127" s="67" t="inlineStr">
        <is>
          <t>AU Large Electricity</t>
        </is>
      </c>
      <c r="F127" s="67" t="inlineStr">
        <is>
          <t>Roads - Asphalt Plant Bayswater</t>
        </is>
      </c>
      <c r="G127" s="67" t="inlineStr">
        <is>
          <t>Bsp 18 Jersey Road</t>
        </is>
      </c>
      <c r="H127" s="67" t="inlineStr">
        <is>
          <t>DOWNER EDI SERVICES PTY LTD (ABN: 71 137 732 042)</t>
        </is>
      </c>
      <c r="I127" s="67" t="inlineStr">
        <is>
          <t>T&amp;I</t>
        </is>
      </c>
      <c r="J127" s="67" t="inlineStr">
        <is>
          <t>kWh</t>
        </is>
      </c>
      <c r="K127" s="86" t="n">
        <v>800264.6200000001</v>
      </c>
      <c r="L127" s="67" t="inlineStr">
        <is>
          <t>Origin</t>
        </is>
      </c>
      <c r="M127" s="87" t="inlineStr">
        <is>
          <t>Engie</t>
        </is>
      </c>
      <c r="N127" s="87" t="n">
        <v>46204</v>
      </c>
      <c r="O127" s="87" t="n">
        <v>46934</v>
      </c>
      <c r="P127" s="67" t="inlineStr">
        <is>
          <t>24 months</t>
        </is>
      </c>
      <c r="Q127" s="88">
        <f t="array" ref="Q127:S127">IFERROR(ROUNDUP(_xlfn.XLOOKUP(A127,'Budget FY26-28'!A:A,'Budget FY26-28'!M:O)*(1+Summary!$C$2), -2), "")</f>
        <v/>
      </c>
      <c r="R127" s="88" t="n">
        <v>212100</v>
      </c>
      <c r="S127" s="88" t="n">
        <v>213100</v>
      </c>
      <c r="T127" s="67" t="inlineStr">
        <is>
          <t>Ready</t>
        </is>
      </c>
      <c r="U127" s="71" t="n"/>
      <c r="V127" s="84" t="inlineStr">
        <is>
          <t>900018215_6305920528</t>
        </is>
      </c>
      <c r="W127" s="84" t="inlineStr">
        <is>
          <t>Electricity Small Market</t>
        </is>
      </c>
      <c r="X127" s="84" t="inlineStr">
        <is>
          <t>Electricity [kWh]</t>
        </is>
      </c>
      <c r="Y127" s="84" t="inlineStr">
        <is>
          <t>EngieAU</t>
        </is>
      </c>
      <c r="Z127" s="84" t="inlineStr">
        <is>
          <t>Asphalt Prod - Bayswater (302)</t>
        </is>
      </c>
      <c r="AA127" s="84" t="inlineStr">
        <is>
          <t>302</t>
        </is>
      </c>
      <c r="AB127" s="84" t="inlineStr">
        <is>
          <t>Active</t>
        </is>
      </c>
      <c r="AC127" s="84" t="inlineStr">
        <is>
          <t>Connection ID is the account number suffix</t>
        </is>
      </c>
      <c r="AD127" s="85" t="inlineStr">
        <is>
          <t>LGCS_6305920528; DEDI01_6305920528; 50002646141_6305920528</t>
        </is>
      </c>
      <c r="AE127" s="85" t="inlineStr">
        <is>
          <t>900018215_6305920528_CERTS (to create) · LGCS_6305920528 - historical</t>
        </is>
      </c>
    </row>
    <row r="128" customFormat="1" s="72">
      <c r="A128" s="66" t="n">
        <v>6306009124</v>
      </c>
      <c r="B128" s="67" t="inlineStr">
        <is>
          <t>Electricity</t>
        </is>
      </c>
      <c r="C128" s="67" t="inlineStr">
        <is>
          <t>Australia</t>
        </is>
      </c>
      <c r="D128" s="67" t="inlineStr">
        <is>
          <t>VIC</t>
        </is>
      </c>
      <c r="E128" s="67" t="inlineStr">
        <is>
          <t>AU Large Electricity</t>
        </is>
      </c>
      <c r="F128" s="67" t="inlineStr">
        <is>
          <t>Fowlers Asphalting - Traralgon</t>
        </is>
      </c>
      <c r="G128" s="67" t="inlineStr">
        <is>
          <t>24-44 Rocla Road</t>
        </is>
      </c>
      <c r="H128" s="67" t="inlineStr">
        <is>
          <t>FOWLERS ASPHALTING PTY. LIMITED (ABN: 86 007 406 386)</t>
        </is>
      </c>
      <c r="I128" s="67" t="inlineStr">
        <is>
          <t>T&amp;I</t>
        </is>
      </c>
      <c r="J128" s="67" t="inlineStr">
        <is>
          <t>kWh</t>
        </is>
      </c>
      <c r="K128" s="86" t="n">
        <v>361392.4600000001</v>
      </c>
      <c r="L128" s="67" t="inlineStr">
        <is>
          <t>Origin</t>
        </is>
      </c>
      <c r="M128" s="87" t="inlineStr">
        <is>
          <t>Engie</t>
        </is>
      </c>
      <c r="N128" s="87" t="n">
        <v>46204</v>
      </c>
      <c r="O128" s="87" t="n">
        <v>46934</v>
      </c>
      <c r="P128" s="67" t="inlineStr">
        <is>
          <t>24 months</t>
        </is>
      </c>
      <c r="Q128" s="88">
        <f t="array" ref="Q128:S128">IFERROR(ROUNDUP(_xlfn.XLOOKUP(A128,'Budget FY26-28'!A:A,'Budget FY26-28'!M:O)*(1+Summary!$C$2), -2), "")</f>
        <v/>
      </c>
      <c r="R128" s="88" t="n">
        <v>83400</v>
      </c>
      <c r="S128" s="88" t="n">
        <v>83700</v>
      </c>
      <c r="T128" s="67" t="inlineStr">
        <is>
          <t>Ready</t>
        </is>
      </c>
      <c r="U128" s="71" t="n"/>
      <c r="V128" s="84" t="inlineStr">
        <is>
          <t>900018219_6306009124</t>
        </is>
      </c>
      <c r="W128" s="84" t="inlineStr">
        <is>
          <t>Electricity Small Market</t>
        </is>
      </c>
      <c r="X128" s="84" t="inlineStr">
        <is>
          <t>Electricity [kWh]</t>
        </is>
      </c>
      <c r="Y128" s="84" t="inlineStr">
        <is>
          <t>EngieAU</t>
        </is>
      </c>
      <c r="Z128" s="84" t="inlineStr">
        <is>
          <t>Asphalt Prod - Traralgon (300)</t>
        </is>
      </c>
      <c r="AA128" s="84" t="inlineStr">
        <is>
          <t>300</t>
        </is>
      </c>
      <c r="AB128" s="84" t="inlineStr">
        <is>
          <t>Active</t>
        </is>
      </c>
      <c r="AC128" s="84" t="inlineStr">
        <is>
          <t>Connection ID is the account number suffix</t>
        </is>
      </c>
      <c r="AD128" s="85" t="inlineStr">
        <is>
          <t>LGCS_6306009124; 11695210_6306009124; 50002929573_6306009124</t>
        </is>
      </c>
      <c r="AE128" s="85" t="inlineStr">
        <is>
          <t>900018219_6306009124_CERTS (to create) · LGCS_6306009124 - historical</t>
        </is>
      </c>
    </row>
    <row r="129" customFormat="1" s="72">
      <c r="A129" s="66" t="n">
        <v>6407100027</v>
      </c>
      <c r="B129" s="67" t="inlineStr">
        <is>
          <t>Electricity</t>
        </is>
      </c>
      <c r="C129" s="67" t="inlineStr">
        <is>
          <t>Australia</t>
        </is>
      </c>
      <c r="D129" s="67" t="inlineStr">
        <is>
          <t>VIC</t>
        </is>
      </c>
      <c r="E129" s="67" t="inlineStr">
        <is>
          <t>AU Large Electricity</t>
        </is>
      </c>
      <c r="F129" s="67" t="inlineStr">
        <is>
          <t>Roads - Dandenong</t>
        </is>
      </c>
      <c r="G129" s="67" t="inlineStr">
        <is>
          <t>434 South Gippsland Hwy</t>
        </is>
      </c>
      <c r="H129" s="67" t="inlineStr">
        <is>
          <t>DOWNER EDI SERVICES PTY LTD (ABN: 71 137 732 042)</t>
        </is>
      </c>
      <c r="I129" s="67" t="inlineStr">
        <is>
          <t>T&amp;I</t>
        </is>
      </c>
      <c r="J129" s="67" t="inlineStr">
        <is>
          <t>kWh</t>
        </is>
      </c>
      <c r="K129" s="86" t="n">
        <v>118037.096</v>
      </c>
      <c r="L129" s="67" t="inlineStr">
        <is>
          <t>Origin</t>
        </is>
      </c>
      <c r="M129" s="87" t="inlineStr">
        <is>
          <t>Engie</t>
        </is>
      </c>
      <c r="N129" s="87" t="n">
        <v>46204</v>
      </c>
      <c r="O129" s="87" t="n">
        <v>46934</v>
      </c>
      <c r="P129" s="67" t="inlineStr">
        <is>
          <t>24 months</t>
        </is>
      </c>
      <c r="Q129" s="88">
        <f t="array" ref="Q129:S129">IFERROR(ROUNDUP(_xlfn.XLOOKUP(A129,'Budget FY26-28'!A:A,'Budget FY26-28'!M:O)*(1+Summary!$C$2), -2), "")</f>
        <v/>
      </c>
      <c r="R129" s="88" t="n">
        <v>25600</v>
      </c>
      <c r="S129" s="88" t="n">
        <v>25600</v>
      </c>
      <c r="T129" s="67" t="inlineStr">
        <is>
          <t>Ready</t>
        </is>
      </c>
      <c r="U129" s="71" t="n"/>
      <c r="V129" s="84" t="inlineStr">
        <is>
          <t>900018211_6407100027</t>
        </is>
      </c>
      <c r="W129" s="84" t="inlineStr">
        <is>
          <t>Electricity Small Market</t>
        </is>
      </c>
      <c r="X129" s="84" t="inlineStr">
        <is>
          <t>Electricity [kWh]</t>
        </is>
      </c>
      <c r="Y129" s="84" t="inlineStr">
        <is>
          <t>EngieAU</t>
        </is>
      </c>
      <c r="Z129" s="84" t="inlineStr">
        <is>
          <t>Dandenong - PAV</t>
        </is>
      </c>
      <c r="AA129" s="84" t="inlineStr">
        <is>
          <t>517</t>
        </is>
      </c>
      <c r="AB129" s="84" t="inlineStr">
        <is>
          <t>Active</t>
        </is>
      </c>
      <c r="AC129" s="84" t="inlineStr">
        <is>
          <t>Connection ID is the account number suffix</t>
        </is>
      </c>
      <c r="AD129" s="85" t="inlineStr">
        <is>
          <t>LGCS_6407100027; DEDI01_6407100027; 50002646142_6407100027</t>
        </is>
      </c>
      <c r="AE129" s="85" t="inlineStr">
        <is>
          <t>900018211_6407100027_CERTS (to create) · LGCS_6407100027 - historical</t>
        </is>
      </c>
    </row>
    <row r="130" customFormat="1" s="72">
      <c r="A130" s="66" t="n">
        <v>6407695655</v>
      </c>
      <c r="B130" s="67" t="inlineStr">
        <is>
          <t>Electricity</t>
        </is>
      </c>
      <c r="C130" s="67" t="inlineStr">
        <is>
          <t>Australia</t>
        </is>
      </c>
      <c r="D130" s="67" t="inlineStr">
        <is>
          <t>VIC</t>
        </is>
      </c>
      <c r="E130" s="67" t="inlineStr">
        <is>
          <t>AU Large Electricity</t>
        </is>
      </c>
      <c r="F130" s="67" t="inlineStr">
        <is>
          <t>Spotless - Skilltech</t>
        </is>
      </c>
      <c r="G130" s="67" t="inlineStr">
        <is>
          <t>Factory 2A/200 Wellington Road</t>
        </is>
      </c>
      <c r="H130" s="67" t="inlineStr">
        <is>
          <t>SKILLTECH CONSULTING SERVICES PTY. LTD. (ABN: 14 007 162 647)</t>
        </is>
      </c>
      <c r="I130" s="67" t="inlineStr">
        <is>
          <t>SICS</t>
        </is>
      </c>
      <c r="J130" s="67" t="inlineStr">
        <is>
          <t>kWh</t>
        </is>
      </c>
      <c r="K130" s="86" t="n">
        <v>28429.415</v>
      </c>
      <c r="L130" s="67" t="inlineStr">
        <is>
          <t>Origin</t>
        </is>
      </c>
      <c r="M130" s="87" t="inlineStr">
        <is>
          <t>Engie</t>
        </is>
      </c>
      <c r="N130" s="87" t="n">
        <v>46204</v>
      </c>
      <c r="O130" s="87" t="n">
        <v>46934</v>
      </c>
      <c r="P130" s="67" t="inlineStr">
        <is>
          <t>24 months</t>
        </is>
      </c>
      <c r="Q130" s="88">
        <f t="array" ref="Q130:S130">IFERROR(ROUNDUP(_xlfn.XLOOKUP(A130,'Budget FY26-28'!A:A,'Budget FY26-28'!M:O)*(1+Summary!$C$2), -2), "")</f>
        <v/>
      </c>
      <c r="R130" s="88" t="n">
        <v>9900</v>
      </c>
      <c r="S130" s="88" t="n">
        <v>9900</v>
      </c>
      <c r="T130" s="67" t="inlineStr">
        <is>
          <t>Ready</t>
        </is>
      </c>
      <c r="U130" s="71" t="n"/>
      <c r="V130" s="84" t="inlineStr">
        <is>
          <t>900018210_6407695655</t>
        </is>
      </c>
      <c r="W130" s="84" t="inlineStr">
        <is>
          <t>Electricity Small Market</t>
        </is>
      </c>
      <c r="X130" s="84" t="inlineStr">
        <is>
          <t>Electricity [kWh]</t>
        </is>
      </c>
      <c r="Y130" s="84" t="inlineStr">
        <is>
          <t>EngieAU</t>
        </is>
      </c>
      <c r="Z130" s="84" t="inlineStr">
        <is>
          <t>Mulgrave - Wellington Rd, Clayton</t>
        </is>
      </c>
      <c r="AA130" s="84" t="inlineStr">
        <is>
          <t>9118</t>
        </is>
      </c>
      <c r="AB130" s="84" t="inlineStr">
        <is>
          <t>Active</t>
        </is>
      </c>
      <c r="AC130" s="84" t="inlineStr">
        <is>
          <t>Connection ID is the account number suffix</t>
        </is>
      </c>
      <c r="AD130" s="85" t="inlineStr">
        <is>
          <t>LGCS_6407695655; 50002646152_6407695655; 7012537788_6407695655</t>
        </is>
      </c>
      <c r="AE130" s="85" t="inlineStr">
        <is>
          <t>900018210_6407695655_CERTS (to create) · LGCS_6407695655 - historical</t>
        </is>
      </c>
    </row>
    <row r="131" customFormat="1" s="72">
      <c r="A131" s="66" t="inlineStr">
        <is>
          <t>VBBB002698</t>
        </is>
      </c>
      <c r="B131" s="67" t="inlineStr">
        <is>
          <t>Electricity</t>
        </is>
      </c>
      <c r="C131" s="67" t="inlineStr">
        <is>
          <t>Australia</t>
        </is>
      </c>
      <c r="D131" s="67" t="inlineStr">
        <is>
          <t>VIC</t>
        </is>
      </c>
      <c r="E131" s="67" t="inlineStr">
        <is>
          <t>AU Large Electricity</t>
        </is>
      </c>
      <c r="F131" s="67" t="inlineStr">
        <is>
          <t>Roads - Wodonga</t>
        </is>
      </c>
      <c r="G131" s="67" t="inlineStr">
        <is>
          <t>25 Moloney Dr</t>
        </is>
      </c>
      <c r="H131" s="67" t="inlineStr">
        <is>
          <t>DOWNER EDI SERVICES PTY LTD (ABN: 71 137 732 042)</t>
        </is>
      </c>
      <c r="I131" s="67" t="inlineStr">
        <is>
          <t>T&amp;I</t>
        </is>
      </c>
      <c r="J131" s="67" t="inlineStr">
        <is>
          <t>kWh</t>
        </is>
      </c>
      <c r="K131" s="86" t="n">
        <v>435696.23</v>
      </c>
      <c r="L131" s="67" t="inlineStr">
        <is>
          <t>Origin</t>
        </is>
      </c>
      <c r="M131" s="87" t="inlineStr">
        <is>
          <t>Engie</t>
        </is>
      </c>
      <c r="N131" s="87" t="n">
        <v>46204</v>
      </c>
      <c r="O131" s="87" t="n">
        <v>46934</v>
      </c>
      <c r="P131" s="67" t="inlineStr">
        <is>
          <t>24 months</t>
        </is>
      </c>
      <c r="Q131" s="88">
        <f t="array" ref="Q131:S131">IFERROR(ROUNDUP(_xlfn.XLOOKUP(A131,'Budget FY26-28'!A:A,'Budget FY26-28'!M:O)*(1+Summary!$C$2), -2), "")</f>
        <v/>
      </c>
      <c r="R131" s="88" t="n">
        <v>98700</v>
      </c>
      <c r="S131" s="88" t="n">
        <v>99100</v>
      </c>
      <c r="T131" s="67" t="inlineStr">
        <is>
          <t>Ready</t>
        </is>
      </c>
      <c r="U131" s="71" t="n"/>
      <c r="V131" s="84" t="inlineStr">
        <is>
          <t>900018213_VBBB002698</t>
        </is>
      </c>
      <c r="W131" s="84" t="inlineStr">
        <is>
          <t>Electricity Small Market</t>
        </is>
      </c>
      <c r="X131" s="84" t="inlineStr">
        <is>
          <t>Electricity [kWh]</t>
        </is>
      </c>
      <c r="Y131" s="84" t="inlineStr">
        <is>
          <t>EngieAU</t>
        </is>
      </c>
      <c r="Z131" s="84" t="inlineStr">
        <is>
          <t>Asphalt Prod - Wodonga (315)</t>
        </is>
      </c>
      <c r="AA131" s="84" t="inlineStr">
        <is>
          <t>315</t>
        </is>
      </c>
      <c r="AB131" s="84" t="inlineStr">
        <is>
          <t>Active</t>
        </is>
      </c>
      <c r="AC131" s="84" t="inlineStr">
        <is>
          <t>Connection ID is the account number suffix</t>
        </is>
      </c>
      <c r="AD131" s="85" t="inlineStr">
        <is>
          <t>LGCS_VBBB002698; DEDI01_VBBB002698; 50002646143_VBBB002698</t>
        </is>
      </c>
      <c r="AE131" s="85" t="inlineStr">
        <is>
          <t>900018213_VBBB002698_CERTS (to create) · LGCS_VBBB002698 - historical</t>
        </is>
      </c>
    </row>
    <row r="132" customFormat="1" s="72">
      <c r="A132" s="66" t="inlineStr">
        <is>
          <t>VDDD001226</t>
        </is>
      </c>
      <c r="B132" s="67" t="inlineStr">
        <is>
          <t>Electricity</t>
        </is>
      </c>
      <c r="C132" s="67" t="inlineStr">
        <is>
          <t>Australia</t>
        </is>
      </c>
      <c r="D132" s="67" t="inlineStr">
        <is>
          <t>VIC</t>
        </is>
      </c>
      <c r="E132" s="67" t="inlineStr">
        <is>
          <t>AU Large Electricity</t>
        </is>
      </c>
      <c r="F132" s="67" t="inlineStr">
        <is>
          <t>Roads - Somerton</t>
        </is>
      </c>
      <c r="G132" s="67" t="inlineStr">
        <is>
          <t>125 - 129 Somerton Rd</t>
        </is>
      </c>
      <c r="H132" s="67" t="inlineStr">
        <is>
          <t>DOWNER EDI SERVICES PTY LTD (ABN: 71 137 732 042)</t>
        </is>
      </c>
      <c r="I132" s="67" t="inlineStr">
        <is>
          <t>T&amp;I</t>
        </is>
      </c>
      <c r="J132" s="67" t="inlineStr">
        <is>
          <t>kWh</t>
        </is>
      </c>
      <c r="K132" s="86" t="n">
        <v>906577.55</v>
      </c>
      <c r="L132" s="67" t="inlineStr">
        <is>
          <t>Origin</t>
        </is>
      </c>
      <c r="M132" s="87" t="inlineStr">
        <is>
          <t>Engie</t>
        </is>
      </c>
      <c r="N132" s="87" t="n">
        <v>46204</v>
      </c>
      <c r="O132" s="87" t="n">
        <v>46934</v>
      </c>
      <c r="P132" s="67" t="inlineStr">
        <is>
          <t>24 months</t>
        </is>
      </c>
      <c r="Q132" s="88">
        <f t="array" ref="Q132:S132">IFERROR(ROUNDUP(_xlfn.XLOOKUP(A132,'Budget FY26-28'!A:A,'Budget FY26-28'!M:O)*(1+Summary!$C$2), -2), "")</f>
        <v/>
      </c>
      <c r="R132" s="88" t="n">
        <v>161000</v>
      </c>
      <c r="S132" s="88" t="n">
        <v>162200</v>
      </c>
      <c r="T132" s="67" t="inlineStr">
        <is>
          <t>Ready</t>
        </is>
      </c>
      <c r="U132" s="71" t="n"/>
      <c r="V132" s="84" t="inlineStr">
        <is>
          <t>900018216_VDDD001226</t>
        </is>
      </c>
      <c r="W132" s="84" t="inlineStr">
        <is>
          <t>Electricity Small Market</t>
        </is>
      </c>
      <c r="X132" s="84" t="inlineStr">
        <is>
          <t>Electricity [kWh]</t>
        </is>
      </c>
      <c r="Y132" s="84" t="inlineStr">
        <is>
          <t>EngieAU</t>
        </is>
      </c>
      <c r="Z132" s="84" t="inlineStr">
        <is>
          <t>Somerton Emulsion Plant</t>
        </is>
      </c>
      <c r="AA132" s="84" t="inlineStr">
        <is>
          <t>8001</t>
        </is>
      </c>
      <c r="AB132" s="84" t="inlineStr">
        <is>
          <t>Active</t>
        </is>
      </c>
      <c r="AC132" s="84" t="inlineStr">
        <is>
          <t>Connection ID is the account number suffix</t>
        </is>
      </c>
      <c r="AD132" s="85" t="inlineStr">
        <is>
          <t>LGCS_VDDD001226; 50002646145_VDDD001226; DEDI01_VDDD001226</t>
        </is>
      </c>
      <c r="AE132" s="85" t="inlineStr">
        <is>
          <t>900018216_VDDD001226_CERTS (to create) · LGCS_VDDD001226 - historical</t>
        </is>
      </c>
    </row>
    <row r="133" customFormat="1" s="79">
      <c r="A133" s="73" t="n">
        <v>2500033707</v>
      </c>
      <c r="B133" s="74" t="inlineStr">
        <is>
          <t>Electricity</t>
        </is>
      </c>
      <c r="C133" s="74" t="inlineStr">
        <is>
          <t>Australia</t>
        </is>
      </c>
      <c r="D133" s="74" t="inlineStr">
        <is>
          <t>NT</t>
        </is>
      </c>
      <c r="E133" s="74" t="inlineStr">
        <is>
          <t>AU Large Electricity</t>
        </is>
      </c>
      <c r="F133" s="74" t="inlineStr">
        <is>
          <t>SKILLTECH  DARWIN</t>
        </is>
      </c>
      <c r="G133" s="74" t="inlineStr">
        <is>
          <t>Lot 6866, 23 A/90 Frances Bay Drive</t>
        </is>
      </c>
      <c r="H133" s="74" t="inlineStr">
        <is>
          <t>SKILLTECH CONSULTING SERVICES PTY. LTD. (ABN: 14 007 162 647)</t>
        </is>
      </c>
      <c r="I133" s="74" t="inlineStr">
        <is>
          <t>SICS</t>
        </is>
      </c>
      <c r="J133" s="74" t="inlineStr">
        <is>
          <t>kWh</t>
        </is>
      </c>
      <c r="K133" s="89" t="n">
        <v>0</v>
      </c>
      <c r="L133" s="74" t="inlineStr">
        <is>
          <t>Jacana</t>
        </is>
      </c>
      <c r="M133" s="90" t="inlineStr">
        <is>
          <t>Jacana Energy (Standing)</t>
        </is>
      </c>
      <c r="N133" s="90" t="n"/>
      <c r="O133" s="90" t="n"/>
      <c r="P133" s="74" t="n"/>
      <c r="Q133" s="91">
        <f t="array" ref="Q133:S133">IFERROR(ROUNDUP(_xlfn.XLOOKUP(A133,'Budget FY26-28'!A:A,'Budget FY26-28'!M:O)*(1+Summary!$C$2), -2), "")</f>
        <v/>
      </c>
      <c r="R133" s="91" t="n">
        <v>0</v>
      </c>
      <c r="S133" s="91" t="n">
        <v>0</v>
      </c>
      <c r="T133" s="74" t="inlineStr">
        <is>
          <t>Review required</t>
        </is>
      </c>
      <c r="U133" s="78" t="inlineStr">
        <is>
          <t>No consumption reported</t>
        </is>
      </c>
      <c r="V133" s="84" t="inlineStr">
        <is>
          <t>104432917_2500033707</t>
        </is>
      </c>
      <c r="W133" s="84" t="inlineStr">
        <is>
          <t>Electricity Small Market</t>
        </is>
      </c>
      <c r="X133" s="84" t="inlineStr">
        <is>
          <t>Electricity [kWh]</t>
        </is>
      </c>
      <c r="Y133" s="84" t="inlineStr">
        <is>
          <t>Jacana</t>
        </is>
      </c>
      <c r="Z133" s="84" t="inlineStr">
        <is>
          <t>Skilltech - Stuart Park</t>
        </is>
      </c>
      <c r="AA133" s="84" t="inlineStr"/>
      <c r="AB133" s="84" t="inlineStr">
        <is>
          <t>Active</t>
        </is>
      </c>
      <c r="AC133" s="84" t="inlineStr">
        <is>
          <t>Connection ID is the account number suffix</t>
        </is>
      </c>
      <c r="AD133" s="85" t="inlineStr"/>
      <c r="AE133" s="85" t="inlineStr"/>
    </row>
    <row r="134" customFormat="1" s="79">
      <c r="A134" s="73" t="n">
        <v>2500044629</v>
      </c>
      <c r="B134" s="74" t="inlineStr">
        <is>
          <t>Electricity</t>
        </is>
      </c>
      <c r="C134" s="74" t="inlineStr">
        <is>
          <t>Australia</t>
        </is>
      </c>
      <c r="D134" s="74" t="inlineStr">
        <is>
          <t>NT</t>
        </is>
      </c>
      <c r="E134" s="74" t="inlineStr">
        <is>
          <t>AU Large Electricity</t>
        </is>
      </c>
      <c r="F134" s="74" t="inlineStr">
        <is>
          <t>Roads - Katherine</t>
        </is>
      </c>
      <c r="G134" s="74" t="inlineStr">
        <is>
          <t>Lot 2378, 5 Emungalan Road</t>
        </is>
      </c>
      <c r="H134" s="74" t="inlineStr">
        <is>
          <t>DOWNER EDI WORKS PTY LTD (ABN: 66 008 709 608)</t>
        </is>
      </c>
      <c r="I134" s="74" t="inlineStr">
        <is>
          <t>T&amp;I</t>
        </is>
      </c>
      <c r="J134" s="74" t="inlineStr">
        <is>
          <t>kWh</t>
        </is>
      </c>
      <c r="K134" s="89" t="n">
        <v>0</v>
      </c>
      <c r="L134" s="74" t="inlineStr">
        <is>
          <t>Jacana</t>
        </is>
      </c>
      <c r="M134" s="90" t="inlineStr">
        <is>
          <t>Jacana Energy (Standing)</t>
        </is>
      </c>
      <c r="N134" s="90" t="n"/>
      <c r="O134" s="90" t="n"/>
      <c r="P134" s="74" t="n"/>
      <c r="Q134" s="91">
        <f t="array" ref="Q134:S134">IFERROR(ROUNDUP(_xlfn.XLOOKUP(A134,'Budget FY26-28'!A:A,'Budget FY26-28'!M:O)*(1+Summary!$C$2), -2), "")</f>
        <v/>
      </c>
      <c r="R134" s="91" t="n">
        <v>0</v>
      </c>
      <c r="S134" s="91" t="n">
        <v>0</v>
      </c>
      <c r="T134" s="74" t="inlineStr">
        <is>
          <t>Review required</t>
        </is>
      </c>
      <c r="U134" s="78" t="inlineStr">
        <is>
          <t>No consumption reported</t>
        </is>
      </c>
      <c r="V134" s="84" t="inlineStr">
        <is>
          <t>103559712_2500044629</t>
        </is>
      </c>
      <c r="W134" s="84" t="inlineStr">
        <is>
          <t>Electricity Small Market</t>
        </is>
      </c>
      <c r="X134" s="84" t="inlineStr">
        <is>
          <t>Electricity [kWh]</t>
        </is>
      </c>
      <c r="Y134" s="84" t="inlineStr">
        <is>
          <t>Jacana</t>
        </is>
      </c>
      <c r="Z134" s="84" t="inlineStr">
        <is>
          <t>Katherine</t>
        </is>
      </c>
      <c r="AA134" s="84" t="inlineStr">
        <is>
          <t>154</t>
        </is>
      </c>
      <c r="AB134" s="84" t="inlineStr">
        <is>
          <t>Active</t>
        </is>
      </c>
      <c r="AC134" s="84" t="inlineStr">
        <is>
          <t>Connection ID is the account number suffix</t>
        </is>
      </c>
      <c r="AD134" s="85" t="inlineStr"/>
      <c r="AE134" s="85" t="inlineStr"/>
    </row>
    <row r="135" customFormat="1" s="79">
      <c r="A135" s="73" t="n">
        <v>2500054287</v>
      </c>
      <c r="B135" s="74" t="inlineStr">
        <is>
          <t>Electricity</t>
        </is>
      </c>
      <c r="C135" s="74" t="inlineStr">
        <is>
          <t>Australia</t>
        </is>
      </c>
      <c r="D135" s="74" t="inlineStr">
        <is>
          <t>NT</t>
        </is>
      </c>
      <c r="E135" s="74" t="inlineStr">
        <is>
          <t>AU Large Electricity</t>
        </is>
      </c>
      <c r="F135" s="74" t="inlineStr">
        <is>
          <t>Roads - Asphalt Plant Tivendale</t>
        </is>
      </c>
      <c r="G135" s="74" t="inlineStr">
        <is>
          <t>37 Syrimi Road</t>
        </is>
      </c>
      <c r="H135" s="74" t="inlineStr">
        <is>
          <t>DOWNER EDI WORKS PTY LTD (ABN: 66 008 709 608)</t>
        </is>
      </c>
      <c r="I135" s="74" t="inlineStr">
        <is>
          <t>T&amp;I</t>
        </is>
      </c>
      <c r="J135" s="74" t="inlineStr">
        <is>
          <t>kWh</t>
        </is>
      </c>
      <c r="K135" s="89" t="n">
        <v>2347683.89</v>
      </c>
      <c r="L135" s="74" t="inlineStr">
        <is>
          <t>Jacana</t>
        </is>
      </c>
      <c r="M135" s="90" t="inlineStr">
        <is>
          <t>Jacana Energy</t>
        </is>
      </c>
      <c r="N135" s="90" t="n">
        <v>46204</v>
      </c>
      <c r="O135" s="90" t="n">
        <v>46568</v>
      </c>
      <c r="P135" s="74" t="inlineStr">
        <is>
          <t>12 months</t>
        </is>
      </c>
      <c r="Q135" s="91">
        <f t="array" ref="Q135:S135">IFERROR(ROUNDUP(_xlfn.XLOOKUP(A135,'Budget FY26-28'!A:A,'Budget FY26-28'!M:O)*(1+Summary!$C$2), -2), "")</f>
        <v/>
      </c>
      <c r="R135" s="91" t="n">
        <v>822300</v>
      </c>
      <c r="S135" s="91" t="n">
        <v>822300</v>
      </c>
      <c r="T135" s="74" t="inlineStr">
        <is>
          <t>Ready</t>
        </is>
      </c>
      <c r="U135" s="78" t="n"/>
      <c r="V135" s="84" t="inlineStr">
        <is>
          <t>103819910_2500054287</t>
        </is>
      </c>
      <c r="W135" s="84" t="inlineStr">
        <is>
          <t>Electricity Large Market</t>
        </is>
      </c>
      <c r="X135" s="84" t="inlineStr">
        <is>
          <t>Electricity [kWh]</t>
        </is>
      </c>
      <c r="Y135" s="84" t="inlineStr">
        <is>
          <t>Jacana</t>
        </is>
      </c>
      <c r="Z135" s="84" t="inlineStr">
        <is>
          <t>Asphalt Prod - Darwin (525)</t>
        </is>
      </c>
      <c r="AA135" s="84" t="inlineStr">
        <is>
          <t>525</t>
        </is>
      </c>
      <c r="AB135" s="84" t="inlineStr">
        <is>
          <t>Active</t>
        </is>
      </c>
      <c r="AC135" s="84" t="inlineStr">
        <is>
          <t>Connection ID is the account number suffix</t>
        </is>
      </c>
      <c r="AD135" s="85" t="inlineStr"/>
      <c r="AE135" s="85" t="inlineStr"/>
    </row>
    <row r="136" customFormat="1" s="72">
      <c r="A136" s="66" t="n">
        <v>3030075637</v>
      </c>
      <c r="B136" s="67" t="inlineStr">
        <is>
          <t>Electricity</t>
        </is>
      </c>
      <c r="C136" s="67" t="inlineStr">
        <is>
          <t>Australia</t>
        </is>
      </c>
      <c r="D136" s="67" t="inlineStr">
        <is>
          <t>QLD</t>
        </is>
      </c>
      <c r="E136" s="67" t="inlineStr">
        <is>
          <t>AU Large Electricity</t>
        </is>
      </c>
      <c r="F136" s="67" t="inlineStr">
        <is>
          <t>Office - Spotless Cairns</t>
        </is>
      </c>
      <c r="G136" s="67" t="inlineStr">
        <is>
          <t>89 Cook Street</t>
        </is>
      </c>
      <c r="H136" s="67" t="inlineStr">
        <is>
          <t>SPOTLESS FACILITY SERVICES PTY LTD (ABN: 83 072 293 880)</t>
        </is>
      </c>
      <c r="I136" s="67" t="inlineStr">
        <is>
          <t>SICS</t>
        </is>
      </c>
      <c r="J136" s="67" t="inlineStr">
        <is>
          <t>kWh</t>
        </is>
      </c>
      <c r="K136" s="86" t="n">
        <v>66273.91</v>
      </c>
      <c r="L136" s="67" t="inlineStr">
        <is>
          <t>CS Energy</t>
        </is>
      </c>
      <c r="M136" s="87" t="inlineStr">
        <is>
          <t>Engie</t>
        </is>
      </c>
      <c r="N136" s="87" t="n">
        <v>46204</v>
      </c>
      <c r="O136" s="87" t="n">
        <v>46934</v>
      </c>
      <c r="P136" s="67" t="inlineStr">
        <is>
          <t>24 months</t>
        </is>
      </c>
      <c r="Q136" s="88">
        <f t="array" ref="Q136:S136">IFERROR(ROUNDUP(_xlfn.XLOOKUP(A136,'Budget FY26-28'!A:A,'Budget FY26-28'!M:O)*(1+Summary!$C$2), -2), "")</f>
        <v/>
      </c>
      <c r="R136" s="88" t="n">
        <v>13300</v>
      </c>
      <c r="S136" s="88" t="n">
        <v>13400</v>
      </c>
      <c r="T136" s="67" t="inlineStr">
        <is>
          <t>Ready</t>
        </is>
      </c>
      <c r="U136" s="71" t="n"/>
      <c r="V136" s="84" t="inlineStr">
        <is>
          <t>900018202_3030075637</t>
        </is>
      </c>
      <c r="W136" s="84" t="inlineStr">
        <is>
          <t>Electricity Small Market</t>
        </is>
      </c>
      <c r="X136" s="84" t="inlineStr">
        <is>
          <t>Electricity [kWh]</t>
        </is>
      </c>
      <c r="Y136" s="84" t="inlineStr">
        <is>
          <t>EngieAU</t>
        </is>
      </c>
      <c r="Z136" s="84" t="inlineStr">
        <is>
          <t>Corporate - Offices (Cairns QLD)</t>
        </is>
      </c>
      <c r="AA136" s="84" t="inlineStr">
        <is>
          <t>L9.WAU.000812</t>
        </is>
      </c>
      <c r="AB136" s="84" t="inlineStr">
        <is>
          <t>Active</t>
        </is>
      </c>
      <c r="AC136" s="84" t="inlineStr">
        <is>
          <t>Connection ID is the account number suffix</t>
        </is>
      </c>
      <c r="AD136" s="85" t="inlineStr">
        <is>
          <t>900018202_3030075637_CERTS; LGCS_3030075637; 50002618005_3030075637; 1003076_3030075637; SPOT006_3030075637</t>
        </is>
      </c>
      <c r="AE136" s="85" t="inlineStr">
        <is>
          <t>900018202_3030075637_CERTS (live) · LGCS_3030075637 - historical</t>
        </is>
      </c>
    </row>
    <row r="137" customFormat="1" s="72">
      <c r="A137" s="66" t="n">
        <v>3051770385</v>
      </c>
      <c r="B137" s="67" t="inlineStr">
        <is>
          <t>Electricity</t>
        </is>
      </c>
      <c r="C137" s="67" t="inlineStr">
        <is>
          <t>Australia</t>
        </is>
      </c>
      <c r="D137" s="67" t="inlineStr">
        <is>
          <t>QLD</t>
        </is>
      </c>
      <c r="E137" s="67" t="inlineStr">
        <is>
          <t>AU Large Electricity</t>
        </is>
      </c>
      <c r="F137" s="67" t="inlineStr">
        <is>
          <t>RPQ SPRAY SEAL</t>
        </is>
      </c>
      <c r="G137" s="67" t="inlineStr">
        <is>
          <t>Lot 7 Commodity Ct</t>
        </is>
      </c>
      <c r="H137" s="67" t="inlineStr">
        <is>
          <t>RPQ PTY LTD (ABN: 53 010 760 826)</t>
        </is>
      </c>
      <c r="I137" s="67" t="inlineStr">
        <is>
          <t>T&amp;I</t>
        </is>
      </c>
      <c r="J137" s="67" t="inlineStr">
        <is>
          <t>kWh</t>
        </is>
      </c>
      <c r="K137" s="86" t="n">
        <v>208479.476</v>
      </c>
      <c r="L137" s="67" t="inlineStr">
        <is>
          <t>CS Energy</t>
        </is>
      </c>
      <c r="M137" s="87" t="inlineStr">
        <is>
          <t>Engie</t>
        </is>
      </c>
      <c r="N137" s="87" t="n">
        <v>46204</v>
      </c>
      <c r="O137" s="87" t="n">
        <v>46934</v>
      </c>
      <c r="P137" s="67" t="inlineStr">
        <is>
          <t>24 months</t>
        </is>
      </c>
      <c r="Q137" s="88">
        <f t="array" ref="Q137:S137">IFERROR(ROUNDUP(_xlfn.XLOOKUP(A137,'Budget FY26-28'!A:A,'Budget FY26-28'!M:O)*(1+Summary!$C$2), -2), "")</f>
        <v/>
      </c>
      <c r="R137" s="88" t="n">
        <v>52200</v>
      </c>
      <c r="S137" s="88" t="n">
        <v>52500</v>
      </c>
      <c r="T137" s="67" t="inlineStr">
        <is>
          <t>Ready</t>
        </is>
      </c>
      <c r="U137" s="71" t="n"/>
      <c r="V137" s="84" t="inlineStr">
        <is>
          <t>1003072_3051770385</t>
        </is>
      </c>
      <c r="W137" s="84" t="inlineStr">
        <is>
          <t>Electricity Small Market</t>
        </is>
      </c>
      <c r="X137" s="84" t="inlineStr">
        <is>
          <t>Electricity [kWh]</t>
        </is>
      </c>
      <c r="Y137" s="84" t="inlineStr">
        <is>
          <t>CSEnergy</t>
        </is>
      </c>
      <c r="Z137" s="84" t="inlineStr">
        <is>
          <t>RPQ Spray Seal</t>
        </is>
      </c>
      <c r="AA137" s="84" t="inlineStr">
        <is>
          <t>171230</t>
        </is>
      </c>
      <c r="AB137" s="84" t="inlineStr">
        <is>
          <t>Active</t>
        </is>
      </c>
      <c r="AC137" s="84" t="inlineStr">
        <is>
          <t>Connection ID is the account number suffix</t>
        </is>
      </c>
      <c r="AD137" s="85" t="inlineStr">
        <is>
          <t>LGCS_3051770385; 50002618017_3051770385; 24139882_3051770385</t>
        </is>
      </c>
      <c r="AE137" s="85" t="inlineStr">
        <is>
          <t>1003072_3051770385_CERTS (TEMPORARY - remake against the EngieAU account when it appears; not created yet) · LGCS_3051770385 - historical · LGCS_3120014382 (at this location, different ID) - historical · LGCS_3120136120 (at this location, different ID) - historical</t>
        </is>
      </c>
    </row>
    <row r="138" customFormat="1" s="72">
      <c r="A138" s="66" t="n">
        <v>3116382269</v>
      </c>
      <c r="B138" s="67" t="inlineStr">
        <is>
          <t>Electricity</t>
        </is>
      </c>
      <c r="C138" s="67" t="inlineStr">
        <is>
          <t>Australia</t>
        </is>
      </c>
      <c r="D138" s="67" t="inlineStr">
        <is>
          <t>QLD</t>
        </is>
      </c>
      <c r="E138" s="67" t="inlineStr">
        <is>
          <t>AU Large Electricity</t>
        </is>
      </c>
      <c r="F138" s="67" t="inlineStr">
        <is>
          <t>Southbank Tafe PPP</t>
        </is>
      </c>
      <c r="G138" s="67" t="inlineStr">
        <is>
          <t>Lot 21, Southbank Tafe, Colchester St</t>
        </is>
      </c>
      <c r="H138" s="67" t="inlineStr">
        <is>
          <t>SPOTLESS FACILITY SERVICES PTY LTD (ABN: 83 072 293 880)</t>
        </is>
      </c>
      <c r="I138" s="67" t="inlineStr">
        <is>
          <t>SICS</t>
        </is>
      </c>
      <c r="J138" s="67" t="inlineStr">
        <is>
          <t>kWh</t>
        </is>
      </c>
      <c r="K138" s="86" t="n">
        <v>8005232.9</v>
      </c>
      <c r="L138" s="67" t="inlineStr">
        <is>
          <t>CS Energy</t>
        </is>
      </c>
      <c r="M138" s="87" t="inlineStr">
        <is>
          <t>Engie</t>
        </is>
      </c>
      <c r="N138" s="87" t="n">
        <v>46204</v>
      </c>
      <c r="O138" s="87" t="n">
        <v>46934</v>
      </c>
      <c r="P138" s="67" t="inlineStr">
        <is>
          <t>24 months</t>
        </is>
      </c>
      <c r="Q138" s="88">
        <f t="array" ref="Q138:S138">IFERROR(ROUNDUP(_xlfn.XLOOKUP(A138,'Budget FY26-28'!A:A,'Budget FY26-28'!M:O)*(1+Summary!$C$2), -2), "")</f>
        <v/>
      </c>
      <c r="R138" s="88" t="n">
        <v>1115100</v>
      </c>
      <c r="S138" s="88" t="n">
        <v>1124600</v>
      </c>
      <c r="T138" s="67" t="inlineStr">
        <is>
          <t>Ready</t>
        </is>
      </c>
      <c r="U138" s="71" t="n"/>
      <c r="V138" s="84" t="inlineStr">
        <is>
          <t>1003074_3116382269</t>
        </is>
      </c>
      <c r="W138" s="84" t="inlineStr">
        <is>
          <t>Electricity Small Market</t>
        </is>
      </c>
      <c r="X138" s="84" t="inlineStr">
        <is>
          <t>Electricity [kWh]</t>
        </is>
      </c>
      <c r="Y138" s="84" t="inlineStr">
        <is>
          <t>CSEnergy</t>
        </is>
      </c>
      <c r="Z138" s="84" t="inlineStr">
        <is>
          <t>PPP - Southbank TAFE (QLD)</t>
        </is>
      </c>
      <c r="AA138" s="84" t="inlineStr">
        <is>
          <t>9108</t>
        </is>
      </c>
      <c r="AB138" s="84" t="inlineStr">
        <is>
          <t>Active</t>
        </is>
      </c>
      <c r="AC138" s="84" t="inlineStr">
        <is>
          <t>Connection ID is the account number suffix</t>
        </is>
      </c>
      <c r="AD138" s="85" t="inlineStr">
        <is>
          <t>50002618008_3116382269; SPOT001_3116382269</t>
        </is>
      </c>
      <c r="AE138" s="85" t="inlineStr">
        <is>
          <t>1003074_3116382269_CERTS (TEMPORARY - remake against the EngieAU account when it appears; not created yet)</t>
        </is>
      </c>
    </row>
    <row r="139" customFormat="1" s="72">
      <c r="A139" s="66" t="n">
        <v>3116600011</v>
      </c>
      <c r="B139" s="67" t="inlineStr">
        <is>
          <t>Electricity</t>
        </is>
      </c>
      <c r="C139" s="67" t="inlineStr">
        <is>
          <t>Australia</t>
        </is>
      </c>
      <c r="D139" s="67" t="inlineStr">
        <is>
          <t>QLD</t>
        </is>
      </c>
      <c r="E139" s="67" t="inlineStr">
        <is>
          <t>AU Large Electricity</t>
        </is>
      </c>
      <c r="F139" s="67" t="inlineStr">
        <is>
          <t>Engineering - Archerfield</t>
        </is>
      </c>
      <c r="G139" s="67" t="inlineStr">
        <is>
          <t>U 4 Lot 1 145 Archerfield Rd</t>
        </is>
      </c>
      <c r="H139" s="67" t="inlineStr">
        <is>
          <t>DOWNER EDI SERVICES PTY LTD (ABN: 71 137 732 042)</t>
        </is>
      </c>
      <c r="I139" s="67" t="inlineStr">
        <is>
          <t>E&amp;U</t>
        </is>
      </c>
      <c r="J139" s="67" t="inlineStr">
        <is>
          <t>kWh</t>
        </is>
      </c>
      <c r="K139" s="86" t="n">
        <v>49553.7</v>
      </c>
      <c r="L139" s="67" t="inlineStr">
        <is>
          <t>CS Energy</t>
        </is>
      </c>
      <c r="M139" s="87" t="inlineStr">
        <is>
          <t>Engie</t>
        </is>
      </c>
      <c r="N139" s="87" t="n">
        <v>46204</v>
      </c>
      <c r="O139" s="87" t="n">
        <v>46934</v>
      </c>
      <c r="P139" s="67" t="inlineStr">
        <is>
          <t>24 months</t>
        </is>
      </c>
      <c r="Q139" s="88">
        <f t="array" ref="Q139:S139">IFERROR(ROUNDUP(_xlfn.XLOOKUP(A139,'Budget FY26-28'!A:A,'Budget FY26-28'!M:O)*(1+Summary!$C$2), -2), "")</f>
        <v/>
      </c>
      <c r="R139" s="88" t="n">
        <v>9300</v>
      </c>
      <c r="S139" s="88" t="n">
        <v>9300</v>
      </c>
      <c r="T139" s="67" t="inlineStr">
        <is>
          <t>Ready</t>
        </is>
      </c>
      <c r="U139" s="71" t="n"/>
      <c r="V139" s="84" t="inlineStr">
        <is>
          <t>900018192_3116600011</t>
        </is>
      </c>
      <c r="W139" s="84" t="inlineStr">
        <is>
          <t>Electricity Small Market</t>
        </is>
      </c>
      <c r="X139" s="84" t="inlineStr">
        <is>
          <t>Electricity [kWh]</t>
        </is>
      </c>
      <c r="Y139" s="84" t="inlineStr">
        <is>
          <t>EngieAU</t>
        </is>
      </c>
      <c r="Z139" s="84" t="inlineStr">
        <is>
          <t>Richlands</t>
        </is>
      </c>
      <c r="AA139" s="84" t="inlineStr">
        <is>
          <t>2023</t>
        </is>
      </c>
      <c r="AB139" s="84" t="inlineStr">
        <is>
          <t>Active</t>
        </is>
      </c>
      <c r="AC139" s="84" t="inlineStr">
        <is>
          <t>Connection ID is the account number suffix</t>
        </is>
      </c>
      <c r="AD139" s="85" t="inlineStr">
        <is>
          <t>900018192_3116600011_CERTS; LGCS_3116600011; 50002618011_3116600011; 1003086_3116600011; 5000021_3116600011; DOWN001_3116600011</t>
        </is>
      </c>
      <c r="AE139" s="85" t="inlineStr">
        <is>
          <t>900018192_3116600011_CERTS (live) · LGCS_3116600011 - historical</t>
        </is>
      </c>
    </row>
    <row r="140" customFormat="1" s="72">
      <c r="A140" s="66" t="n">
        <v>3117134943</v>
      </c>
      <c r="B140" s="67" t="inlineStr">
        <is>
          <t>Electricity</t>
        </is>
      </c>
      <c r="C140" s="67" t="inlineStr">
        <is>
          <t>Australia</t>
        </is>
      </c>
      <c r="D140" s="67" t="inlineStr">
        <is>
          <t>QLD</t>
        </is>
      </c>
      <c r="E140" s="67" t="inlineStr">
        <is>
          <t>AU Large Electricity</t>
        </is>
      </c>
      <c r="F140" s="67" t="inlineStr">
        <is>
          <t>Corporate Office - Brisbane</t>
        </is>
      </c>
      <c r="G140" s="67" t="inlineStr">
        <is>
          <t>Lot 5, 49 Doggett Street</t>
        </is>
      </c>
      <c r="H140" s="67" t="inlineStr">
        <is>
          <t>DOWNER EDI SERVICES PTY LTD (ABN: 71 137 732 042)</t>
        </is>
      </c>
      <c r="I140" s="67" t="inlineStr">
        <is>
          <t>Corporate</t>
        </is>
      </c>
      <c r="J140" s="67" t="inlineStr">
        <is>
          <t>kWh</t>
        </is>
      </c>
      <c r="K140" s="86" t="n">
        <v>189990.46</v>
      </c>
      <c r="L140" s="67" t="inlineStr">
        <is>
          <t>CS Energy</t>
        </is>
      </c>
      <c r="M140" s="87" t="inlineStr">
        <is>
          <t>Engie</t>
        </is>
      </c>
      <c r="N140" s="87" t="n">
        <v>46204</v>
      </c>
      <c r="O140" s="87" t="n">
        <v>46934</v>
      </c>
      <c r="P140" s="67" t="inlineStr">
        <is>
          <t>24 months</t>
        </is>
      </c>
      <c r="Q140" s="88">
        <f t="array" ref="Q140:S140">IFERROR(ROUNDUP(_xlfn.XLOOKUP(A140,'Budget FY26-28'!A:A,'Budget FY26-28'!M:O)*(1+Summary!$C$2), -2), "")</f>
        <v/>
      </c>
      <c r="R140" s="88" t="n">
        <v>34700</v>
      </c>
      <c r="S140" s="88" t="n">
        <v>35000</v>
      </c>
      <c r="T140" s="67" t="inlineStr">
        <is>
          <t>Ready</t>
        </is>
      </c>
      <c r="U140" s="71" t="n"/>
      <c r="V140" s="84" t="inlineStr">
        <is>
          <t>1003084_3117134943</t>
        </is>
      </c>
      <c r="W140" s="84" t="inlineStr">
        <is>
          <t>Electricity Small Market</t>
        </is>
      </c>
      <c r="X140" s="84" t="inlineStr">
        <is>
          <t>Electricity [kWh]</t>
        </is>
      </c>
      <c r="Y140" s="84" t="inlineStr">
        <is>
          <t>CSEnergy</t>
        </is>
      </c>
      <c r="Z140" s="84" t="inlineStr">
        <is>
          <t>Teneriffe - Brisbane (QLD)</t>
        </is>
      </c>
      <c r="AA140" s="84" t="inlineStr">
        <is>
          <t>1020</t>
        </is>
      </c>
      <c r="AB140" s="84" t="inlineStr">
        <is>
          <t>Active</t>
        </is>
      </c>
      <c r="AC140" s="84" t="inlineStr">
        <is>
          <t>Connection ID is the account number suffix</t>
        </is>
      </c>
      <c r="AD140" s="85" t="inlineStr">
        <is>
          <t>LGCS_3117134943; 50002618003_3117134943; 5000021_3117134943; DOWN001_3117134943</t>
        </is>
      </c>
      <c r="AE140" s="85" t="inlineStr">
        <is>
          <t>1003084_3117134943_CERTS (TEMPORARY - remake against the EngieAU account when it appears; not created yet) · LGCS_3117134943 - historical</t>
        </is>
      </c>
    </row>
    <row r="141" customFormat="1" s="72">
      <c r="A141" s="66" t="n">
        <v>3120014382</v>
      </c>
      <c r="B141" s="67" t="inlineStr">
        <is>
          <t>Electricity</t>
        </is>
      </c>
      <c r="C141" s="67" t="inlineStr">
        <is>
          <t>Australia</t>
        </is>
      </c>
      <c r="D141" s="67" t="inlineStr">
        <is>
          <t>QLD</t>
        </is>
      </c>
      <c r="E141" s="67" t="inlineStr">
        <is>
          <t>AU Large Electricity</t>
        </is>
      </c>
      <c r="F141" s="67" t="inlineStr">
        <is>
          <t>RPQ SPRAYSEAL</t>
        </is>
      </c>
      <c r="G141" s="67" t="inlineStr">
        <is>
          <t>66 Hugh Street</t>
        </is>
      </c>
      <c r="H141" s="67" t="inlineStr">
        <is>
          <t>RPQ PTY LTD (ABN: 53 010 760 826)</t>
        </is>
      </c>
      <c r="I141" s="67" t="inlineStr">
        <is>
          <t>T&amp;I</t>
        </is>
      </c>
      <c r="J141" s="67" t="inlineStr">
        <is>
          <t>kWh</t>
        </is>
      </c>
      <c r="K141" s="86" t="n">
        <v>344623.504</v>
      </c>
      <c r="L141" s="67" t="inlineStr">
        <is>
          <t>CS Energy</t>
        </is>
      </c>
      <c r="M141" s="87" t="inlineStr">
        <is>
          <t>Engie</t>
        </is>
      </c>
      <c r="N141" s="87" t="n">
        <v>46204</v>
      </c>
      <c r="O141" s="87" t="n">
        <v>46934</v>
      </c>
      <c r="P141" s="67" t="inlineStr">
        <is>
          <t>24 months</t>
        </is>
      </c>
      <c r="Q141" s="88">
        <f t="array" ref="Q141:S141">IFERROR(ROUNDUP(_xlfn.XLOOKUP(A141,'Budget FY26-28'!A:A,'Budget FY26-28'!M:O)*(1+Summary!$C$2), -2), "")</f>
        <v/>
      </c>
      <c r="R141" s="88" t="n">
        <v>58200</v>
      </c>
      <c r="S141" s="88" t="n">
        <v>58600</v>
      </c>
      <c r="T141" s="67" t="inlineStr">
        <is>
          <t>Ready</t>
        </is>
      </c>
      <c r="U141" s="71" t="n"/>
      <c r="V141" s="84" t="inlineStr">
        <is>
          <t>1003070_3120014382</t>
        </is>
      </c>
      <c r="W141" s="84" t="inlineStr">
        <is>
          <t>Electricity Small Market</t>
        </is>
      </c>
      <c r="X141" s="84" t="inlineStr">
        <is>
          <t>Electricity [kWh]</t>
        </is>
      </c>
      <c r="Y141" s="84" t="inlineStr">
        <is>
          <t>CSEnergy</t>
        </is>
      </c>
      <c r="Z141" s="84" t="inlineStr">
        <is>
          <t>RPQ Spray Seal</t>
        </is>
      </c>
      <c r="AA141" s="84" t="inlineStr">
        <is>
          <t>171230</t>
        </is>
      </c>
      <c r="AB141" s="84" t="inlineStr">
        <is>
          <t>Active</t>
        </is>
      </c>
      <c r="AC141" s="84" t="inlineStr">
        <is>
          <t>Connection ID is the account number suffix</t>
        </is>
      </c>
      <c r="AD141" s="85" t="inlineStr">
        <is>
          <t>LGCS_3120014382; 50002618021_3120014382; 50000285137_3120014382</t>
        </is>
      </c>
      <c r="AE141" s="85" t="inlineStr">
        <is>
          <t>1003070_3120014382_CERTS (TEMPORARY - remake against the EngieAU account when it appears; not created yet) · LGCS_3051770385 (at this location, different ID) - historical · LGCS_3120014382 - historical · LGCS_3120136120 (at this location, different ID) - historical</t>
        </is>
      </c>
    </row>
    <row r="142" customFormat="1" s="72">
      <c r="A142" s="66" t="n">
        <v>3120070486</v>
      </c>
      <c r="B142" s="67" t="inlineStr">
        <is>
          <t>Electricity</t>
        </is>
      </c>
      <c r="C142" s="67" t="inlineStr">
        <is>
          <t>Australia</t>
        </is>
      </c>
      <c r="D142" s="67" t="inlineStr">
        <is>
          <t>QLD</t>
        </is>
      </c>
      <c r="E142" s="67" t="inlineStr">
        <is>
          <t>AU Large Electricity</t>
        </is>
      </c>
      <c r="F142" s="67" t="inlineStr">
        <is>
          <t>RPQ SPRAYSEAL</t>
        </is>
      </c>
      <c r="G142" s="67" t="inlineStr">
        <is>
          <t>Asphalt Plant 206 Swanbank Road</t>
        </is>
      </c>
      <c r="H142" s="67" t="inlineStr">
        <is>
          <t>RPQ PTY LTD (ABN: 53 010 760 826)</t>
        </is>
      </c>
      <c r="I142" s="67" t="inlineStr">
        <is>
          <t>T&amp;I</t>
        </is>
      </c>
      <c r="J142" s="67" t="inlineStr">
        <is>
          <t>kWh</t>
        </is>
      </c>
      <c r="K142" s="86" t="n">
        <v>260263.44</v>
      </c>
      <c r="L142" s="67" t="inlineStr">
        <is>
          <t>CS Energy</t>
        </is>
      </c>
      <c r="M142" s="87" t="inlineStr">
        <is>
          <t>Engie</t>
        </is>
      </c>
      <c r="N142" s="87" t="n">
        <v>46204</v>
      </c>
      <c r="O142" s="87" t="n">
        <v>46934</v>
      </c>
      <c r="P142" s="67" t="inlineStr">
        <is>
          <t>24 months</t>
        </is>
      </c>
      <c r="Q142" s="88">
        <f t="array" ref="Q142:S142">IFERROR(ROUNDUP(_xlfn.XLOOKUP(A142,'Budget FY26-28'!A:A,'Budget FY26-28'!M:O)*(1+Summary!$C$2), -2), "")</f>
        <v/>
      </c>
      <c r="R142" s="88" t="n">
        <v>43100</v>
      </c>
      <c r="S142" s="88" t="n">
        <v>43400</v>
      </c>
      <c r="T142" s="67" t="inlineStr">
        <is>
          <t>Ready</t>
        </is>
      </c>
      <c r="U142" s="71" t="n"/>
      <c r="V142" s="84" t="inlineStr">
        <is>
          <t>1003071_3120070486</t>
        </is>
      </c>
      <c r="W142" s="84" t="inlineStr">
        <is>
          <t>Electricity Small Market</t>
        </is>
      </c>
      <c r="X142" s="84" t="inlineStr">
        <is>
          <t>Electricity [kWh]</t>
        </is>
      </c>
      <c r="Y142" s="84" t="inlineStr">
        <is>
          <t>CSEnergy</t>
        </is>
      </c>
      <c r="Z142" s="84" t="inlineStr">
        <is>
          <t>RPQ Swanbank</t>
        </is>
      </c>
      <c r="AA142" s="84" t="inlineStr">
        <is>
          <t>171505</t>
        </is>
      </c>
      <c r="AB142" s="84" t="inlineStr">
        <is>
          <t>Active</t>
        </is>
      </c>
      <c r="AC142" s="84" t="inlineStr">
        <is>
          <t>Connection ID is the account number suffix</t>
        </is>
      </c>
      <c r="AD142" s="85" t="inlineStr">
        <is>
          <t>LGCS_3120070486; 25003208510_3120070486; 50002835202_3120070486</t>
        </is>
      </c>
      <c r="AE142" s="85" t="inlineStr">
        <is>
          <t>1003071_3120070486_CERTS (TEMPORARY - remake against the EngieAU account when it appears; not created yet) · LGCS_3120070486 - historical</t>
        </is>
      </c>
    </row>
    <row r="143" customFormat="1" s="72">
      <c r="A143" s="66" t="n">
        <v>3120103988</v>
      </c>
      <c r="B143" s="67" t="inlineStr">
        <is>
          <t>Electricity</t>
        </is>
      </c>
      <c r="C143" s="67" t="inlineStr">
        <is>
          <t>Australia</t>
        </is>
      </c>
      <c r="D143" s="67" t="inlineStr">
        <is>
          <t>QLD</t>
        </is>
      </c>
      <c r="E143" s="67" t="inlineStr">
        <is>
          <t>AU Large Electricity</t>
        </is>
      </c>
      <c r="F143" s="67" t="inlineStr">
        <is>
          <t>Roads - Bli Bli</t>
        </is>
      </c>
      <c r="G143" s="67" t="inlineStr">
        <is>
          <t>66 Cooney Road</t>
        </is>
      </c>
      <c r="H143" s="67" t="inlineStr">
        <is>
          <t>DOWNER EDI SERVICES PTY LTD (ABN: 71 137 732 042)</t>
        </is>
      </c>
      <c r="I143" s="67" t="inlineStr">
        <is>
          <t>T&amp;I</t>
        </is>
      </c>
      <c r="J143" s="67" t="inlineStr">
        <is>
          <t>kWh</t>
        </is>
      </c>
      <c r="K143" s="86" t="n">
        <v>747633.8</v>
      </c>
      <c r="L143" s="67" t="inlineStr">
        <is>
          <t>CS Energy</t>
        </is>
      </c>
      <c r="M143" s="87" t="inlineStr">
        <is>
          <t>Engie</t>
        </is>
      </c>
      <c r="N143" s="87" t="n">
        <v>46204</v>
      </c>
      <c r="O143" s="87" t="n">
        <v>46934</v>
      </c>
      <c r="P143" s="67" t="inlineStr">
        <is>
          <t>24 months</t>
        </is>
      </c>
      <c r="Q143" s="88">
        <f t="array" ref="Q143:S143">IFERROR(ROUNDUP(_xlfn.XLOOKUP(A143,'Budget FY26-28'!A:A,'Budget FY26-28'!M:O)*(1+Summary!$C$2), -2), "")</f>
        <v/>
      </c>
      <c r="R143" s="88" t="n">
        <v>161700</v>
      </c>
      <c r="S143" s="88" t="n">
        <v>162700</v>
      </c>
      <c r="T143" s="67" t="inlineStr">
        <is>
          <t>Ready</t>
        </is>
      </c>
      <c r="U143" s="71" t="n"/>
      <c r="V143" s="84" t="inlineStr">
        <is>
          <t>1003079_3120103988</t>
        </is>
      </c>
      <c r="W143" s="84" t="inlineStr">
        <is>
          <t>Electricity Small Market</t>
        </is>
      </c>
      <c r="X143" s="84" t="inlineStr">
        <is>
          <t>Electricity [kWh]</t>
        </is>
      </c>
      <c r="Y143" s="84" t="inlineStr">
        <is>
          <t>CSEnergy</t>
        </is>
      </c>
      <c r="Z143" s="84" t="inlineStr">
        <is>
          <t>Asphalt Prod - Bli Bli (408)</t>
        </is>
      </c>
      <c r="AA143" s="84" t="inlineStr">
        <is>
          <t>408</t>
        </is>
      </c>
      <c r="AB143" s="84" t="inlineStr">
        <is>
          <t>Active</t>
        </is>
      </c>
      <c r="AC143" s="84" t="inlineStr">
        <is>
          <t>Connection ID is the account number suffix</t>
        </is>
      </c>
      <c r="AD143" s="85" t="inlineStr">
        <is>
          <t>LGCS_3120103988; 50002618014_3120103988; 5000021_3120103988; DOWN001_3120103988</t>
        </is>
      </c>
      <c r="AE143" s="85" t="inlineStr">
        <is>
          <t>1003079_3120103988_CERTS (TEMPORARY - remake against the EngieAU account when it appears; not created yet) · LGCS_3120103988 - historical</t>
        </is>
      </c>
    </row>
    <row r="144" customFormat="1" s="72">
      <c r="A144" s="66" t="n">
        <v>3120129028</v>
      </c>
      <c r="B144" s="67" t="inlineStr">
        <is>
          <t>Electricity</t>
        </is>
      </c>
      <c r="C144" s="67" t="inlineStr">
        <is>
          <t>Australia</t>
        </is>
      </c>
      <c r="D144" s="67" t="inlineStr">
        <is>
          <t>QLD</t>
        </is>
      </c>
      <c r="E144" s="67" t="inlineStr">
        <is>
          <t>AU Large Electricity</t>
        </is>
      </c>
      <c r="F144" s="67" t="inlineStr">
        <is>
          <t>Roads - Gympie</t>
        </is>
      </c>
      <c r="G144" s="67" t="inlineStr">
        <is>
          <t>Rafter Road</t>
        </is>
      </c>
      <c r="H144" s="67" t="inlineStr">
        <is>
          <t>DOWNER EDI SERVICES PTY LTD (ABN: 71 137 732 042)</t>
        </is>
      </c>
      <c r="I144" s="67" t="inlineStr">
        <is>
          <t>T&amp;I</t>
        </is>
      </c>
      <c r="J144" s="67" t="inlineStr">
        <is>
          <t>kWh</t>
        </is>
      </c>
      <c r="K144" s="86" t="n">
        <v>207140.699999999</v>
      </c>
      <c r="L144" s="67" t="inlineStr">
        <is>
          <t>CS Energy</t>
        </is>
      </c>
      <c r="M144" s="87" t="inlineStr">
        <is>
          <t>Engie</t>
        </is>
      </c>
      <c r="N144" s="87" t="n">
        <v>46204</v>
      </c>
      <c r="O144" s="87" t="n">
        <v>46934</v>
      </c>
      <c r="P144" s="67" t="inlineStr">
        <is>
          <t>24 months</t>
        </is>
      </c>
      <c r="Q144" s="88">
        <f t="array" ref="Q144:S144">IFERROR(ROUNDUP(_xlfn.XLOOKUP(A144,'Budget FY26-28'!A:A,'Budget FY26-28'!M:O)*(1+Summary!$C$2), -2), "")</f>
        <v/>
      </c>
      <c r="R144" s="88" t="n">
        <v>34600</v>
      </c>
      <c r="S144" s="88" t="n">
        <v>34800</v>
      </c>
      <c r="T144" s="67" t="inlineStr">
        <is>
          <t>Ready</t>
        </is>
      </c>
      <c r="U144" s="71" t="n"/>
      <c r="V144" s="84" t="inlineStr">
        <is>
          <t>1003085_3120129028</t>
        </is>
      </c>
      <c r="W144" s="84" t="inlineStr">
        <is>
          <t>Electricity Small Market</t>
        </is>
      </c>
      <c r="X144" s="84" t="inlineStr">
        <is>
          <t>Electricity [kWh]</t>
        </is>
      </c>
      <c r="Y144" s="84" t="inlineStr">
        <is>
          <t>CSEnergy</t>
        </is>
      </c>
      <c r="Z144" s="84" t="inlineStr">
        <is>
          <t>Gympie</t>
        </is>
      </c>
      <c r="AA144" s="84" t="inlineStr">
        <is>
          <t>142</t>
        </is>
      </c>
      <c r="AB144" s="84" t="inlineStr">
        <is>
          <t>Active</t>
        </is>
      </c>
      <c r="AC144" s="84" t="inlineStr">
        <is>
          <t>Connection ID is the account number suffix</t>
        </is>
      </c>
      <c r="AD144" s="85" t="inlineStr">
        <is>
          <t>LGCS_3120129028; 50002618009_3120129028; 5000021_3120129028; DOWN001_3120129028</t>
        </is>
      </c>
      <c r="AE144" s="85" t="inlineStr">
        <is>
          <t>1003085_3120129028_CERTS (TEMPORARY - remake against the EngieAU account when it appears; not created yet) · LGCS_3120129028 - historical</t>
        </is>
      </c>
    </row>
    <row r="145" customFormat="1" s="72">
      <c r="A145" s="66" t="n">
        <v>3120143385</v>
      </c>
      <c r="B145" s="67" t="inlineStr">
        <is>
          <t>Electricity</t>
        </is>
      </c>
      <c r="C145" s="67" t="inlineStr">
        <is>
          <t>Australia</t>
        </is>
      </c>
      <c r="D145" s="67" t="inlineStr">
        <is>
          <t>QLD</t>
        </is>
      </c>
      <c r="E145" s="67" t="inlineStr">
        <is>
          <t>AU Large Electricity</t>
        </is>
      </c>
      <c r="F145" s="67" t="inlineStr">
        <is>
          <t>Spotless -Sunsh Coast Hosp Car Park</t>
        </is>
      </c>
      <c r="G145" s="67" t="inlineStr">
        <is>
          <t>Lot 5, Car Park 2, Gate 4, 5 Kawana Way</t>
        </is>
      </c>
      <c r="H145" s="67" t="inlineStr">
        <is>
          <t>SPOTLESS FACILITY SERVICES PTY LTD (ABN: 83 072 293 880)</t>
        </is>
      </c>
      <c r="I145" s="67" t="inlineStr">
        <is>
          <t>SICS</t>
        </is>
      </c>
      <c r="J145" s="67" t="inlineStr">
        <is>
          <t>kWh</t>
        </is>
      </c>
      <c r="K145" s="86" t="n">
        <v>225934.4146</v>
      </c>
      <c r="L145" s="67" t="inlineStr">
        <is>
          <t>CS Energy</t>
        </is>
      </c>
      <c r="M145" s="87" t="inlineStr">
        <is>
          <t>Engie</t>
        </is>
      </c>
      <c r="N145" s="87" t="n">
        <v>46204</v>
      </c>
      <c r="O145" s="87" t="n">
        <v>46934</v>
      </c>
      <c r="P145" s="67" t="inlineStr">
        <is>
          <t>24 months</t>
        </is>
      </c>
      <c r="Q145" s="88">
        <f t="array" ref="Q145:S145">IFERROR(ROUNDUP(_xlfn.XLOOKUP(A145,'Budget FY26-28'!A:A,'Budget FY26-28'!M:O)*(1+Summary!$C$2), -2), "")</f>
        <v/>
      </c>
      <c r="R145" s="88" t="n">
        <v>34600</v>
      </c>
      <c r="S145" s="88" t="n">
        <v>34900</v>
      </c>
      <c r="T145" s="67" t="inlineStr">
        <is>
          <t>Ready</t>
        </is>
      </c>
      <c r="U145" s="71" t="n"/>
      <c r="V145" s="84" t="inlineStr">
        <is>
          <t>1003075_3120143385</t>
        </is>
      </c>
      <c r="W145" s="84" t="inlineStr">
        <is>
          <t>Electricity Small Market</t>
        </is>
      </c>
      <c r="X145" s="84" t="inlineStr">
        <is>
          <t>Electricity [kWh]</t>
        </is>
      </c>
      <c r="Y145" s="84" t="inlineStr">
        <is>
          <t>CSEnergy</t>
        </is>
      </c>
      <c r="Z145" s="84" t="inlineStr">
        <is>
          <t>PPP - Sunshine Coast University Hospital</t>
        </is>
      </c>
      <c r="AA145" s="84" t="inlineStr">
        <is>
          <t>9078</t>
        </is>
      </c>
      <c r="AB145" s="84" t="inlineStr">
        <is>
          <t>Active</t>
        </is>
      </c>
      <c r="AC145" s="84" t="inlineStr">
        <is>
          <t>Connection ID is the account number suffix</t>
        </is>
      </c>
      <c r="AD145" s="85" t="inlineStr">
        <is>
          <t>SPOT004_3120143385; 50002618012_3120143385</t>
        </is>
      </c>
      <c r="AE145" s="85" t="inlineStr">
        <is>
          <t>1003075_3120143385_CERTS (TEMPORARY - remake against the EngieAU account when it appears; not created yet)</t>
        </is>
      </c>
    </row>
    <row r="146" customFormat="1" s="72">
      <c r="A146" s="66" t="n">
        <v>3120725958</v>
      </c>
      <c r="B146" s="67" t="inlineStr">
        <is>
          <t>Electricity</t>
        </is>
      </c>
      <c r="C146" s="67" t="inlineStr">
        <is>
          <t>Australia</t>
        </is>
      </c>
      <c r="D146" s="67" t="inlineStr">
        <is>
          <t>QLD</t>
        </is>
      </c>
      <c r="E146" s="67" t="inlineStr">
        <is>
          <t>AU Large Electricity</t>
        </is>
      </c>
      <c r="F146" s="67" t="inlineStr">
        <is>
          <t>New Brendale Asphalt plant</t>
        </is>
      </c>
      <c r="G146" s="67" t="inlineStr">
        <is>
          <t>Downer Edi Factory 1/Leitchs Road</t>
        </is>
      </c>
      <c r="H146" s="67" t="inlineStr">
        <is>
          <t>DOWNER EDI SERVICES PTY LTD (ABN: 71 137 732 042)</t>
        </is>
      </c>
      <c r="I146" s="67" t="inlineStr">
        <is>
          <t>T&amp;I</t>
        </is>
      </c>
      <c r="J146" s="67" t="inlineStr">
        <is>
          <t>kWh</t>
        </is>
      </c>
      <c r="K146" s="86" t="n">
        <v>1047801.85</v>
      </c>
      <c r="L146" s="67" t="inlineStr">
        <is>
          <t>CS Energy</t>
        </is>
      </c>
      <c r="M146" s="87" t="inlineStr">
        <is>
          <t>Engie</t>
        </is>
      </c>
      <c r="N146" s="87" t="n">
        <v>46204</v>
      </c>
      <c r="O146" s="87" t="n">
        <v>46934</v>
      </c>
      <c r="P146" s="67" t="inlineStr">
        <is>
          <t>24 months</t>
        </is>
      </c>
      <c r="Q146" s="88">
        <f t="array" ref="Q146:S146">IFERROR(ROUNDUP(_xlfn.XLOOKUP(A146,'Budget FY26-28'!A:A,'Budget FY26-28'!M:O)*(1+Summary!$C$2), -2), "")</f>
        <v/>
      </c>
      <c r="R146" s="88" t="n">
        <v>197400</v>
      </c>
      <c r="S146" s="88" t="n">
        <v>198700</v>
      </c>
      <c r="T146" s="67" t="inlineStr">
        <is>
          <t>Ready</t>
        </is>
      </c>
      <c r="U146" s="71" t="n"/>
      <c r="V146" s="84" t="inlineStr">
        <is>
          <t>900018199_3120725958</t>
        </is>
      </c>
      <c r="W146" s="84" t="inlineStr">
        <is>
          <t>Electricity Small Market</t>
        </is>
      </c>
      <c r="X146" s="84" t="inlineStr">
        <is>
          <t>Electricity [kWh]</t>
        </is>
      </c>
      <c r="Y146" s="84" t="inlineStr">
        <is>
          <t>EngieAU</t>
        </is>
      </c>
      <c r="Z146" s="84" t="inlineStr">
        <is>
          <t>Asphalt Prod - Brendale (423)</t>
        </is>
      </c>
      <c r="AA146" s="84" t="inlineStr">
        <is>
          <t>423</t>
        </is>
      </c>
      <c r="AB146" s="84" t="inlineStr">
        <is>
          <t>Active</t>
        </is>
      </c>
      <c r="AC146" s="84" t="inlineStr">
        <is>
          <t>Connection ID is the account number suffix</t>
        </is>
      </c>
      <c r="AD146" s="85" t="inlineStr">
        <is>
          <t>900018199_3120725958_CERTS; LGCS_3120725958; 50002700679_3120725958; 1003078_3120725958; 5000021_3120725958</t>
        </is>
      </c>
      <c r="AE146" s="85" t="inlineStr">
        <is>
          <t>900018199_3120725958_CERTS (live) · LGCS_3120725958 - historical</t>
        </is>
      </c>
    </row>
    <row r="147" customFormat="1" s="72">
      <c r="A147" s="66" t="inlineStr">
        <is>
          <t>QB05383854</t>
        </is>
      </c>
      <c r="B147" s="67" t="inlineStr">
        <is>
          <t>Electricity</t>
        </is>
      </c>
      <c r="C147" s="67" t="inlineStr">
        <is>
          <t>Australia</t>
        </is>
      </c>
      <c r="D147" s="67" t="inlineStr">
        <is>
          <t>QLD</t>
        </is>
      </c>
      <c r="E147" s="67" t="inlineStr">
        <is>
          <t>AU Large Electricity</t>
        </is>
      </c>
      <c r="F147" s="67" t="inlineStr">
        <is>
          <t>Roads - Archerfield</t>
        </is>
      </c>
      <c r="G147" s="67" t="inlineStr">
        <is>
          <t>150 Boniface Street</t>
        </is>
      </c>
      <c r="H147" s="67" t="inlineStr">
        <is>
          <t>DOWNER EDI SERVICES PTY LTD (ABN: 71 137 732 042)</t>
        </is>
      </c>
      <c r="I147" s="67" t="inlineStr">
        <is>
          <t>T&amp;I</t>
        </is>
      </c>
      <c r="J147" s="67" t="inlineStr">
        <is>
          <t>kWh</t>
        </is>
      </c>
      <c r="K147" s="86" t="n">
        <v>876582.28</v>
      </c>
      <c r="L147" s="67" t="inlineStr">
        <is>
          <t>CS Energy</t>
        </is>
      </c>
      <c r="M147" s="87" t="inlineStr">
        <is>
          <t>Engie</t>
        </is>
      </c>
      <c r="N147" s="87" t="n">
        <v>46204</v>
      </c>
      <c r="O147" s="87" t="n">
        <v>46934</v>
      </c>
      <c r="P147" s="67" t="inlineStr">
        <is>
          <t>24 months</t>
        </is>
      </c>
      <c r="Q147" s="88">
        <f t="array" ref="Q147:S147">IFERROR(ROUNDUP(_xlfn.XLOOKUP(A147,'Budget FY26-28'!A:A,'Budget FY26-28'!M:O)*(1+Summary!$C$2), -2), "")</f>
        <v/>
      </c>
      <c r="R147" s="88" t="n">
        <v>178500</v>
      </c>
      <c r="S147" s="88" t="n">
        <v>179600</v>
      </c>
      <c r="T147" s="67" t="inlineStr">
        <is>
          <t>Ready</t>
        </is>
      </c>
      <c r="U147" s="71" t="n"/>
      <c r="V147" s="84" t="inlineStr">
        <is>
          <t>1003081_QB05383854</t>
        </is>
      </c>
      <c r="W147" s="84" t="inlineStr">
        <is>
          <t>Electricity Small Market</t>
        </is>
      </c>
      <c r="X147" s="84" t="inlineStr">
        <is>
          <t>Electricity [kWh]</t>
        </is>
      </c>
      <c r="Y147" s="84" t="inlineStr">
        <is>
          <t>CSEnergy</t>
        </is>
      </c>
      <c r="Z147" s="84" t="inlineStr">
        <is>
          <t>Asphalt Prod - Archerfield (406)</t>
        </is>
      </c>
      <c r="AA147" s="84" t="inlineStr">
        <is>
          <t>406</t>
        </is>
      </c>
      <c r="AB147" s="84" t="inlineStr">
        <is>
          <t>Active</t>
        </is>
      </c>
      <c r="AC147" s="84" t="inlineStr">
        <is>
          <t>Connection ID is the account number suffix</t>
        </is>
      </c>
      <c r="AD147" s="85" t="inlineStr">
        <is>
          <t>LGCS_QB05383854; 50002618016_QB05383854; 5000021_QB05383854; DOWN001_QB05383854</t>
        </is>
      </c>
      <c r="AE147" s="85" t="inlineStr">
        <is>
          <t>1003081_QB05383854_CERTS (TEMPORARY - remake against the EngieAU account when it appears; not created yet) · LGCS_QB05383854 - historical</t>
        </is>
      </c>
    </row>
    <row r="148" customFormat="1" s="72">
      <c r="A148" s="66" t="inlineStr">
        <is>
          <t>QB06081428</t>
        </is>
      </c>
      <c r="B148" s="67" t="inlineStr">
        <is>
          <t>Electricity</t>
        </is>
      </c>
      <c r="C148" s="67" t="inlineStr">
        <is>
          <t>Australia</t>
        </is>
      </c>
      <c r="D148" s="67" t="inlineStr">
        <is>
          <t>QLD</t>
        </is>
      </c>
      <c r="E148" s="67" t="inlineStr">
        <is>
          <t>AU Large Electricity</t>
        </is>
      </c>
      <c r="F148" s="67" t="inlineStr">
        <is>
          <t>Mineral Tech - Carrara</t>
        </is>
      </c>
      <c r="G148" s="67" t="inlineStr">
        <is>
          <t>11 Elysium Road</t>
        </is>
      </c>
      <c r="H148" s="67" t="inlineStr">
        <is>
          <t>DOWNER EDI SERVICES PTY LTD (ABN: 71 137 732 042)</t>
        </is>
      </c>
      <c r="I148" s="67" t="inlineStr">
        <is>
          <t>E&amp;U</t>
        </is>
      </c>
      <c r="J148" s="67" t="inlineStr">
        <is>
          <t>kWh</t>
        </is>
      </c>
      <c r="K148" s="86" t="n">
        <v>1044289.84</v>
      </c>
      <c r="L148" s="67" t="inlineStr">
        <is>
          <t>CS Energy</t>
        </is>
      </c>
      <c r="M148" s="87" t="inlineStr">
        <is>
          <t>Engie</t>
        </is>
      </c>
      <c r="N148" s="87" t="n">
        <v>46204</v>
      </c>
      <c r="O148" s="87" t="n">
        <v>46934</v>
      </c>
      <c r="P148" s="67" t="inlineStr">
        <is>
          <t>24 months</t>
        </is>
      </c>
      <c r="Q148" s="88">
        <f t="array" ref="Q148:S148">IFERROR(ROUNDUP(_xlfn.XLOOKUP(A148,'Budget FY26-28'!A:A,'Budget FY26-28'!M:O)*(1+Summary!$C$2), -2), "")</f>
        <v/>
      </c>
      <c r="R148" s="88" t="n">
        <v>171900</v>
      </c>
      <c r="S148" s="88" t="n">
        <v>173200</v>
      </c>
      <c r="T148" s="67" t="inlineStr">
        <is>
          <t>Ready</t>
        </is>
      </c>
      <c r="U148" s="71" t="n"/>
      <c r="V148" s="84" t="inlineStr">
        <is>
          <t>900018198_QB06081428</t>
        </is>
      </c>
      <c r="W148" s="84" t="inlineStr">
        <is>
          <t>Electricity Small Market</t>
        </is>
      </c>
      <c r="X148" s="84" t="inlineStr">
        <is>
          <t>Electricity [kWh]</t>
        </is>
      </c>
      <c r="Y148" s="84" t="inlineStr">
        <is>
          <t>EngieAU</t>
        </is>
      </c>
      <c r="Z148" s="84" t="inlineStr">
        <is>
          <t>MT-Carrara</t>
        </is>
      </c>
      <c r="AA148" s="84" t="inlineStr">
        <is>
          <t>MT-39510068</t>
        </is>
      </c>
      <c r="AB148" s="84" t="inlineStr">
        <is>
          <t>Active</t>
        </is>
      </c>
      <c r="AC148" s="84" t="inlineStr">
        <is>
          <t>Connection ID is the account number suffix</t>
        </is>
      </c>
      <c r="AD148" s="85" t="inlineStr">
        <is>
          <t>900018198_QB06081428_CERTS; LGCS_QB06081428; 50002618001_QB06081428; 1003080_QB06081428; 5000021_QB06081428; DOWN001_QB06081428</t>
        </is>
      </c>
      <c r="AE148" s="85" t="inlineStr">
        <is>
          <t>900018198_QB06081428_CERTS (live) · LGCS_QB06081428 - historical · LGCS_QB06082220 (at this location, different ID) - historical</t>
        </is>
      </c>
    </row>
    <row r="149" customFormat="1" s="72">
      <c r="A149" s="66" t="inlineStr">
        <is>
          <t>QB06082220</t>
        </is>
      </c>
      <c r="B149" s="67" t="inlineStr">
        <is>
          <t>Electricity</t>
        </is>
      </c>
      <c r="C149" s="67" t="inlineStr">
        <is>
          <t>Australia</t>
        </is>
      </c>
      <c r="D149" s="67" t="inlineStr">
        <is>
          <t>QLD</t>
        </is>
      </c>
      <c r="E149" s="67" t="inlineStr">
        <is>
          <t>AU Large Electricity</t>
        </is>
      </c>
      <c r="F149" s="67" t="inlineStr">
        <is>
          <t>Mineral Tech - Carrara</t>
        </is>
      </c>
      <c r="G149" s="67" t="inlineStr">
        <is>
          <t>2-8 Keller Crescent</t>
        </is>
      </c>
      <c r="H149" s="67" t="inlineStr">
        <is>
          <t>DOWNER EDI SERVICES PTY LTD (ABN: 71 137 732 042)</t>
        </is>
      </c>
      <c r="I149" s="67" t="inlineStr">
        <is>
          <t>E&amp;U</t>
        </is>
      </c>
      <c r="J149" s="67" t="inlineStr">
        <is>
          <t>kWh</t>
        </is>
      </c>
      <c r="K149" s="86" t="n">
        <v>80526.60000000001</v>
      </c>
      <c r="L149" s="67" t="inlineStr">
        <is>
          <t>CS Energy</t>
        </is>
      </c>
      <c r="M149" s="87" t="inlineStr">
        <is>
          <t>Engie</t>
        </is>
      </c>
      <c r="N149" s="87" t="n">
        <v>46204</v>
      </c>
      <c r="O149" s="87" t="n">
        <v>46934</v>
      </c>
      <c r="P149" s="67" t="inlineStr">
        <is>
          <t>24 months</t>
        </is>
      </c>
      <c r="Q149" s="88">
        <f t="array" ref="Q149:S149">IFERROR(ROUNDUP(_xlfn.XLOOKUP(A149,'Budget FY26-28'!A:A,'Budget FY26-28'!M:O)*(1+Summary!$C$2), -2), "")</f>
        <v/>
      </c>
      <c r="R149" s="88" t="n">
        <v>15100</v>
      </c>
      <c r="S149" s="88" t="n">
        <v>15200</v>
      </c>
      <c r="T149" s="67" t="inlineStr">
        <is>
          <t>Ready</t>
        </is>
      </c>
      <c r="U149" s="71" t="n"/>
      <c r="V149" s="84" t="inlineStr">
        <is>
          <t>900018193_QB06082220</t>
        </is>
      </c>
      <c r="W149" s="84" t="inlineStr">
        <is>
          <t>Electricity Small Market</t>
        </is>
      </c>
      <c r="X149" s="84" t="inlineStr">
        <is>
          <t>Electricity [kWh]</t>
        </is>
      </c>
      <c r="Y149" s="84" t="inlineStr">
        <is>
          <t>EngieAU</t>
        </is>
      </c>
      <c r="Z149" s="84" t="inlineStr">
        <is>
          <t>MT-Carrara</t>
        </is>
      </c>
      <c r="AA149" s="84" t="inlineStr">
        <is>
          <t>MT-39510068</t>
        </is>
      </c>
      <c r="AB149" s="84" t="inlineStr">
        <is>
          <t>Active</t>
        </is>
      </c>
      <c r="AC149" s="84" t="inlineStr">
        <is>
          <t>Connection ID is the account number suffix</t>
        </is>
      </c>
      <c r="AD149" s="85" t="inlineStr">
        <is>
          <t>LGCS_QB06082220; 50002618006_QB06082220; 1003083_QB06082220; 5000021_QB06082220; DOWN001_QB06082220</t>
        </is>
      </c>
      <c r="AE149" s="85" t="inlineStr">
        <is>
          <t>900018193_QB06082220_CERTS (to create) · LGCS_QB06081428 (at this location, different ID) - historical · LGCS_QB06082220 - historical</t>
        </is>
      </c>
    </row>
    <row r="150" customFormat="1" s="72">
      <c r="A150" s="66" t="inlineStr">
        <is>
          <t>QGGG000010</t>
        </is>
      </c>
      <c r="B150" s="67" t="inlineStr">
        <is>
          <t>Electricity</t>
        </is>
      </c>
      <c r="C150" s="67" t="inlineStr">
        <is>
          <t>Australia</t>
        </is>
      </c>
      <c r="D150" s="67" t="inlineStr">
        <is>
          <t>QLD</t>
        </is>
      </c>
      <c r="E150" s="67" t="inlineStr">
        <is>
          <t>AU Large Electricity</t>
        </is>
      </c>
      <c r="F150" s="67" t="inlineStr">
        <is>
          <t>Rail - Maryborough</t>
        </is>
      </c>
      <c r="G150" s="67" t="inlineStr">
        <is>
          <t>23 Bowen Street</t>
        </is>
      </c>
      <c r="H150" s="67" t="inlineStr">
        <is>
          <t>DOWNER EDI SERVICES PTY LTD (ABN: 71 137 732 042)</t>
        </is>
      </c>
      <c r="I150" s="67" t="inlineStr">
        <is>
          <t>RAIL</t>
        </is>
      </c>
      <c r="J150" s="67" t="inlineStr">
        <is>
          <t>kWh</t>
        </is>
      </c>
      <c r="K150" s="86" t="n">
        <v>3994276.89999999</v>
      </c>
      <c r="L150" s="67" t="inlineStr">
        <is>
          <t>CS Energy</t>
        </is>
      </c>
      <c r="M150" s="87" t="inlineStr">
        <is>
          <t>Engie</t>
        </is>
      </c>
      <c r="N150" s="87" t="n">
        <v>46204</v>
      </c>
      <c r="O150" s="87" t="n">
        <v>46934</v>
      </c>
      <c r="P150" s="67" t="inlineStr">
        <is>
          <t>24 months</t>
        </is>
      </c>
      <c r="Q150" s="88">
        <f t="array" ref="Q150:S150">IFERROR(ROUNDUP(_xlfn.XLOOKUP(A150,'Budget FY26-28'!A:A,'Budget FY26-28'!M:O)*(1+Summary!$C$2), -2), "")</f>
        <v/>
      </c>
      <c r="R150" s="88" t="n">
        <v>684300</v>
      </c>
      <c r="S150" s="88" t="n">
        <v>689000</v>
      </c>
      <c r="T150" s="67" t="inlineStr">
        <is>
          <t>Ready</t>
        </is>
      </c>
      <c r="U150" s="71" t="n"/>
      <c r="V150" s="84" t="inlineStr">
        <is>
          <t>900018200_QGGG000010</t>
        </is>
      </c>
      <c r="W150" s="84" t="inlineStr">
        <is>
          <t>Electricity Small Market</t>
        </is>
      </c>
      <c r="X150" s="84" t="inlineStr">
        <is>
          <t>Electricity [kWh]</t>
        </is>
      </c>
      <c r="Y150" s="84" t="inlineStr">
        <is>
          <t>EngieAU</t>
        </is>
      </c>
      <c r="Z150" s="84" t="inlineStr">
        <is>
          <t>Maryborough</t>
        </is>
      </c>
      <c r="AA150" s="84" t="inlineStr">
        <is>
          <t>3011</t>
        </is>
      </c>
      <c r="AB150" s="84" t="inlineStr">
        <is>
          <t>Active</t>
        </is>
      </c>
      <c r="AC150" s="84" t="inlineStr">
        <is>
          <t>Connection ID is the account number suffix</t>
        </is>
      </c>
      <c r="AD150" s="85" t="inlineStr">
        <is>
          <t>900018200_QGGG000010_CERTS; LGCS_QGGG000010; 50002618000_QGGG000010; 1003077_QGGG000010; 5000021_QGGG000010; DOWN001_QGGG000010</t>
        </is>
      </c>
      <c r="AE150" s="85" t="inlineStr">
        <is>
          <t>900018200_QGGG000010_CERTS (live) · LGCS_QGGG000010 - historical · LGCS_QGGG000320 (at this location, different ID) - historical</t>
        </is>
      </c>
    </row>
    <row r="151" customFormat="1" s="72">
      <c r="A151" s="66" t="inlineStr">
        <is>
          <t>QGGG000320</t>
        </is>
      </c>
      <c r="B151" s="67" t="inlineStr">
        <is>
          <t>Electricity</t>
        </is>
      </c>
      <c r="C151" s="67" t="inlineStr">
        <is>
          <t>Australia</t>
        </is>
      </c>
      <c r="D151" s="67" t="inlineStr">
        <is>
          <t>QLD</t>
        </is>
      </c>
      <c r="E151" s="67" t="inlineStr">
        <is>
          <t>AU Large Electricity</t>
        </is>
      </c>
      <c r="F151" s="67" t="inlineStr">
        <is>
          <t>Rail - Maryborough</t>
        </is>
      </c>
      <c r="G151" s="67" t="inlineStr">
        <is>
          <t>2 Ellena Street</t>
        </is>
      </c>
      <c r="H151" s="67" t="inlineStr">
        <is>
          <t>DOWNER EDI RAIL PTY LTD (ABN: 92 000 002 031)</t>
        </is>
      </c>
      <c r="I151" s="67" t="inlineStr">
        <is>
          <t>RAIL</t>
        </is>
      </c>
      <c r="J151" s="67" t="inlineStr">
        <is>
          <t>kWh</t>
        </is>
      </c>
      <c r="K151" s="86" t="n">
        <v>165144.29</v>
      </c>
      <c r="L151" s="67" t="inlineStr">
        <is>
          <t>CS Energy</t>
        </is>
      </c>
      <c r="M151" s="87" t="inlineStr">
        <is>
          <t>Engie</t>
        </is>
      </c>
      <c r="N151" s="87" t="n">
        <v>46204</v>
      </c>
      <c r="O151" s="87" t="n">
        <v>46934</v>
      </c>
      <c r="P151" s="67" t="inlineStr">
        <is>
          <t>24 months</t>
        </is>
      </c>
      <c r="Q151" s="88">
        <f t="array" ref="Q151:S151">IFERROR(ROUNDUP(_xlfn.XLOOKUP(A151,'Budget FY26-28'!A:A,'Budget FY26-28'!M:O)*(1+Summary!$C$2), -2), "")</f>
        <v/>
      </c>
      <c r="R151" s="88" t="n">
        <v>61800</v>
      </c>
      <c r="S151" s="88" t="n">
        <v>62000</v>
      </c>
      <c r="T151" s="67" t="inlineStr">
        <is>
          <t>Ready</t>
        </is>
      </c>
      <c r="U151" s="71" t="n"/>
      <c r="V151" s="84" t="inlineStr">
        <is>
          <t>1003082_QGGG000320</t>
        </is>
      </c>
      <c r="W151" s="84" t="inlineStr">
        <is>
          <t>Electricity Small Market</t>
        </is>
      </c>
      <c r="X151" s="84" t="inlineStr">
        <is>
          <t>Electricity [kWh]</t>
        </is>
      </c>
      <c r="Y151" s="84" t="inlineStr">
        <is>
          <t>CSEnergy</t>
        </is>
      </c>
      <c r="Z151" s="84" t="inlineStr">
        <is>
          <t>Maryborough</t>
        </is>
      </c>
      <c r="AA151" s="84" t="inlineStr">
        <is>
          <t>3011</t>
        </is>
      </c>
      <c r="AB151" s="84" t="inlineStr">
        <is>
          <t>Replaced 30 Jun 2026</t>
        </is>
      </c>
      <c r="AC151" s="84" t="inlineStr">
        <is>
          <t>Connection ID is the account number suffix</t>
        </is>
      </c>
      <c r="AD151" s="85" t="inlineStr">
        <is>
          <t>LGCS_QGGG000320; 50002618013_QGGG000320; 5000021_QGGG000320; DOWN001_QGGG000320</t>
        </is>
      </c>
      <c r="AE151" s="85" t="inlineStr">
        <is>
          <t>LGCS_QGGG000010 (at this location, different ID) - historical · LGCS_QGGG000320 - historical</t>
        </is>
      </c>
    </row>
    <row r="152" customFormat="1" s="72">
      <c r="A152" s="66" t="n">
        <v>2001160742</v>
      </c>
      <c r="B152" s="67" t="inlineStr">
        <is>
          <t>Electricity</t>
        </is>
      </c>
      <c r="C152" s="67" t="inlineStr">
        <is>
          <t>Australia</t>
        </is>
      </c>
      <c r="D152" s="67" t="inlineStr">
        <is>
          <t>SA</t>
        </is>
      </c>
      <c r="E152" s="67" t="inlineStr">
        <is>
          <t>AU Large Electricity</t>
        </is>
      </c>
      <c r="F152" s="67" t="inlineStr">
        <is>
          <t>Roads - Gillman</t>
        </is>
      </c>
      <c r="G152" s="67" t="inlineStr">
        <is>
          <t>Lot 6 Matson Court</t>
        </is>
      </c>
      <c r="H152" s="67" t="inlineStr">
        <is>
          <t>DOWNER EDI SERVICES PTY LTD (ABN: 71 137 732 042)</t>
        </is>
      </c>
      <c r="I152" s="67" t="inlineStr">
        <is>
          <t>T&amp;I</t>
        </is>
      </c>
      <c r="J152" s="67" t="inlineStr">
        <is>
          <t>kWh</t>
        </is>
      </c>
      <c r="K152" s="86" t="n">
        <v>119987.46</v>
      </c>
      <c r="L152" s="67" t="inlineStr">
        <is>
          <t>Origin</t>
        </is>
      </c>
      <c r="M152" s="87" t="inlineStr">
        <is>
          <t>Engie</t>
        </is>
      </c>
      <c r="N152" s="87" t="n">
        <v>46204</v>
      </c>
      <c r="O152" s="87" t="n">
        <v>46934</v>
      </c>
      <c r="P152" s="67" t="inlineStr">
        <is>
          <t>24 months</t>
        </is>
      </c>
      <c r="Q152" s="88">
        <f t="array" ref="Q152:S152">IFERROR(ROUNDUP(_xlfn.XLOOKUP(A152,'Budget FY26-28'!A:A,'Budget FY26-28'!M:O)*(1+Summary!$C$2), -2), "")</f>
        <v/>
      </c>
      <c r="R152" s="88" t="n">
        <v>31300</v>
      </c>
      <c r="S152" s="88" t="n">
        <v>31100</v>
      </c>
      <c r="T152" s="67" t="inlineStr">
        <is>
          <t>Ready</t>
        </is>
      </c>
      <c r="U152" s="71" t="n"/>
      <c r="V152" s="84" t="inlineStr">
        <is>
          <t>900018206_2001160742</t>
        </is>
      </c>
      <c r="W152" s="84" t="inlineStr">
        <is>
          <t>Electricity Small Market</t>
        </is>
      </c>
      <c r="X152" s="84" t="inlineStr">
        <is>
          <t>Electricity [kWh]</t>
        </is>
      </c>
      <c r="Y152" s="84" t="inlineStr">
        <is>
          <t>EngieAU</t>
        </is>
      </c>
      <c r="Z152" s="84" t="inlineStr">
        <is>
          <t>Gillman - PAV</t>
        </is>
      </c>
      <c r="AA152" s="84" t="inlineStr">
        <is>
          <t>L9.J.17050664</t>
        </is>
      </c>
      <c r="AB152" s="84" t="inlineStr">
        <is>
          <t>Active</t>
        </is>
      </c>
      <c r="AC152" s="84" t="inlineStr">
        <is>
          <t>Connection ID is the account number suffix</t>
        </is>
      </c>
      <c r="AD152" s="85" t="inlineStr">
        <is>
          <t>LGCS_2001160742; 10768596_2001160742; 50002618025_2001160742</t>
        </is>
      </c>
      <c r="AE152" s="85" t="inlineStr">
        <is>
          <t>900018206_2001160742_CERTS (to create) · LGCS_2001160742 - historical</t>
        </is>
      </c>
    </row>
    <row r="153" customFormat="1" s="72">
      <c r="A153" s="66" t="n">
        <v>2002254877</v>
      </c>
      <c r="B153" s="67" t="inlineStr">
        <is>
          <t>Electricity</t>
        </is>
      </c>
      <c r="C153" s="67" t="inlineStr">
        <is>
          <t>Australia</t>
        </is>
      </c>
      <c r="D153" s="67" t="inlineStr">
        <is>
          <t>SA</t>
        </is>
      </c>
      <c r="E153" s="67" t="inlineStr">
        <is>
          <t>AU Large Electricity</t>
        </is>
      </c>
      <c r="F153" s="67" t="inlineStr">
        <is>
          <t>Roads Ashalt Pant Wingfield</t>
        </is>
      </c>
      <c r="G153" s="67" t="inlineStr">
        <is>
          <t>Lot 43 Rosberg Road</t>
        </is>
      </c>
      <c r="H153" s="67" t="inlineStr">
        <is>
          <t>DOWNER EDI SERVICES PTY LTD (ABN: 71 137 732 042)</t>
        </is>
      </c>
      <c r="I153" s="67" t="inlineStr">
        <is>
          <t>T&amp;I</t>
        </is>
      </c>
      <c r="J153" s="67" t="inlineStr">
        <is>
          <t>kWh</t>
        </is>
      </c>
      <c r="K153" s="86" t="n">
        <v>1255064.06</v>
      </c>
      <c r="L153" s="67" t="inlineStr">
        <is>
          <t>Origin</t>
        </is>
      </c>
      <c r="M153" s="87" t="inlineStr">
        <is>
          <t>Engie</t>
        </is>
      </c>
      <c r="N153" s="87" t="n">
        <v>46204</v>
      </c>
      <c r="O153" s="87" t="n">
        <v>46934</v>
      </c>
      <c r="P153" s="67" t="inlineStr">
        <is>
          <t>24 months</t>
        </is>
      </c>
      <c r="Q153" s="88">
        <f t="array" ref="Q153:S153">IFERROR(ROUNDUP(_xlfn.XLOOKUP(A153,'Budget FY26-28'!A:A,'Budget FY26-28'!M:O)*(1+Summary!$C$2), -2), "")</f>
        <v/>
      </c>
      <c r="R153" s="88" t="n">
        <v>292100</v>
      </c>
      <c r="S153" s="88" t="n">
        <v>293800</v>
      </c>
      <c r="T153" s="67" t="inlineStr">
        <is>
          <t>Ready</t>
        </is>
      </c>
      <c r="U153" s="71" t="n"/>
      <c r="V153" s="84" t="inlineStr">
        <is>
          <t>900018209_2002254877</t>
        </is>
      </c>
      <c r="W153" s="84" t="inlineStr">
        <is>
          <t>Electricity Small Market</t>
        </is>
      </c>
      <c r="X153" s="84" t="inlineStr">
        <is>
          <t>Electricity [kWh]</t>
        </is>
      </c>
      <c r="Y153" s="84" t="inlineStr">
        <is>
          <t>EngieAU</t>
        </is>
      </c>
      <c r="Z153" s="84" t="inlineStr">
        <is>
          <t>Asphalt Prod - Wingfield (523)</t>
        </is>
      </c>
      <c r="AA153" s="84" t="inlineStr">
        <is>
          <t>523</t>
        </is>
      </c>
      <c r="AB153" s="84" t="inlineStr">
        <is>
          <t>Active</t>
        </is>
      </c>
      <c r="AC153" s="84" t="inlineStr">
        <is>
          <t>Connection ID is the account number suffix</t>
        </is>
      </c>
      <c r="AD153" s="85" t="inlineStr">
        <is>
          <t>LGCS_2002254877; 2002254877; 10768604_2002254877; 50002618027_2002254877</t>
        </is>
      </c>
      <c r="AE153" s="85" t="inlineStr">
        <is>
          <t>900018209_2002254877_CERTS (to create) · LGCS_2002254877 - historical</t>
        </is>
      </c>
    </row>
    <row r="154" customFormat="1" s="72">
      <c r="A154" s="66" t="inlineStr">
        <is>
          <t>SAAAAAB023</t>
        </is>
      </c>
      <c r="B154" s="67" t="inlineStr">
        <is>
          <t>Electricity</t>
        </is>
      </c>
      <c r="C154" s="67" t="inlineStr">
        <is>
          <t>Australia</t>
        </is>
      </c>
      <c r="D154" s="67" t="inlineStr">
        <is>
          <t>SA</t>
        </is>
      </c>
      <c r="E154" s="67" t="inlineStr">
        <is>
          <t>AU Large Electricity</t>
        </is>
      </c>
      <c r="F154" s="67" t="inlineStr">
        <is>
          <t>Roads - Largs Bay</t>
        </is>
      </c>
      <c r="G154" s="67" t="inlineStr">
        <is>
          <t>100513/1 Jetty Road</t>
        </is>
      </c>
      <c r="H154" s="67" t="inlineStr">
        <is>
          <t>DOWNER EDI SERVICES PTY LTD (ABN: 71 137 732 042)</t>
        </is>
      </c>
      <c r="I154" s="67" t="inlineStr">
        <is>
          <t>T&amp;I</t>
        </is>
      </c>
      <c r="J154" s="67" t="inlineStr">
        <is>
          <t>kWh</t>
        </is>
      </c>
      <c r="K154" s="86" t="n">
        <v>384392.53</v>
      </c>
      <c r="L154" s="67" t="inlineStr">
        <is>
          <t>Origin</t>
        </is>
      </c>
      <c r="M154" s="87" t="inlineStr">
        <is>
          <t>Engie</t>
        </is>
      </c>
      <c r="N154" s="87" t="n">
        <v>46204</v>
      </c>
      <c r="O154" s="87" t="n">
        <v>46934</v>
      </c>
      <c r="P154" s="67" t="inlineStr">
        <is>
          <t>24 months</t>
        </is>
      </c>
      <c r="Q154" s="88">
        <f t="array" ref="Q154:S154">IFERROR(ROUNDUP(_xlfn.XLOOKUP(A154,'Budget FY26-28'!A:A,'Budget FY26-28'!M:O)*(1+Summary!$C$2), -2), "")</f>
        <v/>
      </c>
      <c r="R154" s="88" t="n">
        <v>92000</v>
      </c>
      <c r="S154" s="88" t="n">
        <v>92200</v>
      </c>
      <c r="T154" s="67" t="inlineStr">
        <is>
          <t>Ready</t>
        </is>
      </c>
      <c r="U154" s="71" t="n"/>
      <c r="V154" s="84" t="inlineStr">
        <is>
          <t>900018208_SAAAAAB023</t>
        </is>
      </c>
      <c r="W154" s="84" t="inlineStr">
        <is>
          <t>Electricity Small Market</t>
        </is>
      </c>
      <c r="X154" s="84" t="inlineStr">
        <is>
          <t>Electricity [kWh]</t>
        </is>
      </c>
      <c r="Y154" s="84" t="inlineStr">
        <is>
          <t>EngieAU</t>
        </is>
      </c>
      <c r="Z154" s="84" t="inlineStr">
        <is>
          <t>Largs Bay</t>
        </is>
      </c>
      <c r="AA154" s="84" t="inlineStr">
        <is>
          <t>163</t>
        </is>
      </c>
      <c r="AB154" s="84" t="inlineStr">
        <is>
          <t>Active</t>
        </is>
      </c>
      <c r="AC154" s="84" t="inlineStr">
        <is>
          <t>Connection ID is the account number suffix</t>
        </is>
      </c>
      <c r="AD154" s="85" t="inlineStr">
        <is>
          <t>LGCS_SAAAAAB023; 50002656871_SAAAAAB023; 25000463611_SAAAAAB023</t>
        </is>
      </c>
      <c r="AE154" s="85" t="inlineStr">
        <is>
          <t>900018208_SAAAAAB023_CERTS (to create) · LGCS_SAAAAAB023 - historical · LGCS_SAAAAAC481 (at this location, different ID) - historical</t>
        </is>
      </c>
    </row>
    <row r="155" customFormat="1" s="72">
      <c r="A155" s="66" t="inlineStr">
        <is>
          <t>SAAAAAC481</t>
        </is>
      </c>
      <c r="B155" s="67" t="inlineStr">
        <is>
          <t>Electricity</t>
        </is>
      </c>
      <c r="C155" s="67" t="inlineStr">
        <is>
          <t>Australia</t>
        </is>
      </c>
      <c r="D155" s="67" t="inlineStr">
        <is>
          <t>SA</t>
        </is>
      </c>
      <c r="E155" s="67" t="inlineStr">
        <is>
          <t>AU Large Electricity</t>
        </is>
      </c>
      <c r="F155" s="67" t="inlineStr">
        <is>
          <t>Roads - Largs Bay</t>
        </is>
      </c>
      <c r="G155" s="67" t="inlineStr">
        <is>
          <t>188 Jetty Road</t>
        </is>
      </c>
      <c r="H155" s="67" t="inlineStr">
        <is>
          <t>DOWNER EDI SERVICES PTY LTD (ABN: 71 137 732 042)</t>
        </is>
      </c>
      <c r="I155" s="67" t="inlineStr">
        <is>
          <t>T&amp;I</t>
        </is>
      </c>
      <c r="J155" s="67" t="inlineStr">
        <is>
          <t>kWh</t>
        </is>
      </c>
      <c r="K155" s="86" t="n">
        <v>154241.09</v>
      </c>
      <c r="L155" s="67" t="inlineStr">
        <is>
          <t>Origin</t>
        </is>
      </c>
      <c r="M155" s="87" t="inlineStr">
        <is>
          <t>Engie</t>
        </is>
      </c>
      <c r="N155" s="87" t="n">
        <v>46204</v>
      </c>
      <c r="O155" s="87" t="n">
        <v>46934</v>
      </c>
      <c r="P155" s="67" t="inlineStr">
        <is>
          <t>24 months</t>
        </is>
      </c>
      <c r="Q155" s="88">
        <f t="array" ref="Q155:S155">IFERROR(ROUNDUP(_xlfn.XLOOKUP(A155,'Budget FY26-28'!A:A,'Budget FY26-28'!M:O)*(1+Summary!$C$2), -2), "")</f>
        <v/>
      </c>
      <c r="R155" s="88" t="n">
        <v>37500</v>
      </c>
      <c r="S155" s="88" t="n">
        <v>37800</v>
      </c>
      <c r="T155" s="67" t="inlineStr">
        <is>
          <t>Ready</t>
        </is>
      </c>
      <c r="U155" s="71" t="n"/>
      <c r="V155" s="84" t="inlineStr">
        <is>
          <t>900018207_SAAAAAC481</t>
        </is>
      </c>
      <c r="W155" s="84" t="inlineStr">
        <is>
          <t>Electricity Small Market</t>
        </is>
      </c>
      <c r="X155" s="84" t="inlineStr">
        <is>
          <t>Electricity [kWh]</t>
        </is>
      </c>
      <c r="Y155" s="84" t="inlineStr">
        <is>
          <t>EngieAU</t>
        </is>
      </c>
      <c r="Z155" s="84" t="inlineStr">
        <is>
          <t>Largs Bay</t>
        </is>
      </c>
      <c r="AA155" s="84" t="inlineStr">
        <is>
          <t>163</t>
        </is>
      </c>
      <c r="AB155" s="84" t="inlineStr">
        <is>
          <t>Active</t>
        </is>
      </c>
      <c r="AC155" s="84" t="inlineStr">
        <is>
          <t>Connection ID is the account number suffix</t>
        </is>
      </c>
      <c r="AD155" s="85" t="inlineStr">
        <is>
          <t>LGCS_SAAAAAC481; 10769313_SAAAAAC481; 50002618029_SAAAAAC481</t>
        </is>
      </c>
      <c r="AE155" s="85" t="inlineStr">
        <is>
          <t>900018207_SAAAAAC481_CERTS (to create) · LGCS_SAAAAAB023 (at this location, different ID) - historical · LGCS_SAAAAAC481 - historical</t>
        </is>
      </c>
    </row>
    <row r="156" customFormat="1" s="72">
      <c r="A156" s="66" t="n">
        <v>8000002117</v>
      </c>
      <c r="B156" s="67" t="inlineStr">
        <is>
          <t>Electricity</t>
        </is>
      </c>
      <c r="C156" s="67" t="inlineStr">
        <is>
          <t>Australia</t>
        </is>
      </c>
      <c r="D156" s="67" t="inlineStr">
        <is>
          <t>TAS</t>
        </is>
      </c>
      <c r="E156" s="67" t="inlineStr">
        <is>
          <t>AU Large Electricity</t>
        </is>
      </c>
      <c r="F156" s="67" t="inlineStr">
        <is>
          <t>Roads - Lindisfarne</t>
        </is>
      </c>
      <c r="G156" s="67" t="inlineStr">
        <is>
          <t>Flagstaff Gully Road</t>
        </is>
      </c>
      <c r="H156" s="67" t="inlineStr">
        <is>
          <t>DOWNER EDI SERVICES PTY LTD (ABN: 71 137 732 042)</t>
        </is>
      </c>
      <c r="I156" s="67" t="inlineStr">
        <is>
          <t>T&amp;I</t>
        </is>
      </c>
      <c r="J156" s="67" t="inlineStr">
        <is>
          <t>kWh</t>
        </is>
      </c>
      <c r="K156" s="86" t="n">
        <v>448303.491</v>
      </c>
      <c r="L156" s="67" t="inlineStr">
        <is>
          <t>Aurora</t>
        </is>
      </c>
      <c r="M156" s="87" t="inlineStr">
        <is>
          <t>Shell</t>
        </is>
      </c>
      <c r="N156" s="87" t="n">
        <v>46204</v>
      </c>
      <c r="O156" s="87" t="n">
        <v>47664</v>
      </c>
      <c r="P156" s="67" t="inlineStr">
        <is>
          <t>48 months</t>
        </is>
      </c>
      <c r="Q156" s="88">
        <f t="array" ref="Q156:S156">IFERROR(ROUNDUP(_xlfn.XLOOKUP(A156,'Budget FY26-28'!A:A,'Budget FY26-28'!M:O)*(1+Summary!$C$2), -2), "")</f>
        <v/>
      </c>
      <c r="R156" s="88" t="n">
        <v>135900</v>
      </c>
      <c r="S156" s="88" t="n">
        <v>135700</v>
      </c>
      <c r="T156" s="67" t="inlineStr">
        <is>
          <t>Ready</t>
        </is>
      </c>
      <c r="U156" s="71" t="n"/>
      <c r="V156" s="84" t="inlineStr">
        <is>
          <t>DEDI01_8000002117_8000002117</t>
        </is>
      </c>
      <c r="W156" s="84" t="inlineStr">
        <is>
          <t>Electricity Small Market</t>
        </is>
      </c>
      <c r="X156" s="84" t="inlineStr">
        <is>
          <t>Electricity [kWh]</t>
        </is>
      </c>
      <c r="Y156" s="84" t="inlineStr">
        <is>
          <t>ShellEnergyAU</t>
        </is>
      </c>
      <c r="Z156" s="84" t="inlineStr">
        <is>
          <t>Asphalt Prod - Hobart (329)</t>
        </is>
      </c>
      <c r="AA156" s="84" t="inlineStr">
        <is>
          <t>17030565</t>
        </is>
      </c>
      <c r="AB156" s="84" t="inlineStr">
        <is>
          <t>Active</t>
        </is>
      </c>
      <c r="AC156" s="84" t="inlineStr">
        <is>
          <t>Connection ID is the account number suffix</t>
        </is>
      </c>
      <c r="AD156" s="85" t="inlineStr">
        <is>
          <t>206071600_8000002117; DEDI01_8000002117; 103237107_8000002117; 1032371078_8000002117; 1032845591_8000002117</t>
        </is>
      </c>
      <c r="AE156" s="85" t="inlineStr">
        <is>
          <t>DEDI01_8000002117_8000002117_CERTS (to create)</t>
        </is>
      </c>
    </row>
    <row r="157" customFormat="1" s="72">
      <c r="A157" s="66" t="n">
        <v>8000002963</v>
      </c>
      <c r="B157" s="67" t="inlineStr">
        <is>
          <t>Electricity</t>
        </is>
      </c>
      <c r="C157" s="67" t="inlineStr">
        <is>
          <t>Australia</t>
        </is>
      </c>
      <c r="D157" s="67" t="inlineStr">
        <is>
          <t>TAS</t>
        </is>
      </c>
      <c r="E157" s="67" t="inlineStr">
        <is>
          <t>AU Large Electricity</t>
        </is>
      </c>
      <c r="F157" s="67" t="inlineStr">
        <is>
          <t>Roads - Granton</t>
        </is>
      </c>
      <c r="G157" s="67" t="inlineStr">
        <is>
          <t>3 Whitestone Drive</t>
        </is>
      </c>
      <c r="H157" s="67" t="inlineStr">
        <is>
          <t>DOWNER EDI SERVICES PTY LTD (ABN: 71 137 732 042)</t>
        </is>
      </c>
      <c r="I157" s="67" t="inlineStr">
        <is>
          <t>T&amp;I</t>
        </is>
      </c>
      <c r="J157" s="67" t="inlineStr">
        <is>
          <t>kWh</t>
        </is>
      </c>
      <c r="K157" s="86" t="n">
        <v>122988.745</v>
      </c>
      <c r="L157" s="67" t="inlineStr">
        <is>
          <t>Aurora</t>
        </is>
      </c>
      <c r="M157" s="87" t="inlineStr">
        <is>
          <t>Shell</t>
        </is>
      </c>
      <c r="N157" s="87" t="n">
        <v>46204</v>
      </c>
      <c r="O157" s="87" t="n">
        <v>47664</v>
      </c>
      <c r="P157" s="67" t="inlineStr">
        <is>
          <t>48 months</t>
        </is>
      </c>
      <c r="Q157" s="88">
        <f t="array" ref="Q157:S157">IFERROR(ROUNDUP(_xlfn.XLOOKUP(A157,'Budget FY26-28'!A:A,'Budget FY26-28'!M:O)*(1+Summary!$C$2), -2), "")</f>
        <v/>
      </c>
      <c r="R157" s="88" t="n">
        <v>37300</v>
      </c>
      <c r="S157" s="88" t="n">
        <v>37300</v>
      </c>
      <c r="T157" s="67" t="inlineStr">
        <is>
          <t>Ready</t>
        </is>
      </c>
      <c r="U157" s="71" t="n"/>
      <c r="V157" s="84" t="inlineStr">
        <is>
          <t>DEDI01_8000002963</t>
        </is>
      </c>
      <c r="W157" s="84" t="inlineStr">
        <is>
          <t>Electricity Small Market</t>
        </is>
      </c>
      <c r="X157" s="84" t="inlineStr">
        <is>
          <t>Electricity [kWh]</t>
        </is>
      </c>
      <c r="Y157" s="84" t="inlineStr">
        <is>
          <t>ShellEnergyAU</t>
        </is>
      </c>
      <c r="Z157" s="84" t="inlineStr">
        <is>
          <t>Austins Ferry</t>
        </is>
      </c>
      <c r="AA157" s="84" t="inlineStr">
        <is>
          <t>12</t>
        </is>
      </c>
      <c r="AB157" s="84" t="inlineStr">
        <is>
          <t>Active</t>
        </is>
      </c>
      <c r="AC157" s="84" t="inlineStr">
        <is>
          <t>Connection ID is the account number suffix</t>
        </is>
      </c>
      <c r="AD157" s="85" t="inlineStr">
        <is>
          <t>206071600_8000002963; 103237105_8000002963; 1032845591_8000002963</t>
        </is>
      </c>
      <c r="AE157" s="85" t="inlineStr">
        <is>
          <t>DEDI01_8000002963_CERTS (to create)</t>
        </is>
      </c>
    </row>
    <row r="158" customFormat="1" s="72">
      <c r="A158" s="66" t="n">
        <v>8000326927</v>
      </c>
      <c r="B158" s="67" t="inlineStr">
        <is>
          <t>Electricity</t>
        </is>
      </c>
      <c r="C158" s="67" t="inlineStr">
        <is>
          <t>Australia</t>
        </is>
      </c>
      <c r="D158" s="67" t="inlineStr">
        <is>
          <t>TAS</t>
        </is>
      </c>
      <c r="E158" s="67" t="inlineStr">
        <is>
          <t>AU Large Electricity</t>
        </is>
      </c>
      <c r="F158" s="67" t="inlineStr">
        <is>
          <t>New Roads Mowbray</t>
        </is>
      </c>
      <c r="G158" s="67" t="inlineStr">
        <is>
          <t>59 Remount Rd</t>
        </is>
      </c>
      <c r="H158" s="67" t="inlineStr">
        <is>
          <t>DOWNER EDI SERVICES PTY LTD (ABN: 71 137 732 042)</t>
        </is>
      </c>
      <c r="I158" s="67" t="inlineStr">
        <is>
          <t>T&amp;I</t>
        </is>
      </c>
      <c r="J158" s="67" t="inlineStr">
        <is>
          <t>kWh</t>
        </is>
      </c>
      <c r="K158" s="86" t="n">
        <v>489994.031</v>
      </c>
      <c r="L158" s="67" t="inlineStr">
        <is>
          <t>Aurora</t>
        </is>
      </c>
      <c r="M158" s="87" t="inlineStr">
        <is>
          <t>Shell</t>
        </is>
      </c>
      <c r="N158" s="87" t="n">
        <v>46204</v>
      </c>
      <c r="O158" s="87" t="n">
        <v>47664</v>
      </c>
      <c r="P158" s="67" t="inlineStr">
        <is>
          <t>48 months</t>
        </is>
      </c>
      <c r="Q158" s="88">
        <f t="array" ref="Q158:S158">IFERROR(ROUNDUP(_xlfn.XLOOKUP(A158,'Budget FY26-28'!A:A,'Budget FY26-28'!M:O)*(1+Summary!$C$2), -2), "")</f>
        <v/>
      </c>
      <c r="R158" s="88" t="n">
        <v>148500</v>
      </c>
      <c r="S158" s="88" t="n">
        <v>148300</v>
      </c>
      <c r="T158" s="67" t="inlineStr">
        <is>
          <t>Ready</t>
        </is>
      </c>
      <c r="U158" s="71" t="n"/>
      <c r="V158" s="84" t="inlineStr">
        <is>
          <t>DEDI01_088_8000326927</t>
        </is>
      </c>
      <c r="W158" s="84" t="inlineStr">
        <is>
          <t>Electricity Small Market</t>
        </is>
      </c>
      <c r="X158" s="84" t="inlineStr">
        <is>
          <t>Electricity [kWh]</t>
        </is>
      </c>
      <c r="Y158" s="84" t="inlineStr">
        <is>
          <t>ShellEnergyAU</t>
        </is>
      </c>
      <c r="Z158" s="84" t="inlineStr">
        <is>
          <t>Asphalt Prod - Mowbray (360)</t>
        </is>
      </c>
      <c r="AA158" s="84" t="inlineStr">
        <is>
          <t>360</t>
        </is>
      </c>
      <c r="AB158" s="84" t="inlineStr">
        <is>
          <t>Active</t>
        </is>
      </c>
      <c r="AC158" s="84" t="inlineStr">
        <is>
          <t>Connection ID is the account number suffix</t>
        </is>
      </c>
      <c r="AD158" s="85" t="inlineStr">
        <is>
          <t>DEDI01_088_8000326927_CERTS; 103237106_8000326927; 1032371065_8000326927; 1032845591_8000326927; 20607160_8000326927; 206071600_8000326927</t>
        </is>
      </c>
      <c r="AE158" s="85" t="inlineStr">
        <is>
          <t>DEDI01_088_8000326927_CERTS (live)</t>
        </is>
      </c>
    </row>
    <row r="159" customFormat="1" s="72">
      <c r="A159" s="66" t="n">
        <v>8001000591</v>
      </c>
      <c r="B159" s="67" t="inlineStr">
        <is>
          <t>Electricity</t>
        </is>
      </c>
      <c r="C159" s="67" t="inlineStr">
        <is>
          <t>Australia</t>
        </is>
      </c>
      <c r="D159" s="67" t="inlineStr">
        <is>
          <t>WA</t>
        </is>
      </c>
      <c r="E159" s="67" t="inlineStr">
        <is>
          <t>AU Large Electricity</t>
        </is>
      </c>
      <c r="F159" s="67" t="inlineStr">
        <is>
          <t>Perth Convention &amp; Exhibition Centre</t>
        </is>
      </c>
      <c r="G159" s="67" t="inlineStr">
        <is>
          <t>Ua Lot 2 1 Mounts Bay Rd Perth Wa</t>
        </is>
      </c>
      <c r="H159" s="67" t="inlineStr">
        <is>
          <t>DOWNER EDI SERVICES PTY LTD (ABN: 71 137 732 042)</t>
        </is>
      </c>
      <c r="I159" s="67" t="inlineStr">
        <is>
          <t>SICS</t>
        </is>
      </c>
      <c r="J159" s="67" t="inlineStr">
        <is>
          <t>kWh</t>
        </is>
      </c>
      <c r="K159" s="86" t="n">
        <v>2400959.8</v>
      </c>
      <c r="L159" s="67" t="inlineStr">
        <is>
          <t>Alinta</t>
        </is>
      </c>
      <c r="M159" s="87" t="inlineStr">
        <is>
          <t>Alinta</t>
        </is>
      </c>
      <c r="N159" s="87" t="n">
        <v>46204</v>
      </c>
      <c r="O159" s="87" t="n">
        <v>46934</v>
      </c>
      <c r="P159" s="67" t="inlineStr">
        <is>
          <t>24 months</t>
        </is>
      </c>
      <c r="Q159" s="88">
        <f t="array" ref="Q159:S159">IFERROR(ROUNDUP(_xlfn.XLOOKUP(A159,'Budget FY26-28'!A:A,'Budget FY26-28'!M:O)*(1+Summary!$C$2), -2), "")</f>
        <v/>
      </c>
      <c r="R159" s="88" t="n">
        <v>786100</v>
      </c>
      <c r="S159" s="88" t="n">
        <v>786100</v>
      </c>
      <c r="T159" s="67" t="inlineStr">
        <is>
          <t>Ready</t>
        </is>
      </c>
      <c r="U159" s="71" t="n"/>
      <c r="V159" s="84" t="inlineStr">
        <is>
          <t>80013757_8001000591</t>
        </is>
      </c>
      <c r="W159" s="84" t="inlineStr">
        <is>
          <t>Electricity Large Market</t>
        </is>
      </c>
      <c r="X159" s="84" t="inlineStr">
        <is>
          <t>Electricity [kWh]</t>
        </is>
      </c>
      <c r="Y159" s="84" t="inlineStr">
        <is>
          <t>Alinta</t>
        </is>
      </c>
      <c r="Z159" s="84" t="inlineStr">
        <is>
          <t>LSE - Perth Convention &amp; Exhibition Centre (WA)</t>
        </is>
      </c>
      <c r="AA159" s="84" t="inlineStr">
        <is>
          <t>9068</t>
        </is>
      </c>
      <c r="AB159" s="84" t="inlineStr">
        <is>
          <t>Active</t>
        </is>
      </c>
      <c r="AC159" s="84" t="inlineStr">
        <is>
          <t>Connection ID is the account number suffix</t>
        </is>
      </c>
      <c r="AD159" s="85" t="inlineStr">
        <is>
          <t>80005748_8001000591</t>
        </is>
      </c>
      <c r="AE159" s="85" t="inlineStr"/>
    </row>
    <row r="160" customFormat="1" s="72">
      <c r="A160" s="66" t="n">
        <v>8001000592</v>
      </c>
      <c r="B160" s="67" t="inlineStr">
        <is>
          <t>Electricity</t>
        </is>
      </c>
      <c r="C160" s="67" t="inlineStr">
        <is>
          <t>Australia</t>
        </is>
      </c>
      <c r="D160" s="67" t="inlineStr">
        <is>
          <t>WA</t>
        </is>
      </c>
      <c r="E160" s="67" t="inlineStr">
        <is>
          <t>AU Large Electricity</t>
        </is>
      </c>
      <c r="F160" s="67" t="inlineStr">
        <is>
          <t>Perth Convention &amp; Exhibition Centre</t>
        </is>
      </c>
      <c r="G160" s="67" t="inlineStr">
        <is>
          <t>Ua Lot 2 1 Mounts Bay Rd Perth Wa</t>
        </is>
      </c>
      <c r="H160" s="67" t="inlineStr">
        <is>
          <t>DOWNER EDI SERVICES PTY LTD (ABN: 71 137 732 042)</t>
        </is>
      </c>
      <c r="I160" s="67" t="inlineStr">
        <is>
          <t>SICS</t>
        </is>
      </c>
      <c r="J160" s="67" t="inlineStr">
        <is>
          <t>kWh</t>
        </is>
      </c>
      <c r="K160" s="86" t="n">
        <v>2066442.3</v>
      </c>
      <c r="L160" s="67" t="inlineStr">
        <is>
          <t>Alinta</t>
        </is>
      </c>
      <c r="M160" s="87" t="inlineStr">
        <is>
          <t>Alinta</t>
        </is>
      </c>
      <c r="N160" s="87" t="n">
        <v>46204</v>
      </c>
      <c r="O160" s="87" t="n">
        <v>46934</v>
      </c>
      <c r="P160" s="67" t="inlineStr">
        <is>
          <t>24 months</t>
        </is>
      </c>
      <c r="Q160" s="88">
        <f t="array" ref="Q160:S160">IFERROR(ROUNDUP(_xlfn.XLOOKUP(A160,'Budget FY26-28'!A:A,'Budget FY26-28'!M:O)*(1+Summary!$C$2), -2), "")</f>
        <v/>
      </c>
      <c r="R160" s="88" t="n">
        <v>676600</v>
      </c>
      <c r="S160" s="88" t="n">
        <v>676600</v>
      </c>
      <c r="T160" s="67" t="inlineStr">
        <is>
          <t>Ready</t>
        </is>
      </c>
      <c r="U160" s="71" t="n"/>
      <c r="V160" s="84" t="inlineStr">
        <is>
          <t>80013758_8001000592</t>
        </is>
      </c>
      <c r="W160" s="84" t="inlineStr">
        <is>
          <t>Electricity Large Market</t>
        </is>
      </c>
      <c r="X160" s="84" t="inlineStr">
        <is>
          <t>Electricity [kWh]</t>
        </is>
      </c>
      <c r="Y160" s="84" t="inlineStr">
        <is>
          <t>Alinta</t>
        </is>
      </c>
      <c r="Z160" s="84" t="inlineStr">
        <is>
          <t>LSE - Perth Convention &amp; Exhibition Centre (WA)</t>
        </is>
      </c>
      <c r="AA160" s="84" t="inlineStr">
        <is>
          <t>9068</t>
        </is>
      </c>
      <c r="AB160" s="84" t="inlineStr">
        <is>
          <t>Active</t>
        </is>
      </c>
      <c r="AC160" s="84" t="inlineStr">
        <is>
          <t>Connection ID is the account number suffix</t>
        </is>
      </c>
      <c r="AD160" s="85" t="inlineStr">
        <is>
          <t>80007482_8001000592</t>
        </is>
      </c>
      <c r="AE160" s="85" t="inlineStr"/>
    </row>
    <row r="161" customFormat="1" s="72">
      <c r="A161" s="66" t="n">
        <v>8001010840</v>
      </c>
      <c r="B161" s="67" t="inlineStr">
        <is>
          <t>Electricity</t>
        </is>
      </c>
      <c r="C161" s="67" t="inlineStr">
        <is>
          <t>Australia</t>
        </is>
      </c>
      <c r="D161" s="67" t="inlineStr">
        <is>
          <t>WA</t>
        </is>
      </c>
      <c r="E161" s="67" t="inlineStr">
        <is>
          <t>AU Large Electricity</t>
        </is>
      </c>
      <c r="F161" s="67" t="inlineStr">
        <is>
          <t>Roads - Beckenham</t>
        </is>
      </c>
      <c r="G161" s="67" t="inlineStr">
        <is>
          <t>Lot 27, 53 Bickley Rd Beckenham</t>
        </is>
      </c>
      <c r="H161" s="67" t="inlineStr">
        <is>
          <t>DOWNER EDI SERVICES PTY LTD (ABN: 71 137 732 042)</t>
        </is>
      </c>
      <c r="I161" s="67" t="inlineStr">
        <is>
          <t>T&amp;I</t>
        </is>
      </c>
      <c r="J161" s="67" t="inlineStr">
        <is>
          <t>kWh</t>
        </is>
      </c>
      <c r="K161" s="86" t="n">
        <v>485627.715</v>
      </c>
      <c r="L161" s="67" t="inlineStr">
        <is>
          <t>Alinta</t>
        </is>
      </c>
      <c r="M161" s="87" t="inlineStr">
        <is>
          <t>Alinta</t>
        </is>
      </c>
      <c r="N161" s="87" t="n">
        <v>46204</v>
      </c>
      <c r="O161" s="87" t="n">
        <v>46934</v>
      </c>
      <c r="P161" s="67" t="inlineStr">
        <is>
          <t>24 months</t>
        </is>
      </c>
      <c r="Q161" s="88">
        <f t="array" ref="Q161:S161">IFERROR(ROUNDUP(_xlfn.XLOOKUP(A161,'Budget FY26-28'!A:A,'Budget FY26-28'!M:O)*(1+Summary!$C$2), -2), "")</f>
        <v/>
      </c>
      <c r="R161" s="88" t="n">
        <v>159000</v>
      </c>
      <c r="S161" s="88" t="n">
        <v>159000</v>
      </c>
      <c r="T161" s="67" t="inlineStr">
        <is>
          <t>Ready</t>
        </is>
      </c>
      <c r="U161" s="71" t="n"/>
      <c r="V161" s="84" t="inlineStr">
        <is>
          <t>80013752_8001010840</t>
        </is>
      </c>
      <c r="W161" s="84" t="inlineStr">
        <is>
          <t>Electricity Large Market</t>
        </is>
      </c>
      <c r="X161" s="84" t="inlineStr">
        <is>
          <t>Electricity [kWh]</t>
        </is>
      </c>
      <c r="Y161" s="84" t="inlineStr">
        <is>
          <t>Alinta</t>
        </is>
      </c>
      <c r="Z161" s="84" t="inlineStr">
        <is>
          <t>Cannington Emulsion Plant</t>
        </is>
      </c>
      <c r="AA161" s="84" t="inlineStr">
        <is>
          <t>39</t>
        </is>
      </c>
      <c r="AB161" s="84" t="inlineStr">
        <is>
          <t>Active</t>
        </is>
      </c>
      <c r="AC161" s="84" t="inlineStr">
        <is>
          <t>Connection ID is the account number suffix</t>
        </is>
      </c>
      <c r="AD161" s="85" t="inlineStr">
        <is>
          <t>80005436_8001010840</t>
        </is>
      </c>
      <c r="AE161" s="85" t="inlineStr"/>
    </row>
    <row r="162" customFormat="1" s="72">
      <c r="A162" s="66" t="n">
        <v>8001015167</v>
      </c>
      <c r="B162" s="67" t="inlineStr">
        <is>
          <t>Electricity</t>
        </is>
      </c>
      <c r="C162" s="67" t="inlineStr">
        <is>
          <t>Australia</t>
        </is>
      </c>
      <c r="D162" s="67" t="inlineStr">
        <is>
          <t>WA</t>
        </is>
      </c>
      <c r="E162" s="67" t="inlineStr">
        <is>
          <t>AU Large Electricity</t>
        </is>
      </c>
      <c r="F162" s="67" t="inlineStr">
        <is>
          <t>Roads - Maddington</t>
        </is>
      </c>
      <c r="G162" s="67" t="inlineStr">
        <is>
          <t>Lot 24 5 Marion Rd Maddington</t>
        </is>
      </c>
      <c r="H162" s="67" t="inlineStr">
        <is>
          <t>DOWNER EDI SERVICES PTY LTD (ABN: 71 137 732 042)</t>
        </is>
      </c>
      <c r="I162" s="67" t="inlineStr">
        <is>
          <t>T&amp;I</t>
        </is>
      </c>
      <c r="J162" s="67" t="inlineStr">
        <is>
          <t>kWh</t>
        </is>
      </c>
      <c r="K162" s="86" t="n">
        <v>170522.252</v>
      </c>
      <c r="L162" s="67" t="inlineStr">
        <is>
          <t>Alinta</t>
        </is>
      </c>
      <c r="M162" s="87" t="inlineStr">
        <is>
          <t>Alinta</t>
        </is>
      </c>
      <c r="N162" s="87" t="n">
        <v>46204</v>
      </c>
      <c r="O162" s="87" t="n">
        <v>46934</v>
      </c>
      <c r="P162" s="67" t="inlineStr">
        <is>
          <t>24 months</t>
        </is>
      </c>
      <c r="Q162" s="88">
        <f t="array" ref="Q162:S162">IFERROR(ROUNDUP(_xlfn.XLOOKUP(A162,'Budget FY26-28'!A:A,'Budget FY26-28'!M:O)*(1+Summary!$C$2), -2), "")</f>
        <v/>
      </c>
      <c r="R162" s="88" t="n">
        <v>55900</v>
      </c>
      <c r="S162" s="88" t="n">
        <v>55900</v>
      </c>
      <c r="T162" s="67" t="inlineStr">
        <is>
          <t>Ready</t>
        </is>
      </c>
      <c r="U162" s="71" t="n"/>
      <c r="V162" s="84" t="inlineStr">
        <is>
          <t>80013749_8001015167</t>
        </is>
      </c>
      <c r="W162" s="84" t="inlineStr">
        <is>
          <t>Electricity Large Market</t>
        </is>
      </c>
      <c r="X162" s="84" t="inlineStr">
        <is>
          <t>Electricity [kWh]</t>
        </is>
      </c>
      <c r="Y162" s="84" t="inlineStr">
        <is>
          <t>Alinta</t>
        </is>
      </c>
      <c r="Z162" s="84" t="inlineStr">
        <is>
          <t>Maddington - BIT</t>
        </is>
      </c>
      <c r="AA162" s="84" t="inlineStr">
        <is>
          <t>171</t>
        </is>
      </c>
      <c r="AB162" s="84" t="inlineStr">
        <is>
          <t>Active</t>
        </is>
      </c>
      <c r="AC162" s="84" t="inlineStr">
        <is>
          <t>Connection ID is the account number suffix</t>
        </is>
      </c>
      <c r="AD162" s="85" t="inlineStr">
        <is>
          <t>80005437_8001015167</t>
        </is>
      </c>
      <c r="AE162" s="85" t="inlineStr"/>
    </row>
    <row r="163" customFormat="1" s="72">
      <c r="A163" s="66" t="n">
        <v>8001016501</v>
      </c>
      <c r="B163" s="67" t="inlineStr">
        <is>
          <t>Electricity</t>
        </is>
      </c>
      <c r="C163" s="67" t="inlineStr">
        <is>
          <t>Australia</t>
        </is>
      </c>
      <c r="D163" s="67" t="inlineStr">
        <is>
          <t>WA</t>
        </is>
      </c>
      <c r="E163" s="67" t="inlineStr">
        <is>
          <t>AU Large Electricity</t>
        </is>
      </c>
      <c r="F163" s="67" t="inlineStr">
        <is>
          <t>Roads - Warrenup (Albany)</t>
        </is>
      </c>
      <c r="G163" s="67" t="inlineStr">
        <is>
          <t>Lot 6, 385 Rocky Crossing Rd Warrenup</t>
        </is>
      </c>
      <c r="H163" s="67" t="inlineStr">
        <is>
          <t>DOWNER EDI SERVICES PTY LTD (ABN: 71 137 732 042)</t>
        </is>
      </c>
      <c r="I163" s="67" t="inlineStr">
        <is>
          <t>T&amp;I</t>
        </is>
      </c>
      <c r="J163" s="67" t="inlineStr">
        <is>
          <t>kWh</t>
        </is>
      </c>
      <c r="K163" s="86" t="n">
        <v>203319.864</v>
      </c>
      <c r="L163" s="67" t="inlineStr">
        <is>
          <t>Alinta</t>
        </is>
      </c>
      <c r="M163" s="87" t="inlineStr">
        <is>
          <t>Alinta</t>
        </is>
      </c>
      <c r="N163" s="87" t="n">
        <v>46204</v>
      </c>
      <c r="O163" s="87" t="n">
        <v>46934</v>
      </c>
      <c r="P163" s="67" t="inlineStr">
        <is>
          <t>24 months</t>
        </is>
      </c>
      <c r="Q163" s="88">
        <f t="array" ref="Q163:S163">IFERROR(ROUNDUP(_xlfn.XLOOKUP(A163,'Budget FY26-28'!A:A,'Budget FY26-28'!M:O)*(1+Summary!$C$2), -2), "")</f>
        <v/>
      </c>
      <c r="R163" s="88" t="n">
        <v>66600</v>
      </c>
      <c r="S163" s="88" t="n">
        <v>66600</v>
      </c>
      <c r="T163" s="67" t="inlineStr">
        <is>
          <t>Ready</t>
        </is>
      </c>
      <c r="U163" s="71" t="n"/>
      <c r="V163" s="84" t="inlineStr">
        <is>
          <t>80013750_8001016501</t>
        </is>
      </c>
      <c r="W163" s="84" t="inlineStr">
        <is>
          <t>Electricity Large Market</t>
        </is>
      </c>
      <c r="X163" s="84" t="inlineStr">
        <is>
          <t>Electricity [kWh]</t>
        </is>
      </c>
      <c r="Y163" s="84" t="inlineStr">
        <is>
          <t>Alinta</t>
        </is>
      </c>
      <c r="Z163" s="84" t="inlineStr">
        <is>
          <t>Asphalt Prod - Albany (601)</t>
        </is>
      </c>
      <c r="AA163" s="84" t="inlineStr">
        <is>
          <t>601</t>
        </is>
      </c>
      <c r="AB163" s="84" t="inlineStr">
        <is>
          <t>Active</t>
        </is>
      </c>
      <c r="AC163" s="84" t="inlineStr">
        <is>
          <t>Connection ID is the account number suffix</t>
        </is>
      </c>
      <c r="AD163" s="85" t="inlineStr">
        <is>
          <t>80003702_8001016501</t>
        </is>
      </c>
      <c r="AE163" s="85" t="inlineStr"/>
    </row>
    <row r="164" customFormat="1" s="72">
      <c r="A164" s="66" t="n">
        <v>8001356541</v>
      </c>
      <c r="B164" s="67" t="inlineStr">
        <is>
          <t>Electricity</t>
        </is>
      </c>
      <c r="C164" s="67" t="inlineStr">
        <is>
          <t>Australia</t>
        </is>
      </c>
      <c r="D164" s="67" t="inlineStr">
        <is>
          <t>WA</t>
        </is>
      </c>
      <c r="E164" s="67" t="inlineStr">
        <is>
          <t>AU Large Electricity</t>
        </is>
      </c>
      <c r="F164" s="67" t="inlineStr">
        <is>
          <t>Roads - Narngulu (Geraldton)</t>
        </is>
      </c>
      <c r="G164" s="67" t="inlineStr">
        <is>
          <t>Lot 13 Gould St Narngulu</t>
        </is>
      </c>
      <c r="H164" s="67" t="inlineStr">
        <is>
          <t>DOWNER EDI SERVICES PTY LTD (ABN: 71 137 732 042)</t>
        </is>
      </c>
      <c r="I164" s="67" t="inlineStr">
        <is>
          <t>T&amp;I</t>
        </is>
      </c>
      <c r="J164" s="67" t="inlineStr">
        <is>
          <t>kWh</t>
        </is>
      </c>
      <c r="K164" s="86" t="n">
        <v>34456.176</v>
      </c>
      <c r="L164" s="67" t="inlineStr">
        <is>
          <t>Alinta</t>
        </is>
      </c>
      <c r="M164" s="87" t="inlineStr">
        <is>
          <t>Alinta</t>
        </is>
      </c>
      <c r="N164" s="87" t="n">
        <v>46204</v>
      </c>
      <c r="O164" s="87" t="n">
        <v>46934</v>
      </c>
      <c r="P164" s="67" t="inlineStr">
        <is>
          <t>24 months</t>
        </is>
      </c>
      <c r="Q164" s="88">
        <f t="array" ref="Q164:S164">IFERROR(ROUNDUP(_xlfn.XLOOKUP(A164,'Budget FY26-28'!A:A,'Budget FY26-28'!M:O)*(1+Summary!$C$2), -2), "")</f>
        <v/>
      </c>
      <c r="R164" s="88" t="n">
        <v>11400</v>
      </c>
      <c r="S164" s="88" t="n">
        <v>11400</v>
      </c>
      <c r="T164" s="67" t="inlineStr">
        <is>
          <t>Ready</t>
        </is>
      </c>
      <c r="U164" s="71" t="n"/>
      <c r="V164" s="84" t="inlineStr">
        <is>
          <t>80013754_8001356541</t>
        </is>
      </c>
      <c r="W164" s="84" t="inlineStr">
        <is>
          <t>Electricity Large Market</t>
        </is>
      </c>
      <c r="X164" s="84" t="inlineStr">
        <is>
          <t>Electricity [kWh]</t>
        </is>
      </c>
      <c r="Y164" s="84" t="inlineStr">
        <is>
          <t>Alinta</t>
        </is>
      </c>
      <c r="Z164" s="84" t="inlineStr">
        <is>
          <t>Asphalt Prod - Geraldton (602)</t>
        </is>
      </c>
      <c r="AA164" s="84" t="inlineStr">
        <is>
          <t>602</t>
        </is>
      </c>
      <c r="AB164" s="84" t="inlineStr">
        <is>
          <t>Active</t>
        </is>
      </c>
      <c r="AC164" s="84" t="inlineStr">
        <is>
          <t>Connection ID is the account number suffix</t>
        </is>
      </c>
      <c r="AD164" s="85" t="inlineStr">
        <is>
          <t>80005435_8001356541</t>
        </is>
      </c>
      <c r="AE164" s="85" t="inlineStr"/>
    </row>
    <row r="165" customFormat="1" s="72">
      <c r="A165" s="66" t="n">
        <v>8002193716</v>
      </c>
      <c r="B165" s="67" t="inlineStr">
        <is>
          <t>Electricity</t>
        </is>
      </c>
      <c r="C165" s="67" t="inlineStr">
        <is>
          <t>Australia</t>
        </is>
      </c>
      <c r="D165" s="67" t="inlineStr">
        <is>
          <t>WA</t>
        </is>
      </c>
      <c r="E165" s="67" t="inlineStr">
        <is>
          <t>AU Large Electricity</t>
        </is>
      </c>
      <c r="F165" s="67" t="inlineStr">
        <is>
          <t>Roads - Hope Valley</t>
        </is>
      </c>
      <c r="G165" s="67" t="inlineStr">
        <is>
          <t>8 Hoyle Rd</t>
        </is>
      </c>
      <c r="H165" s="67" t="inlineStr">
        <is>
          <t>DOWNER EDI SERVICES PTY LTD (ABN: 71 137 732 042)</t>
        </is>
      </c>
      <c r="I165" s="67" t="inlineStr">
        <is>
          <t>T&amp;I</t>
        </is>
      </c>
      <c r="J165" s="67" t="inlineStr">
        <is>
          <t>kWh</t>
        </is>
      </c>
      <c r="K165" s="86" t="n">
        <v>555826.23</v>
      </c>
      <c r="L165" s="67" t="inlineStr">
        <is>
          <t>Alinta</t>
        </is>
      </c>
      <c r="M165" s="87" t="inlineStr">
        <is>
          <t>Alinta</t>
        </is>
      </c>
      <c r="N165" s="87" t="n">
        <v>46204</v>
      </c>
      <c r="O165" s="87" t="n">
        <v>46934</v>
      </c>
      <c r="P165" s="67" t="inlineStr">
        <is>
          <t>24 months</t>
        </is>
      </c>
      <c r="Q165" s="88">
        <f t="array" ref="Q165:S165">IFERROR(ROUNDUP(_xlfn.XLOOKUP(A165,'Budget FY26-28'!A:A,'Budget FY26-28'!M:O)*(1+Summary!$C$2), -2), "")</f>
        <v/>
      </c>
      <c r="R165" s="88" t="n">
        <v>182000</v>
      </c>
      <c r="S165" s="88" t="n">
        <v>182000</v>
      </c>
      <c r="T165" s="67" t="inlineStr">
        <is>
          <t>Ready</t>
        </is>
      </c>
      <c r="U165" s="71" t="n"/>
      <c r="V165" s="84" t="inlineStr">
        <is>
          <t>80013755_8002193716</t>
        </is>
      </c>
      <c r="W165" s="84" t="inlineStr">
        <is>
          <t>Electricity Large Market</t>
        </is>
      </c>
      <c r="X165" s="84" t="inlineStr">
        <is>
          <t>Electricity [kWh]</t>
        </is>
      </c>
      <c r="Y165" s="84" t="inlineStr">
        <is>
          <t>Alinta</t>
        </is>
      </c>
      <c r="Z165" s="84" t="inlineStr">
        <is>
          <t>Asphalt Prod - Hope Valley (628)</t>
        </is>
      </c>
      <c r="AA165" s="84" t="inlineStr">
        <is>
          <t>628</t>
        </is>
      </c>
      <c r="AB165" s="84" t="inlineStr">
        <is>
          <t>Active</t>
        </is>
      </c>
      <c r="AC165" s="84" t="inlineStr">
        <is>
          <t>Connection ID is the account number suffix</t>
        </is>
      </c>
      <c r="AD165" s="85" t="inlineStr">
        <is>
          <t>80010451_8002193716</t>
        </is>
      </c>
      <c r="AE165" s="85" t="inlineStr"/>
    </row>
    <row r="166" customFormat="1" s="72">
      <c r="A166" s="66" t="inlineStr">
        <is>
          <t>0000004290DEF89</t>
        </is>
      </c>
      <c r="B166" s="67" t="inlineStr">
        <is>
          <t>Electricity</t>
        </is>
      </c>
      <c r="C166" s="67" t="inlineStr">
        <is>
          <t>New Zealand</t>
        </is>
      </c>
      <c r="D166" s="67" t="inlineStr">
        <is>
          <t>South Island</t>
        </is>
      </c>
      <c r="E166" s="67" t="inlineStr">
        <is>
          <t>NZ NTOU Electricity</t>
        </is>
      </c>
      <c r="F166" s="67" t="n"/>
      <c r="G166" s="67" t="inlineStr">
        <is>
          <t>11 Irmo Street,Green Island,Dunedin,Otago Region</t>
        </is>
      </c>
      <c r="H166" s="67" t="inlineStr">
        <is>
          <t>DOWNER NEW ZEALAND LIMITED (NZBN: 9429039194114)</t>
        </is>
      </c>
      <c r="I166" s="67" t="n"/>
      <c r="J166" s="67" t="inlineStr">
        <is>
          <t>kWh</t>
        </is>
      </c>
      <c r="K166" s="86" t="n">
        <v>156484.0425531915</v>
      </c>
      <c r="L166" s="67" t="inlineStr">
        <is>
          <t>Meridian</t>
        </is>
      </c>
      <c r="M166" s="87" t="inlineStr">
        <is>
          <t>Ecotricity</t>
        </is>
      </c>
      <c r="N166" s="87" t="n">
        <v>46388</v>
      </c>
      <c r="O166" s="87" t="n">
        <v>47483</v>
      </c>
      <c r="P166" s="67" t="inlineStr">
        <is>
          <t>36 months</t>
        </is>
      </c>
      <c r="Q166" s="88">
        <f t="array" ref="Q166:S166">IFERROR(ROUNDUP(_xlfn.XLOOKUP(A166,'Budget FY26-28'!A:A,'Budget FY26-28'!M:O)*(1+Summary!$C$2), -2), "")</f>
        <v/>
      </c>
      <c r="R166" s="88" t="n">
        <v>33800</v>
      </c>
      <c r="S166" s="88" t="n">
        <v>33800</v>
      </c>
      <c r="T166" s="67" t="inlineStr">
        <is>
          <t>Ready</t>
        </is>
      </c>
      <c r="U166" s="71" t="n"/>
      <c r="V166" s="84" t="inlineStr">
        <is>
          <t>5026_ICP_0000004290DEF89</t>
        </is>
      </c>
      <c r="W166" s="84" t="inlineStr">
        <is>
          <t>Electricity – purchased from grid [kWh]</t>
        </is>
      </c>
      <c r="X166" s="84" t="inlineStr">
        <is>
          <t>Electricity [kWh]</t>
        </is>
      </c>
      <c r="Y166" s="84" t="inlineStr">
        <is>
          <t>Downer</t>
        </is>
      </c>
      <c r="Z166" s="84" t="inlineStr">
        <is>
          <t>_CLOSED_Depot_T_Dunedin (Green Island)</t>
        </is>
      </c>
      <c r="AA166" s="84" t="inlineStr">
        <is>
          <t>5026</t>
        </is>
      </c>
      <c r="AB166" s="84" t="inlineStr">
        <is>
          <t>Replaced 30 Jun 2022</t>
        </is>
      </c>
      <c r="AC166" s="84" t="inlineStr">
        <is>
          <t>Connection ID is the account number suffix</t>
        </is>
      </c>
      <c r="AD166" s="85" t="inlineStr">
        <is>
          <t>55660_ICP_0000004290DEF89</t>
        </is>
      </c>
      <c r="AE166" s="85" t="inlineStr"/>
    </row>
    <row r="167" customFormat="1" s="72">
      <c r="A167" s="66" t="inlineStr">
        <is>
          <t>0000017346CEE5A</t>
        </is>
      </c>
      <c r="B167" s="67" t="inlineStr">
        <is>
          <t>Electricity</t>
        </is>
      </c>
      <c r="C167" s="67" t="inlineStr">
        <is>
          <t>New Zealand</t>
        </is>
      </c>
      <c r="D167" s="67" t="inlineStr">
        <is>
          <t>South Island</t>
        </is>
      </c>
      <c r="E167" s="67" t="inlineStr">
        <is>
          <t>NZ NTOU Electricity</t>
        </is>
      </c>
      <c r="F167" s="67" t="n"/>
      <c r="G167" s="67" t="inlineStr">
        <is>
          <t>46 Robins Road,Queenstown,Otago Region</t>
        </is>
      </c>
      <c r="H167" s="67" t="inlineStr">
        <is>
          <t>DOWNER NEW ZEALAND LIMITED (NZBN: 9429039194114)</t>
        </is>
      </c>
      <c r="I167" s="67" t="n"/>
      <c r="J167" s="67" t="inlineStr">
        <is>
          <t>kWh</t>
        </is>
      </c>
      <c r="K167" s="86" t="n">
        <v>7626.170212765958</v>
      </c>
      <c r="L167" s="67" t="inlineStr">
        <is>
          <t>Meridian</t>
        </is>
      </c>
      <c r="M167" s="87" t="inlineStr">
        <is>
          <t>Ecotricity</t>
        </is>
      </c>
      <c r="N167" s="87" t="n">
        <v>46388</v>
      </c>
      <c r="O167" s="87" t="n">
        <v>47483</v>
      </c>
      <c r="P167" s="67" t="inlineStr">
        <is>
          <t>36 months</t>
        </is>
      </c>
      <c r="Q167" s="88">
        <f t="array" ref="Q167:S167">IFERROR(ROUNDUP(_xlfn.XLOOKUP(A167,'Budget FY26-28'!A:A,'Budget FY26-28'!M:O)*(1+Summary!$C$2), -2), "")</f>
        <v/>
      </c>
      <c r="R167" s="88" t="n">
        <v>2100</v>
      </c>
      <c r="S167" s="88" t="n">
        <v>2100</v>
      </c>
      <c r="T167" s="67" t="inlineStr">
        <is>
          <t>Ready</t>
        </is>
      </c>
      <c r="U167" s="71" t="n"/>
      <c r="V167" s="84" t="inlineStr">
        <is>
          <t>Not found</t>
        </is>
      </c>
      <c r="W167" s="84" t="inlineStr"/>
      <c r="X167" s="84" t="inlineStr"/>
      <c r="Y167" s="84" t="inlineStr"/>
      <c r="Z167" s="84" t="inlineStr"/>
      <c r="AA167" s="84" t="inlineStr"/>
      <c r="AB167" s="84" t="inlineStr"/>
      <c r="AC167" s="84" t="inlineStr">
        <is>
          <t>No Envizi account ends in this Connection ID</t>
        </is>
      </c>
      <c r="AD167" s="85" t="inlineStr"/>
      <c r="AE167" s="85" t="inlineStr"/>
    </row>
    <row r="168" customFormat="1" s="72">
      <c r="A168" s="66" t="inlineStr">
        <is>
          <t>0000024744TR7DE</t>
        </is>
      </c>
      <c r="B168" s="67" t="inlineStr">
        <is>
          <t>Electricity</t>
        </is>
      </c>
      <c r="C168" s="67" t="inlineStr">
        <is>
          <t>New Zealand</t>
        </is>
      </c>
      <c r="D168" s="67" t="inlineStr">
        <is>
          <t>North Island</t>
        </is>
      </c>
      <c r="E168" s="67" t="inlineStr">
        <is>
          <t>NZ NTOU Electricity</t>
        </is>
      </c>
      <c r="F168" s="67" t="n"/>
      <c r="G168" s="67" t="inlineStr">
        <is>
          <t>101 Port Road,Seaview,Lower Hutt,Wellington Region</t>
        </is>
      </c>
      <c r="H168" s="67" t="inlineStr">
        <is>
          <t>DOWNER NEW ZEALAND LIMITED (NZBN: 9429039194114)</t>
        </is>
      </c>
      <c r="I168" s="67" t="n"/>
      <c r="J168" s="67" t="inlineStr">
        <is>
          <t>kWh</t>
        </is>
      </c>
      <c r="K168" s="86" t="n">
        <v>105784.4208037825</v>
      </c>
      <c r="L168" s="67" t="inlineStr">
        <is>
          <t>Meridian</t>
        </is>
      </c>
      <c r="M168" s="87" t="inlineStr">
        <is>
          <t>Ecotricity</t>
        </is>
      </c>
      <c r="N168" s="87" t="n">
        <v>46388</v>
      </c>
      <c r="O168" s="87" t="n">
        <v>47483</v>
      </c>
      <c r="P168" s="67" t="inlineStr">
        <is>
          <t>36 months</t>
        </is>
      </c>
      <c r="Q168" s="88">
        <f t="array" ref="Q168:S168">IFERROR(ROUNDUP(_xlfn.XLOOKUP(A168,'Budget FY26-28'!A:A,'Budget FY26-28'!M:O)*(1+Summary!$C$2), -2), "")</f>
        <v/>
      </c>
      <c r="R168" s="88" t="n">
        <v>28400</v>
      </c>
      <c r="S168" s="88" t="n">
        <v>28400</v>
      </c>
      <c r="T168" s="67" t="inlineStr">
        <is>
          <t>Ready</t>
        </is>
      </c>
      <c r="U168" s="71" t="n"/>
      <c r="V168" s="84" t="inlineStr">
        <is>
          <t>5002_ICP_0000024744TR7DE</t>
        </is>
      </c>
      <c r="W168" s="84" t="inlineStr">
        <is>
          <t>Electricity – purchased from grid [kWh]</t>
        </is>
      </c>
      <c r="X168" s="84" t="inlineStr">
        <is>
          <t>Electricity [kWh]</t>
        </is>
      </c>
      <c r="Y168" s="84" t="inlineStr">
        <is>
          <t>Downer</t>
        </is>
      </c>
      <c r="Z168" s="84" t="inlineStr">
        <is>
          <t>_CLOSED_Recharges_HO_P&amp;G</t>
        </is>
      </c>
      <c r="AA168" s="84" t="inlineStr">
        <is>
          <t>5002</t>
        </is>
      </c>
      <c r="AB168" s="84" t="inlineStr">
        <is>
          <t>Replaced 30 Jun 2022</t>
        </is>
      </c>
      <c r="AC168" s="84" t="inlineStr">
        <is>
          <t>Connection ID is the account number suffix</t>
        </is>
      </c>
      <c r="AD168" s="85" t="inlineStr">
        <is>
          <t>9009_ICP_0000024744TR7DE</t>
        </is>
      </c>
      <c r="AE168" s="85" t="inlineStr"/>
    </row>
    <row r="169" customFormat="1" s="72">
      <c r="A169" s="66" t="inlineStr">
        <is>
          <t>0000025040UN2AE</t>
        </is>
      </c>
      <c r="B169" s="67" t="inlineStr">
        <is>
          <t>Electricity</t>
        </is>
      </c>
      <c r="C169" s="67" t="inlineStr">
        <is>
          <t>New Zealand</t>
        </is>
      </c>
      <c r="D169" s="67" t="inlineStr">
        <is>
          <t>North Island</t>
        </is>
      </c>
      <c r="E169" s="67" t="inlineStr">
        <is>
          <t>NZ NTOU Electricity</t>
        </is>
      </c>
      <c r="F169" s="67" t="n"/>
      <c r="G169" s="67" t="inlineStr">
        <is>
          <t>710 Wharf Road,Coromandel,Waikato Region</t>
        </is>
      </c>
      <c r="H169" s="67" t="inlineStr">
        <is>
          <t>DOWNER NEW ZEALAND LIMITED (NZBN: 9429039194114)</t>
        </is>
      </c>
      <c r="I169" s="67" t="n"/>
      <c r="J169" s="67" t="inlineStr">
        <is>
          <t>kWh</t>
        </is>
      </c>
      <c r="K169" s="86" t="n">
        <v>14808.81796690307</v>
      </c>
      <c r="L169" s="67" t="inlineStr">
        <is>
          <t>Meridian</t>
        </is>
      </c>
      <c r="M169" s="87" t="inlineStr">
        <is>
          <t>Ecotricity</t>
        </is>
      </c>
      <c r="N169" s="87" t="n">
        <v>46388</v>
      </c>
      <c r="O169" s="87" t="n">
        <v>47483</v>
      </c>
      <c r="P169" s="67" t="inlineStr">
        <is>
          <t>36 months</t>
        </is>
      </c>
      <c r="Q169" s="88">
        <f t="array" ref="Q169:S169">IFERROR(ROUNDUP(_xlfn.XLOOKUP(A169,'Budget FY26-28'!A:A,'Budget FY26-28'!M:O)*(1+Summary!$C$2), -2), "")</f>
        <v/>
      </c>
      <c r="R169" s="88" t="n">
        <v>5800</v>
      </c>
      <c r="S169" s="88" t="n">
        <v>5800</v>
      </c>
      <c r="T169" s="67" t="inlineStr">
        <is>
          <t>Ready</t>
        </is>
      </c>
      <c r="U169" s="71" t="n"/>
      <c r="V169" s="84" t="inlineStr">
        <is>
          <t>5002_ICP_0000025040UN2AE</t>
        </is>
      </c>
      <c r="W169" s="84" t="inlineStr">
        <is>
          <t>Electricity – purchased from grid [kWh]</t>
        </is>
      </c>
      <c r="X169" s="84" t="inlineStr">
        <is>
          <t>Electricity [kWh]</t>
        </is>
      </c>
      <c r="Y169" s="84" t="inlineStr">
        <is>
          <t>Downer</t>
        </is>
      </c>
      <c r="Z169" s="84" t="inlineStr">
        <is>
          <t>_CLOSED_Recharges_HO_P&amp;G</t>
        </is>
      </c>
      <c r="AA169" s="84" t="inlineStr">
        <is>
          <t>5002</t>
        </is>
      </c>
      <c r="AB169" s="84" t="inlineStr">
        <is>
          <t>Replaced 30 Jun 2022</t>
        </is>
      </c>
      <c r="AC169" s="84" t="inlineStr">
        <is>
          <t>Connection ID is the account number suffix</t>
        </is>
      </c>
      <c r="AD169" s="85" t="inlineStr">
        <is>
          <t>9009_ICP_0000025040UN2AE</t>
        </is>
      </c>
      <c r="AE169" s="85" t="inlineStr"/>
    </row>
    <row r="170" customFormat="1" s="72">
      <c r="A170" s="66" t="inlineStr">
        <is>
          <t>0000028649TRA01</t>
        </is>
      </c>
      <c r="B170" s="67" t="inlineStr">
        <is>
          <t>Electricity</t>
        </is>
      </c>
      <c r="C170" s="67" t="inlineStr">
        <is>
          <t>New Zealand</t>
        </is>
      </c>
      <c r="D170" s="67" t="inlineStr">
        <is>
          <t>North Island</t>
        </is>
      </c>
      <c r="E170" s="67" t="inlineStr">
        <is>
          <t>NZ NTOU Electricity</t>
        </is>
      </c>
      <c r="F170" s="67" t="n"/>
      <c r="G170" s="67" t="inlineStr">
        <is>
          <t>26 Bracken Street,Petone,Lower Hutt,Wellington Region</t>
        </is>
      </c>
      <c r="H170" s="67" t="inlineStr">
        <is>
          <t>DOWNER NEW ZEALAND LIMITED (NZBN: 9429039194114)</t>
        </is>
      </c>
      <c r="I170" s="67" t="n"/>
      <c r="J170" s="67" t="inlineStr">
        <is>
          <t>kWh</t>
        </is>
      </c>
      <c r="K170" s="86" t="n">
        <v>24229.78723404255</v>
      </c>
      <c r="L170" s="67" t="inlineStr">
        <is>
          <t>Meridian</t>
        </is>
      </c>
      <c r="M170" s="87" t="inlineStr">
        <is>
          <t>Ecotricity</t>
        </is>
      </c>
      <c r="N170" s="87" t="n">
        <v>46388</v>
      </c>
      <c r="O170" s="87" t="n">
        <v>47483</v>
      </c>
      <c r="P170" s="67" t="inlineStr">
        <is>
          <t>36 months</t>
        </is>
      </c>
      <c r="Q170" s="88">
        <f t="array" ref="Q170:S170">IFERROR(ROUNDUP(_xlfn.XLOOKUP(A170,'Budget FY26-28'!A:A,'Budget FY26-28'!M:O)*(1+Summary!$C$2), -2), "")</f>
        <v/>
      </c>
      <c r="R170" s="88" t="n">
        <v>8200</v>
      </c>
      <c r="S170" s="88" t="n">
        <v>8200</v>
      </c>
      <c r="T170" s="67" t="inlineStr">
        <is>
          <t>Ready</t>
        </is>
      </c>
      <c r="U170" s="71" t="n"/>
      <c r="V170" s="84" t="inlineStr">
        <is>
          <t>5040_ICP_0000028649TRA01</t>
        </is>
      </c>
      <c r="W170" s="84" t="inlineStr">
        <is>
          <t>Electricity – purchased from grid [kWh]</t>
        </is>
      </c>
      <c r="X170" s="84" t="inlineStr">
        <is>
          <t>Electricity [kWh]</t>
        </is>
      </c>
      <c r="Y170" s="84" t="inlineStr">
        <is>
          <t>Downer</t>
        </is>
      </c>
      <c r="Z170" s="84" t="inlineStr">
        <is>
          <t>_CLOSED_Depot_T_Lower Hutt</t>
        </is>
      </c>
      <c r="AA170" s="84" t="inlineStr">
        <is>
          <t>5040</t>
        </is>
      </c>
      <c r="AB170" s="84" t="inlineStr">
        <is>
          <t>Replaced 30 Jun 2022</t>
        </is>
      </c>
      <c r="AC170" s="84" t="inlineStr">
        <is>
          <t>Connection ID is the account number suffix</t>
        </is>
      </c>
      <c r="AD170" s="85" t="inlineStr">
        <is>
          <t>91266_ICP_0000028649TRA01</t>
        </is>
      </c>
      <c r="AE170" s="85" t="inlineStr"/>
    </row>
    <row r="171" customFormat="1" s="72">
      <c r="A171" s="66" t="inlineStr">
        <is>
          <t>0000029575HBC93</t>
        </is>
      </c>
      <c r="B171" s="67" t="inlineStr">
        <is>
          <t>Electricity</t>
        </is>
      </c>
      <c r="C171" s="67" t="inlineStr">
        <is>
          <t>New Zealand</t>
        </is>
      </c>
      <c r="D171" s="67" t="inlineStr">
        <is>
          <t>North Island</t>
        </is>
      </c>
      <c r="E171" s="67" t="inlineStr">
        <is>
          <t>NZ NTOU Electricity</t>
        </is>
      </c>
      <c r="F171" s="67" t="n"/>
      <c r="G171" s="67" t="inlineStr">
        <is>
          <t>1436 Omahu Road,Twyford,Hawke's Bay Region</t>
        </is>
      </c>
      <c r="H171" s="67" t="inlineStr">
        <is>
          <t>DOWNER NEW ZEALAND LIMITED (NZBN: 9429039194114)</t>
        </is>
      </c>
      <c r="I171" s="67" t="n"/>
      <c r="J171" s="67" t="inlineStr">
        <is>
          <t>kWh</t>
        </is>
      </c>
      <c r="K171" s="86" t="n">
        <v>87933.14858490566</v>
      </c>
      <c r="L171" s="67" t="inlineStr">
        <is>
          <t>Meridian</t>
        </is>
      </c>
      <c r="M171" s="87" t="inlineStr">
        <is>
          <t>Ecotricity</t>
        </is>
      </c>
      <c r="N171" s="87" t="n">
        <v>46388</v>
      </c>
      <c r="O171" s="87" t="n">
        <v>47483</v>
      </c>
      <c r="P171" s="67" t="inlineStr">
        <is>
          <t>36 months</t>
        </is>
      </c>
      <c r="Q171" s="88">
        <f t="array" ref="Q171:S171">IFERROR(ROUNDUP(_xlfn.XLOOKUP(A171,'Budget FY26-28'!A:A,'Budget FY26-28'!M:O)*(1+Summary!$C$2), -2), "")</f>
        <v/>
      </c>
      <c r="R171" s="88" t="n">
        <v>26800</v>
      </c>
      <c r="S171" s="88" t="n">
        <v>26800</v>
      </c>
      <c r="T171" s="67" t="inlineStr">
        <is>
          <t>Ready</t>
        </is>
      </c>
      <c r="U171" s="71" t="n"/>
      <c r="V171" s="84" t="inlineStr">
        <is>
          <t>5032_ICP_0000029575HBC93</t>
        </is>
      </c>
      <c r="W171" s="84" t="inlineStr">
        <is>
          <t>Electricity – purchased from grid [kWh]</t>
        </is>
      </c>
      <c r="X171" s="84" t="inlineStr">
        <is>
          <t>Electricity [kWh]</t>
        </is>
      </c>
      <c r="Y171" s="84" t="inlineStr">
        <is>
          <t>Downer</t>
        </is>
      </c>
      <c r="Z171" s="84" t="inlineStr">
        <is>
          <t>_CLOSED_Depot_T_Hastings</t>
        </is>
      </c>
      <c r="AA171" s="84" t="inlineStr">
        <is>
          <t>5032</t>
        </is>
      </c>
      <c r="AB171" s="84" t="inlineStr">
        <is>
          <t>Replaced 30 Jun 2022</t>
        </is>
      </c>
      <c r="AC171" s="84" t="inlineStr">
        <is>
          <t>Connection ID is the account number suffix</t>
        </is>
      </c>
      <c r="AD171" s="85" t="inlineStr">
        <is>
          <t>55582_ICP_0000029575HBC93</t>
        </is>
      </c>
      <c r="AE171" s="85" t="inlineStr"/>
    </row>
    <row r="172" customFormat="1" s="72">
      <c r="A172" s="66" t="inlineStr">
        <is>
          <t>0000029746CH3C0</t>
        </is>
      </c>
      <c r="B172" s="67" t="inlineStr">
        <is>
          <t>Electricity</t>
        </is>
      </c>
      <c r="C172" s="67" t="inlineStr">
        <is>
          <t>New Zealand</t>
        </is>
      </c>
      <c r="D172" s="67" t="inlineStr">
        <is>
          <t>North Island</t>
        </is>
      </c>
      <c r="E172" s="67" t="inlineStr">
        <is>
          <t>NZ NTOU Electricity</t>
        </is>
      </c>
      <c r="F172" s="67" t="n"/>
      <c r="G172" s="67" t="inlineStr">
        <is>
          <t>Tamumu Road,Waipawa</t>
        </is>
      </c>
      <c r="H172" s="67" t="inlineStr">
        <is>
          <t>DOWNER NEW ZEALAND LIMITED (NZBN: 9429039194114)</t>
        </is>
      </c>
      <c r="I172" s="67" t="n"/>
      <c r="J172" s="67" t="inlineStr">
        <is>
          <t>kWh</t>
        </is>
      </c>
      <c r="K172" s="86" t="n">
        <v>15205.74468085106</v>
      </c>
      <c r="L172" s="67" t="inlineStr">
        <is>
          <t>Meridian</t>
        </is>
      </c>
      <c r="M172" s="87" t="inlineStr">
        <is>
          <t>Ecotricity</t>
        </is>
      </c>
      <c r="N172" s="87" t="n">
        <v>46388</v>
      </c>
      <c r="O172" s="87" t="n">
        <v>47483</v>
      </c>
      <c r="P172" s="67" t="inlineStr">
        <is>
          <t>36 months</t>
        </is>
      </c>
      <c r="Q172" s="88">
        <f t="array" ref="Q172:S172">IFERROR(ROUNDUP(_xlfn.XLOOKUP(A172,'Budget FY26-28'!A:A,'Budget FY26-28'!M:O)*(1+Summary!$C$2), -2), "")</f>
        <v/>
      </c>
      <c r="R172" s="88" t="n">
        <v>7100</v>
      </c>
      <c r="S172" s="88" t="n">
        <v>7100</v>
      </c>
      <c r="T172" s="67" t="inlineStr">
        <is>
          <t>Ready</t>
        </is>
      </c>
      <c r="U172" s="71" t="n"/>
      <c r="V172" s="84" t="inlineStr">
        <is>
          <t>5009_ICP_0000029746CH3C0</t>
        </is>
      </c>
      <c r="W172" s="84" t="inlineStr">
        <is>
          <t>Electricity – purchased from grid [kWh]</t>
        </is>
      </c>
      <c r="X172" s="84" t="inlineStr">
        <is>
          <t>Electricity [kWh]</t>
        </is>
      </c>
      <c r="Y172" s="84" t="inlineStr">
        <is>
          <t>Downer</t>
        </is>
      </c>
      <c r="Z172" s="84" t="inlineStr">
        <is>
          <t>_CLOSED_Support_Corp_Property</t>
        </is>
      </c>
      <c r="AA172" s="84" t="inlineStr">
        <is>
          <t>L9.DNZJ.9030</t>
        </is>
      </c>
      <c r="AB172" s="84" t="inlineStr">
        <is>
          <t>Replaced 30 Jun 2022</t>
        </is>
      </c>
      <c r="AC172" s="84" t="inlineStr">
        <is>
          <t>Connection ID is the account number suffix</t>
        </is>
      </c>
      <c r="AD172" s="85" t="inlineStr">
        <is>
          <t>91001_ICP_0000029746CH3C0</t>
        </is>
      </c>
      <c r="AE172" s="85" t="inlineStr"/>
    </row>
    <row r="173" customFormat="1" s="72">
      <c r="A173" s="66" t="inlineStr">
        <is>
          <t>0000030443TR776</t>
        </is>
      </c>
      <c r="B173" s="67" t="inlineStr">
        <is>
          <t>Electricity</t>
        </is>
      </c>
      <c r="C173" s="67" t="inlineStr">
        <is>
          <t>New Zealand</t>
        </is>
      </c>
      <c r="D173" s="67" t="inlineStr">
        <is>
          <t>North Island</t>
        </is>
      </c>
      <c r="E173" s="67" t="inlineStr">
        <is>
          <t>NZ NTOU Electricity</t>
        </is>
      </c>
      <c r="F173" s="67" t="n"/>
      <c r="G173" s="67" t="inlineStr">
        <is>
          <t>Flat 1 69 Hutt Road,Petone,Lower Hutt,Wellington Region</t>
        </is>
      </c>
      <c r="H173" s="67" t="inlineStr">
        <is>
          <t>DOWNER NEW ZEALAND LIMITED (NZBN: 9429039194114)</t>
        </is>
      </c>
      <c r="I173" s="67" t="n"/>
      <c r="J173" s="67" t="inlineStr">
        <is>
          <t>kWh</t>
        </is>
      </c>
      <c r="K173" s="86" t="n">
        <v>6507.872340425532</v>
      </c>
      <c r="L173" s="67" t="inlineStr">
        <is>
          <t>Meridian</t>
        </is>
      </c>
      <c r="M173" s="87" t="inlineStr">
        <is>
          <t>Ecotricity</t>
        </is>
      </c>
      <c r="N173" s="87" t="n">
        <v>46388</v>
      </c>
      <c r="O173" s="87" t="n">
        <v>47483</v>
      </c>
      <c r="P173" s="67" t="inlineStr">
        <is>
          <t>36 months</t>
        </is>
      </c>
      <c r="Q173" s="88">
        <f t="array" ref="Q173:S173">IFERROR(ROUNDUP(_xlfn.XLOOKUP(A173,'Budget FY26-28'!A:A,'Budget FY26-28'!M:O)*(1+Summary!$C$2), -2), "")</f>
        <v/>
      </c>
      <c r="R173" s="88" t="n">
        <v>3000</v>
      </c>
      <c r="S173" s="88" t="n">
        <v>3000</v>
      </c>
      <c r="T173" s="67" t="inlineStr">
        <is>
          <t>Ready</t>
        </is>
      </c>
      <c r="U173" s="71" t="n"/>
      <c r="V173" s="84" t="inlineStr">
        <is>
          <t>Not found</t>
        </is>
      </c>
      <c r="W173" s="84" t="inlineStr"/>
      <c r="X173" s="84" t="inlineStr"/>
      <c r="Y173" s="84" t="inlineStr"/>
      <c r="Z173" s="84" t="inlineStr"/>
      <c r="AA173" s="84" t="inlineStr"/>
      <c r="AB173" s="84" t="inlineStr"/>
      <c r="AC173" s="84" t="inlineStr">
        <is>
          <t>No Envizi account ends in this Connection ID</t>
        </is>
      </c>
      <c r="AD173" s="85" t="inlineStr"/>
      <c r="AE173" s="85" t="inlineStr"/>
    </row>
    <row r="174" customFormat="1" s="72">
      <c r="A174" s="66" t="inlineStr">
        <is>
          <t>0000030446TRA39</t>
        </is>
      </c>
      <c r="B174" s="67" t="inlineStr">
        <is>
          <t>Electricity</t>
        </is>
      </c>
      <c r="C174" s="67" t="inlineStr">
        <is>
          <t>New Zealand</t>
        </is>
      </c>
      <c r="D174" s="67" t="inlineStr">
        <is>
          <t>North Island</t>
        </is>
      </c>
      <c r="E174" s="67" t="inlineStr">
        <is>
          <t>NZ NTOU Electricity</t>
        </is>
      </c>
      <c r="F174" s="67" t="n"/>
      <c r="G174" s="67" t="inlineStr">
        <is>
          <t>Flat 3 69 Hutt Road,Petone,Lower Hutt,Wellington Region</t>
        </is>
      </c>
      <c r="H174" s="67" t="inlineStr">
        <is>
          <t>DOWNER NEW ZEALAND LIMITED (NZBN: 9429039194114)</t>
        </is>
      </c>
      <c r="I174" s="67" t="n"/>
      <c r="J174" s="67" t="inlineStr">
        <is>
          <t>kWh</t>
        </is>
      </c>
      <c r="K174" s="86" t="n">
        <v>5193.699763593381</v>
      </c>
      <c r="L174" s="67" t="inlineStr">
        <is>
          <t>Meridian</t>
        </is>
      </c>
      <c r="M174" s="87" t="inlineStr">
        <is>
          <t>Ecotricity</t>
        </is>
      </c>
      <c r="N174" s="87" t="n">
        <v>46388</v>
      </c>
      <c r="O174" s="87" t="n">
        <v>47483</v>
      </c>
      <c r="P174" s="67" t="inlineStr">
        <is>
          <t>36 months</t>
        </is>
      </c>
      <c r="Q174" s="88">
        <f t="array" ref="Q174:S174">IFERROR(ROUNDUP(_xlfn.XLOOKUP(A174,'Budget FY26-28'!A:A,'Budget FY26-28'!M:O)*(1+Summary!$C$2), -2), "")</f>
        <v/>
      </c>
      <c r="R174" s="88" t="n">
        <v>2600</v>
      </c>
      <c r="S174" s="88" t="n">
        <v>2600</v>
      </c>
      <c r="T174" s="67" t="inlineStr">
        <is>
          <t>Ready</t>
        </is>
      </c>
      <c r="U174" s="71" t="n"/>
      <c r="V174" s="84" t="inlineStr">
        <is>
          <t>91377_ICP_0000030446TRA39</t>
        </is>
      </c>
      <c r="W174" s="84" t="inlineStr">
        <is>
          <t>Electricity – purchased from grid [kWh]</t>
        </is>
      </c>
      <c r="X174" s="84" t="inlineStr">
        <is>
          <t>Electricity [kWh]</t>
        </is>
      </c>
      <c r="Y174" s="84" t="inlineStr">
        <is>
          <t>Downer</t>
        </is>
      </c>
      <c r="Z174" s="84" t="inlineStr">
        <is>
          <t>Lower Hutt (3-69 Hutt Rd)</t>
        </is>
      </c>
      <c r="AA174" s="84" t="inlineStr">
        <is>
          <t>91377</t>
        </is>
      </c>
      <c r="AB174" s="84" t="inlineStr">
        <is>
          <t>Replaced 30 Jun 2023</t>
        </is>
      </c>
      <c r="AC174" s="84" t="inlineStr">
        <is>
          <t>Connection ID is the account number suffix</t>
        </is>
      </c>
      <c r="AD174" s="85" t="inlineStr"/>
      <c r="AE174" s="85" t="inlineStr"/>
    </row>
    <row r="175" customFormat="1" s="72">
      <c r="A175" s="66" t="inlineStr">
        <is>
          <t>0000041352NT1D5</t>
        </is>
      </c>
      <c r="B175" s="67" t="inlineStr">
        <is>
          <t>Electricity</t>
        </is>
      </c>
      <c r="C175" s="67" t="inlineStr">
        <is>
          <t>New Zealand</t>
        </is>
      </c>
      <c r="D175" s="67" t="inlineStr">
        <is>
          <t>South Island</t>
        </is>
      </c>
      <c r="E175" s="67" t="inlineStr">
        <is>
          <t>NZ NTOU Electricity</t>
        </is>
      </c>
      <c r="F175" s="67" t="n"/>
      <c r="G175" s="67" t="inlineStr">
        <is>
          <t>1 McPherson Street,Richmond,Tasman Region</t>
        </is>
      </c>
      <c r="H175" s="67" t="inlineStr">
        <is>
          <t>DOWNER NEW ZEALAND LIMITED (NZBN: 9429039194114)</t>
        </is>
      </c>
      <c r="I175" s="67" t="n"/>
      <c r="J175" s="67" t="inlineStr">
        <is>
          <t>kWh</t>
        </is>
      </c>
      <c r="K175" s="86" t="n">
        <v>21216.59574468085</v>
      </c>
      <c r="L175" s="67" t="inlineStr">
        <is>
          <t>Meridian</t>
        </is>
      </c>
      <c r="M175" s="87" t="inlineStr">
        <is>
          <t>Ecotricity</t>
        </is>
      </c>
      <c r="N175" s="87" t="n">
        <v>46388</v>
      </c>
      <c r="O175" s="87" t="n">
        <v>47483</v>
      </c>
      <c r="P175" s="67" t="inlineStr">
        <is>
          <t>36 months</t>
        </is>
      </c>
      <c r="Q175" s="88">
        <f t="array" ref="Q175:S175">IFERROR(ROUNDUP(_xlfn.XLOOKUP(A175,'Budget FY26-28'!A:A,'Budget FY26-28'!M:O)*(1+Summary!$C$2), -2), "")</f>
        <v/>
      </c>
      <c r="R175" s="88" t="n">
        <v>5000</v>
      </c>
      <c r="S175" s="88" t="n">
        <v>5000</v>
      </c>
      <c r="T175" s="67" t="inlineStr">
        <is>
          <t>Ready</t>
        </is>
      </c>
      <c r="U175" s="71" t="n"/>
      <c r="V175" s="84" t="inlineStr">
        <is>
          <t>5142_ICP_0000041352NT1D5</t>
        </is>
      </c>
      <c r="W175" s="84" t="inlineStr">
        <is>
          <t>Electricity – purchased from grid [kWh]</t>
        </is>
      </c>
      <c r="X175" s="84" t="inlineStr">
        <is>
          <t>Electricity [kWh]</t>
        </is>
      </c>
      <c r="Y175" s="84" t="inlineStr">
        <is>
          <t>Downer</t>
        </is>
      </c>
      <c r="Z175" s="84" t="inlineStr">
        <is>
          <t>_CLOSED_Support_U_P&amp;G_Electricity</t>
        </is>
      </c>
      <c r="AA175" s="84" t="inlineStr">
        <is>
          <t>L9.DNZJ.561671</t>
        </is>
      </c>
      <c r="AB175" s="84" t="inlineStr">
        <is>
          <t>Replaced 30 Jun 2022</t>
        </is>
      </c>
      <c r="AC175" s="84" t="inlineStr">
        <is>
          <t>Connection ID is the account number suffix</t>
        </is>
      </c>
      <c r="AD175" s="85" t="inlineStr">
        <is>
          <t>63990_ICP_0000041352NT1D5</t>
        </is>
      </c>
      <c r="AE175" s="85" t="inlineStr"/>
    </row>
    <row r="176" customFormat="1" s="72">
      <c r="A176" s="66" t="inlineStr">
        <is>
          <t>0000044234WE347</t>
        </is>
      </c>
      <c r="B176" s="67" t="inlineStr">
        <is>
          <t>Electricity</t>
        </is>
      </c>
      <c r="C176" s="67" t="inlineStr">
        <is>
          <t>New Zealand</t>
        </is>
      </c>
      <c r="D176" s="67" t="inlineStr">
        <is>
          <t>North Island</t>
        </is>
      </c>
      <c r="E176" s="67" t="inlineStr">
        <is>
          <t>NZ NTOU Electricity</t>
        </is>
      </c>
      <c r="F176" s="67" t="n"/>
      <c r="G176" s="67" t="inlineStr">
        <is>
          <t>45 Clem Newby Road,Burbush,Hamilton,Waikato Region</t>
        </is>
      </c>
      <c r="H176" s="67" t="inlineStr">
        <is>
          <t>DOWNER NEW ZEALAND LIMITED (NZBN: 9429039194114)</t>
        </is>
      </c>
      <c r="I176" s="67" t="n"/>
      <c r="J176" s="67" t="inlineStr">
        <is>
          <t>kWh</t>
        </is>
      </c>
      <c r="K176" s="86" t="n">
        <v>42182.11627906976</v>
      </c>
      <c r="L176" s="67" t="inlineStr">
        <is>
          <t>Meridian</t>
        </is>
      </c>
      <c r="M176" s="87" t="inlineStr">
        <is>
          <t>Ecotricity</t>
        </is>
      </c>
      <c r="N176" s="87" t="n">
        <v>46388</v>
      </c>
      <c r="O176" s="87" t="n">
        <v>47483</v>
      </c>
      <c r="P176" s="67" t="inlineStr">
        <is>
          <t>36 months</t>
        </is>
      </c>
      <c r="Q176" s="88">
        <f t="array" ref="Q176:S176">IFERROR(ROUNDUP(_xlfn.XLOOKUP(A176,'Budget FY26-28'!A:A,'Budget FY26-28'!M:O)*(1+Summary!$C$2), -2), "")</f>
        <v/>
      </c>
      <c r="R176" s="88" t="n">
        <v>14100</v>
      </c>
      <c r="S176" s="88" t="n">
        <v>14100</v>
      </c>
      <c r="T176" s="67" t="inlineStr">
        <is>
          <t>Ready</t>
        </is>
      </c>
      <c r="U176" s="71" t="n"/>
      <c r="V176" s="84" t="inlineStr">
        <is>
          <t>Not found</t>
        </is>
      </c>
      <c r="W176" s="84" t="inlineStr"/>
      <c r="X176" s="84" t="inlineStr"/>
      <c r="Y176" s="84" t="inlineStr"/>
      <c r="Z176" s="84" t="inlineStr"/>
      <c r="AA176" s="84" t="inlineStr"/>
      <c r="AB176" s="84" t="inlineStr"/>
      <c r="AC176" s="84" t="inlineStr">
        <is>
          <t>No Envizi account ends in this Connection ID</t>
        </is>
      </c>
      <c r="AD176" s="85" t="inlineStr"/>
      <c r="AE176" s="85" t="inlineStr"/>
    </row>
    <row r="177" customFormat="1" s="72">
      <c r="A177" s="66" t="inlineStr">
        <is>
          <t>0000045869HR155</t>
        </is>
      </c>
      <c r="B177" s="67" t="inlineStr">
        <is>
          <t>Electricity</t>
        </is>
      </c>
      <c r="C177" s="67" t="inlineStr">
        <is>
          <t>New Zealand</t>
        </is>
      </c>
      <c r="D177" s="67" t="inlineStr">
        <is>
          <t>North Island</t>
        </is>
      </c>
      <c r="E177" s="67" t="inlineStr">
        <is>
          <t>NZ NTOU Electricity</t>
        </is>
      </c>
      <c r="F177" s="67" t="n"/>
      <c r="G177" s="67" t="inlineStr">
        <is>
          <t>681 Rakaunui Road,Rotokawa,Waikato Region</t>
        </is>
      </c>
      <c r="H177" s="67" t="inlineStr">
        <is>
          <t>DOWNER NEW ZEALAND LIMITED (NZBN: 9429039194114)</t>
        </is>
      </c>
      <c r="I177" s="67" t="n"/>
      <c r="J177" s="67" t="inlineStr">
        <is>
          <t>kWh</t>
        </is>
      </c>
      <c r="K177" s="86" t="n">
        <v>42282.18676122931</v>
      </c>
      <c r="L177" s="67" t="inlineStr">
        <is>
          <t>Meridian</t>
        </is>
      </c>
      <c r="M177" s="87" t="inlineStr">
        <is>
          <t>Ecotricity</t>
        </is>
      </c>
      <c r="N177" s="87" t="n">
        <v>46388</v>
      </c>
      <c r="O177" s="87" t="n">
        <v>47483</v>
      </c>
      <c r="P177" s="67" t="inlineStr">
        <is>
          <t>36 months</t>
        </is>
      </c>
      <c r="Q177" s="88">
        <f t="array" ref="Q177:S177">IFERROR(ROUNDUP(_xlfn.XLOOKUP(A177,'Budget FY26-28'!A:A,'Budget FY26-28'!M:O)*(1+Summary!$C$2), -2), "")</f>
        <v/>
      </c>
      <c r="R177" s="88" t="n">
        <v>14600</v>
      </c>
      <c r="S177" s="88" t="n">
        <v>14600</v>
      </c>
      <c r="T177" s="67" t="inlineStr">
        <is>
          <t>Ready</t>
        </is>
      </c>
      <c r="U177" s="71" t="n"/>
      <c r="V177" s="84" t="inlineStr">
        <is>
          <t>5057_ICP_0000045869HR155</t>
        </is>
      </c>
      <c r="W177" s="84" t="inlineStr">
        <is>
          <t>Electricity – purchased from grid [kWh]</t>
        </is>
      </c>
      <c r="X177" s="84" t="inlineStr">
        <is>
          <t>Electricity [kWh]</t>
        </is>
      </c>
      <c r="Y177" s="84" t="inlineStr">
        <is>
          <t>Downer</t>
        </is>
      </c>
      <c r="Z177" s="84" t="inlineStr">
        <is>
          <t>_CLOSED_Depot_T_Taupo</t>
        </is>
      </c>
      <c r="AA177" s="84" t="inlineStr">
        <is>
          <t>5057</t>
        </is>
      </c>
      <c r="AB177" s="84" t="inlineStr">
        <is>
          <t>Replaced 30 Jun 2022</t>
        </is>
      </c>
      <c r="AC177" s="84" t="inlineStr">
        <is>
          <t>Connection ID is the account number suffix</t>
        </is>
      </c>
      <c r="AD177" s="85" t="inlineStr"/>
      <c r="AE177" s="85" t="inlineStr"/>
    </row>
    <row r="178" customFormat="1" s="72">
      <c r="A178" s="66" t="inlineStr">
        <is>
          <t>0000048678UN93C</t>
        </is>
      </c>
      <c r="B178" s="67" t="inlineStr">
        <is>
          <t>Electricity</t>
        </is>
      </c>
      <c r="C178" s="67" t="inlineStr">
        <is>
          <t>New Zealand</t>
        </is>
      </c>
      <c r="D178" s="67" t="inlineStr">
        <is>
          <t>North Island</t>
        </is>
      </c>
      <c r="E178" s="67" t="inlineStr">
        <is>
          <t>NZ NTOU Electricity</t>
        </is>
      </c>
      <c r="F178" s="67" t="n"/>
      <c r="G178" s="67" t="inlineStr">
        <is>
          <t>58 Firth Street,Matamata,Waikato Region</t>
        </is>
      </c>
      <c r="H178" s="67" t="inlineStr">
        <is>
          <t>DOWNER NEW ZEALAND LIMITED (NZBN: 9429039194114)</t>
        </is>
      </c>
      <c r="I178" s="67" t="n"/>
      <c r="J178" s="67" t="inlineStr">
        <is>
          <t>kWh</t>
        </is>
      </c>
      <c r="K178" s="86" t="n">
        <v>17632.51879699248</v>
      </c>
      <c r="L178" s="67" t="inlineStr">
        <is>
          <t>Meridian</t>
        </is>
      </c>
      <c r="M178" s="87" t="inlineStr">
        <is>
          <t>Ecotricity</t>
        </is>
      </c>
      <c r="N178" s="87" t="n">
        <v>46388</v>
      </c>
      <c r="O178" s="87" t="n">
        <v>47483</v>
      </c>
      <c r="P178" s="67" t="inlineStr">
        <is>
          <t>36 months</t>
        </is>
      </c>
      <c r="Q178" s="88">
        <f t="array" ref="Q178:S178">IFERROR(ROUNDUP(_xlfn.XLOOKUP(A178,'Budget FY26-28'!A:A,'Budget FY26-28'!M:O)*(1+Summary!$C$2), -2), "")</f>
        <v/>
      </c>
      <c r="R178" s="88" t="n">
        <v>6700</v>
      </c>
      <c r="S178" s="88" t="n">
        <v>6700</v>
      </c>
      <c r="T178" s="67" t="inlineStr">
        <is>
          <t>Ready</t>
        </is>
      </c>
      <c r="U178" s="71" t="n"/>
      <c r="V178" s="84" t="inlineStr">
        <is>
          <t>5157_ICP_0000048678UN93C</t>
        </is>
      </c>
      <c r="W178" s="84" t="inlineStr">
        <is>
          <t>Electricity – purchased from grid [kWh]</t>
        </is>
      </c>
      <c r="X178" s="84" t="inlineStr">
        <is>
          <t>Electricity [kWh]</t>
        </is>
      </c>
      <c r="Y178" s="84" t="inlineStr">
        <is>
          <t>Downer</t>
        </is>
      </c>
      <c r="Z178" s="84" t="inlineStr">
        <is>
          <t>_CLOSED_Depot_U_P&amp;G_Elec_Matamata</t>
        </is>
      </c>
      <c r="AA178" s="84" t="inlineStr">
        <is>
          <t>5157</t>
        </is>
      </c>
      <c r="AB178" s="84" t="inlineStr">
        <is>
          <t>Replaced 30 Jun 2022</t>
        </is>
      </c>
      <c r="AC178" s="84" t="inlineStr">
        <is>
          <t>Connection ID is the account number suffix</t>
        </is>
      </c>
      <c r="AD178" s="85" t="inlineStr">
        <is>
          <t>PG60126_ICP_0000048678UN93C</t>
        </is>
      </c>
      <c r="AE178" s="85" t="inlineStr"/>
    </row>
    <row r="179" customFormat="1" s="72">
      <c r="A179" s="66" t="inlineStr">
        <is>
          <t>0000050496WT310</t>
        </is>
      </c>
      <c r="B179" s="67" t="inlineStr">
        <is>
          <t>Electricity</t>
        </is>
      </c>
      <c r="C179" s="67" t="inlineStr">
        <is>
          <t>New Zealand</t>
        </is>
      </c>
      <c r="D179" s="67" t="inlineStr">
        <is>
          <t>South Island</t>
        </is>
      </c>
      <c r="E179" s="67" t="inlineStr">
        <is>
          <t>NZ NTOU Electricity</t>
        </is>
      </c>
      <c r="F179" s="67" t="n"/>
      <c r="G179" s="67" t="inlineStr">
        <is>
          <t>20 Pukeuri-Oamaru Road,Oamaru North,Oamaru,Otago Region</t>
        </is>
      </c>
      <c r="H179" s="67" t="inlineStr">
        <is>
          <t>DOWNER NEW ZEALAND LIMITED (NZBN: 9429039194114)</t>
        </is>
      </c>
      <c r="I179" s="67" t="n"/>
      <c r="J179" s="67" t="inlineStr">
        <is>
          <t>kWh</t>
        </is>
      </c>
      <c r="K179" s="86" t="n">
        <v>2658.152173913043</v>
      </c>
      <c r="L179" s="67" t="inlineStr">
        <is>
          <t>Meridian</t>
        </is>
      </c>
      <c r="M179" s="87" t="inlineStr">
        <is>
          <t>Ecotricity</t>
        </is>
      </c>
      <c r="N179" s="87" t="n">
        <v>46388</v>
      </c>
      <c r="O179" s="87" t="n">
        <v>47483</v>
      </c>
      <c r="P179" s="67" t="inlineStr">
        <is>
          <t>36 months</t>
        </is>
      </c>
      <c r="Q179" s="88">
        <f t="array" ref="Q179:S179">IFERROR(ROUNDUP(_xlfn.XLOOKUP(A179,'Budget FY26-28'!A:A,'Budget FY26-28'!M:O)*(1+Summary!$C$2), -2), "")</f>
        <v/>
      </c>
      <c r="R179" s="88" t="n">
        <v>2800</v>
      </c>
      <c r="S179" s="88" t="n">
        <v>2800</v>
      </c>
      <c r="T179" s="67" t="inlineStr">
        <is>
          <t>Ready</t>
        </is>
      </c>
      <c r="U179" s="71" t="n"/>
      <c r="V179" s="84" t="inlineStr">
        <is>
          <t>5289_ICP_0000050496WT310</t>
        </is>
      </c>
      <c r="W179" s="84" t="inlineStr">
        <is>
          <t>Electricity – purchased from grid [kWh]</t>
        </is>
      </c>
      <c r="X179" s="84" t="inlineStr">
        <is>
          <t>Electricity [kWh]</t>
        </is>
      </c>
      <c r="Y179" s="84" t="inlineStr">
        <is>
          <t>Downer</t>
        </is>
      </c>
      <c r="Z179" s="84" t="inlineStr">
        <is>
          <t>_CLOSED_Depot_T_Oamaru</t>
        </is>
      </c>
      <c r="AA179" s="84" t="inlineStr">
        <is>
          <t>5289</t>
        </is>
      </c>
      <c r="AB179" s="84" t="inlineStr">
        <is>
          <t>Replaced 30 Jun 2022</t>
        </is>
      </c>
      <c r="AC179" s="84" t="inlineStr">
        <is>
          <t>Connection ID is the account number suffix</t>
        </is>
      </c>
      <c r="AD179" s="85" t="inlineStr">
        <is>
          <t>55684_ICP_0000050496WT310</t>
        </is>
      </c>
      <c r="AE179" s="85" t="inlineStr"/>
    </row>
    <row r="180" customFormat="1" s="72">
      <c r="A180" s="66" t="inlineStr">
        <is>
          <t>0000052765HB960</t>
        </is>
      </c>
      <c r="B180" s="67" t="inlineStr">
        <is>
          <t>Electricity</t>
        </is>
      </c>
      <c r="C180" s="67" t="inlineStr">
        <is>
          <t>New Zealand</t>
        </is>
      </c>
      <c r="D180" s="67" t="inlineStr">
        <is>
          <t>North Island</t>
        </is>
      </c>
      <c r="E180" s="67" t="inlineStr">
        <is>
          <t>NZ NTOU Electricity</t>
        </is>
      </c>
      <c r="F180" s="67" t="n"/>
      <c r="G180" s="67" t="inlineStr">
        <is>
          <t>6 Whangaehu Place,Awatoto,Napier,Hawke's Bay Region</t>
        </is>
      </c>
      <c r="H180" s="67" t="inlineStr">
        <is>
          <t>DOWNER NEW ZEALAND LIMITED (NZBN: 9429039194114)</t>
        </is>
      </c>
      <c r="I180" s="67" t="n"/>
      <c r="J180" s="67" t="inlineStr">
        <is>
          <t>kWh</t>
        </is>
      </c>
      <c r="K180" s="86" t="n">
        <v>1946.666666666667</v>
      </c>
      <c r="L180" s="67" t="inlineStr">
        <is>
          <t>Meridian</t>
        </is>
      </c>
      <c r="M180" s="87" t="inlineStr">
        <is>
          <t>Ecotricity</t>
        </is>
      </c>
      <c r="N180" s="87" t="n">
        <v>46388</v>
      </c>
      <c r="O180" s="87" t="n">
        <v>47483</v>
      </c>
      <c r="P180" s="67" t="inlineStr">
        <is>
          <t>36 months</t>
        </is>
      </c>
      <c r="Q180" s="88">
        <f t="array" ref="Q180:S180">IFERROR(ROUNDUP(_xlfn.XLOOKUP(A180,'Budget FY26-28'!A:A,'Budget FY26-28'!M:O)*(1+Summary!$C$2), -2), "")</f>
        <v/>
      </c>
      <c r="R180" s="88" t="n">
        <v>1700</v>
      </c>
      <c r="S180" s="88" t="n">
        <v>1700</v>
      </c>
      <c r="T180" s="67" t="inlineStr">
        <is>
          <t>Ready</t>
        </is>
      </c>
      <c r="U180" s="71" t="n"/>
      <c r="V180" s="84" t="inlineStr">
        <is>
          <t>0000052765HB960</t>
        </is>
      </c>
      <c r="W180" s="84" t="inlineStr">
        <is>
          <t>Electricity – purchased from grid [kWh]</t>
        </is>
      </c>
      <c r="X180" s="84" t="inlineStr">
        <is>
          <t>Electricity [kWh]</t>
        </is>
      </c>
      <c r="Y180" s="84" t="inlineStr">
        <is>
          <t>Meridian</t>
        </is>
      </c>
      <c r="Z180" s="84" t="inlineStr">
        <is>
          <t>6 Whangaehu Place  Awatoto  Napier</t>
        </is>
      </c>
      <c r="AA180" s="84" t="inlineStr">
        <is>
          <t>L9.DNZJ.91001</t>
        </is>
      </c>
      <c r="AB180" s="84" t="inlineStr">
        <is>
          <t>Active</t>
        </is>
      </c>
      <c r="AC180" s="84" t="inlineStr">
        <is>
          <t>Connection ID is the account number suffix</t>
        </is>
      </c>
      <c r="AD180" s="85" t="inlineStr"/>
      <c r="AE180" s="85" t="inlineStr"/>
    </row>
    <row r="181" customFormat="1" s="72">
      <c r="A181" s="66" t="inlineStr">
        <is>
          <t>0000055490UN954</t>
        </is>
      </c>
      <c r="B181" s="67" t="inlineStr">
        <is>
          <t>Electricity</t>
        </is>
      </c>
      <c r="C181" s="67" t="inlineStr">
        <is>
          <t>New Zealand</t>
        </is>
      </c>
      <c r="D181" s="67" t="inlineStr">
        <is>
          <t>North Island</t>
        </is>
      </c>
      <c r="E181" s="67" t="inlineStr">
        <is>
          <t>NZ NTOU Electricity</t>
        </is>
      </c>
      <c r="F181" s="67" t="n"/>
      <c r="G181" s="67" t="inlineStr">
        <is>
          <t>1833B State Highway 1,Tirau</t>
        </is>
      </c>
      <c r="H181" s="67" t="inlineStr">
        <is>
          <t>DOWNER NEW ZEALAND LIMITED (NZBN: 9429039194114)</t>
        </is>
      </c>
      <c r="I181" s="67" t="n"/>
      <c r="J181" s="67" t="inlineStr">
        <is>
          <t>kWh</t>
        </is>
      </c>
      <c r="K181" s="86" t="n">
        <v>971.6075650118204</v>
      </c>
      <c r="L181" s="67" t="inlineStr">
        <is>
          <t>Meridian</t>
        </is>
      </c>
      <c r="M181" s="87" t="inlineStr">
        <is>
          <t>Ecotricity</t>
        </is>
      </c>
      <c r="N181" s="87" t="n">
        <v>46388</v>
      </c>
      <c r="O181" s="87" t="n">
        <v>47483</v>
      </c>
      <c r="P181" s="67" t="inlineStr">
        <is>
          <t>36 months</t>
        </is>
      </c>
      <c r="Q181" s="88">
        <f t="array" ref="Q181:S181">IFERROR(ROUNDUP(_xlfn.XLOOKUP(A181,'Budget FY26-28'!A:A,'Budget FY26-28'!M:O)*(1+Summary!$C$2), -2), "")</f>
        <v/>
      </c>
      <c r="R181" s="88" t="n">
        <v>1500</v>
      </c>
      <c r="S181" s="88" t="n">
        <v>1500</v>
      </c>
      <c r="T181" s="67" t="inlineStr">
        <is>
          <t>Ready</t>
        </is>
      </c>
      <c r="U181" s="71" t="n"/>
      <c r="V181" s="84" t="inlineStr">
        <is>
          <t>Not found</t>
        </is>
      </c>
      <c r="W181" s="84" t="inlineStr"/>
      <c r="X181" s="84" t="inlineStr"/>
      <c r="Y181" s="84" t="inlineStr"/>
      <c r="Z181" s="84" t="inlineStr"/>
      <c r="AA181" s="84" t="inlineStr"/>
      <c r="AB181" s="84" t="inlineStr"/>
      <c r="AC181" s="84" t="inlineStr">
        <is>
          <t>No Envizi account ends in this Connection ID</t>
        </is>
      </c>
      <c r="AD181" s="85" t="inlineStr"/>
      <c r="AE181" s="85" t="inlineStr"/>
    </row>
    <row r="182" customFormat="1" s="72">
      <c r="A182" s="66" t="inlineStr">
        <is>
          <t>0000055906UN234</t>
        </is>
      </c>
      <c r="B182" s="67" t="inlineStr">
        <is>
          <t>Electricity</t>
        </is>
      </c>
      <c r="C182" s="67" t="inlineStr">
        <is>
          <t>New Zealand</t>
        </is>
      </c>
      <c r="D182" s="67" t="inlineStr">
        <is>
          <t>North Island</t>
        </is>
      </c>
      <c r="E182" s="67" t="inlineStr">
        <is>
          <t>NZ NTOU Electricity</t>
        </is>
      </c>
      <c r="F182" s="67" t="n"/>
      <c r="G182" s="67" t="inlineStr">
        <is>
          <t>1 DEPOT STREET,TIRAU</t>
        </is>
      </c>
      <c r="H182" s="67" t="inlineStr">
        <is>
          <t>DOWNER NEW ZEALAND LIMITED (NZBN: 9429039194114)</t>
        </is>
      </c>
      <c r="I182" s="67" t="n"/>
      <c r="J182" s="67" t="inlineStr">
        <is>
          <t>kWh</t>
        </is>
      </c>
      <c r="K182" s="86" t="n">
        <v>22215.81560283688</v>
      </c>
      <c r="L182" s="67" t="inlineStr">
        <is>
          <t>Meridian</t>
        </is>
      </c>
      <c r="M182" s="87" t="inlineStr">
        <is>
          <t>Ecotricity</t>
        </is>
      </c>
      <c r="N182" s="87" t="n">
        <v>46388</v>
      </c>
      <c r="O182" s="87" t="n">
        <v>47483</v>
      </c>
      <c r="P182" s="67" t="inlineStr">
        <is>
          <t>36 months</t>
        </is>
      </c>
      <c r="Q182" s="88">
        <f t="array" ref="Q182:S182">IFERROR(ROUNDUP(_xlfn.XLOOKUP(A182,'Budget FY26-28'!A:A,'Budget FY26-28'!M:O)*(1+Summary!$C$2), -2), "")</f>
        <v/>
      </c>
      <c r="R182" s="88" t="n">
        <v>8100</v>
      </c>
      <c r="S182" s="88" t="n">
        <v>8100</v>
      </c>
      <c r="T182" s="67" t="inlineStr">
        <is>
          <t>Ready</t>
        </is>
      </c>
      <c r="U182" s="71" t="n"/>
      <c r="V182" s="84" t="inlineStr">
        <is>
          <t>5064_ICP_0000055906UN234</t>
        </is>
      </c>
      <c r="W182" s="84" t="inlineStr">
        <is>
          <t>Electricity – purchased from grid [kWh]</t>
        </is>
      </c>
      <c r="X182" s="84" t="inlineStr">
        <is>
          <t>Electricity [kWh]</t>
        </is>
      </c>
      <c r="Y182" s="84" t="inlineStr">
        <is>
          <t>Downer</t>
        </is>
      </c>
      <c r="Z182" s="84" t="inlineStr">
        <is>
          <t>_CLOSED_Depot_T_Tirau</t>
        </is>
      </c>
      <c r="AA182" s="84" t="inlineStr">
        <is>
          <t>5064</t>
        </is>
      </c>
      <c r="AB182" s="84" t="inlineStr">
        <is>
          <t>Replaced 30 Jun 2022</t>
        </is>
      </c>
      <c r="AC182" s="84" t="inlineStr">
        <is>
          <t>Connection ID is the account number suffix</t>
        </is>
      </c>
      <c r="AD182" s="85" t="inlineStr">
        <is>
          <t>55568_ICP_0000055906UN234</t>
        </is>
      </c>
      <c r="AE182" s="85" t="inlineStr"/>
    </row>
    <row r="183" customFormat="1" s="72">
      <c r="A183" s="66" t="inlineStr">
        <is>
          <t>0000055908UN1AF</t>
        </is>
      </c>
      <c r="B183" s="67" t="inlineStr">
        <is>
          <t>Electricity</t>
        </is>
      </c>
      <c r="C183" s="67" t="inlineStr">
        <is>
          <t>New Zealand</t>
        </is>
      </c>
      <c r="D183" s="67" t="inlineStr">
        <is>
          <t>North Island</t>
        </is>
      </c>
      <c r="E183" s="67" t="inlineStr">
        <is>
          <t>NZ NTOU Electricity</t>
        </is>
      </c>
      <c r="F183" s="67" t="n"/>
      <c r="G183" s="67" t="inlineStr">
        <is>
          <t>2 Depot Street,Tirau,Waikato Region</t>
        </is>
      </c>
      <c r="H183" s="67" t="inlineStr">
        <is>
          <t>DOWNER NEW ZEALAND LIMITED (NZBN: 9429039194114)</t>
        </is>
      </c>
      <c r="I183" s="67" t="n"/>
      <c r="J183" s="67" t="inlineStr">
        <is>
          <t>kWh</t>
        </is>
      </c>
      <c r="K183" s="86" t="n">
        <v>1970.827423167849</v>
      </c>
      <c r="L183" s="67" t="inlineStr">
        <is>
          <t>Meridian</t>
        </is>
      </c>
      <c r="M183" s="87" t="inlineStr">
        <is>
          <t>Ecotricity</t>
        </is>
      </c>
      <c r="N183" s="87" t="n">
        <v>46388</v>
      </c>
      <c r="O183" s="87" t="n">
        <v>47483</v>
      </c>
      <c r="P183" s="67" t="inlineStr">
        <is>
          <t>36 months</t>
        </is>
      </c>
      <c r="Q183" s="88">
        <f t="array" ref="Q183:S183">IFERROR(ROUNDUP(_xlfn.XLOOKUP(A183,'Budget FY26-28'!A:A,'Budget FY26-28'!M:O)*(1+Summary!$C$2), -2), "")</f>
        <v/>
      </c>
      <c r="R183" s="88" t="n">
        <v>1800</v>
      </c>
      <c r="S183" s="88" t="n">
        <v>1800</v>
      </c>
      <c r="T183" s="67" t="inlineStr">
        <is>
          <t>Ready</t>
        </is>
      </c>
      <c r="U183" s="71" t="n"/>
      <c r="V183" s="84" t="inlineStr">
        <is>
          <t>5064_ICP_0000055908UN1AF</t>
        </is>
      </c>
      <c r="W183" s="84" t="inlineStr">
        <is>
          <t>Electricity – purchased from grid [kWh]</t>
        </is>
      </c>
      <c r="X183" s="84" t="inlineStr">
        <is>
          <t>Electricity [kWh]</t>
        </is>
      </c>
      <c r="Y183" s="84" t="inlineStr">
        <is>
          <t>Downer</t>
        </is>
      </c>
      <c r="Z183" s="84" t="inlineStr">
        <is>
          <t>_CLOSED_Depot_T_Tirau</t>
        </is>
      </c>
      <c r="AA183" s="84" t="inlineStr">
        <is>
          <t>5064</t>
        </is>
      </c>
      <c r="AB183" s="84" t="inlineStr">
        <is>
          <t>Replaced 30 Jun 2022</t>
        </is>
      </c>
      <c r="AC183" s="84" t="inlineStr">
        <is>
          <t>Connection ID is the account number suffix</t>
        </is>
      </c>
      <c r="AD183" s="85" t="inlineStr">
        <is>
          <t>55568_ICP_0000055908UN1AF</t>
        </is>
      </c>
      <c r="AE183" s="85" t="inlineStr"/>
    </row>
    <row r="184" customFormat="1" s="72">
      <c r="A184" s="66" t="inlineStr">
        <is>
          <t>0000058140WE772</t>
        </is>
      </c>
      <c r="B184" s="67" t="inlineStr">
        <is>
          <t>Electricity</t>
        </is>
      </c>
      <c r="C184" s="67" t="inlineStr">
        <is>
          <t>New Zealand</t>
        </is>
      </c>
      <c r="D184" s="67" t="inlineStr">
        <is>
          <t>North Island</t>
        </is>
      </c>
      <c r="E184" s="67" t="inlineStr">
        <is>
          <t>NZ NTOU Electricity</t>
        </is>
      </c>
      <c r="F184" s="67" t="n"/>
      <c r="G184" s="67" t="inlineStr">
        <is>
          <t>4 Gilchrist Street,Avalon,Hamilton,Waikato Region</t>
        </is>
      </c>
      <c r="H184" s="67" t="inlineStr">
        <is>
          <t>DOWNER NEW ZEALAND LIMITED (NZBN: 9429039194114)</t>
        </is>
      </c>
      <c r="I184" s="67" t="n"/>
      <c r="J184" s="67" t="inlineStr">
        <is>
          <t>kWh</t>
        </is>
      </c>
      <c r="K184" s="86" t="n">
        <v>8418.32268370607</v>
      </c>
      <c r="L184" s="67" t="inlineStr">
        <is>
          <t>Meridian</t>
        </is>
      </c>
      <c r="M184" s="87" t="inlineStr">
        <is>
          <t>Ecotricity</t>
        </is>
      </c>
      <c r="N184" s="87" t="n">
        <v>46388</v>
      </c>
      <c r="O184" s="87" t="n">
        <v>47483</v>
      </c>
      <c r="P184" s="67" t="inlineStr">
        <is>
          <t>36 months</t>
        </is>
      </c>
      <c r="Q184" s="88">
        <f t="array" ref="Q184:S184">IFERROR(ROUNDUP(_xlfn.XLOOKUP(A184,'Budget FY26-28'!A:A,'Budget FY26-28'!M:O)*(1+Summary!$C$2), -2), "")</f>
        <v/>
      </c>
      <c r="R184" s="88" t="n">
        <v>4400</v>
      </c>
      <c r="S184" s="88" t="n">
        <v>4400</v>
      </c>
      <c r="T184" s="67" t="inlineStr">
        <is>
          <t>Ready</t>
        </is>
      </c>
      <c r="U184" s="71" t="n"/>
      <c r="V184" s="84" t="inlineStr">
        <is>
          <t>Not found</t>
        </is>
      </c>
      <c r="W184" s="84" t="inlineStr"/>
      <c r="X184" s="84" t="inlineStr"/>
      <c r="Y184" s="84" t="inlineStr"/>
      <c r="Z184" s="84" t="inlineStr"/>
      <c r="AA184" s="84" t="inlineStr"/>
      <c r="AB184" s="84" t="inlineStr"/>
      <c r="AC184" s="84" t="inlineStr">
        <is>
          <t>No Envizi account ends in this Connection ID</t>
        </is>
      </c>
      <c r="AD184" s="85" t="inlineStr"/>
      <c r="AE184" s="85" t="inlineStr"/>
    </row>
    <row r="185" customFormat="1" s="72">
      <c r="A185" s="66" t="inlineStr">
        <is>
          <t>0000058309TR718</t>
        </is>
      </c>
      <c r="B185" s="67" t="inlineStr">
        <is>
          <t>Electricity</t>
        </is>
      </c>
      <c r="C185" s="67" t="inlineStr">
        <is>
          <t>New Zealand</t>
        </is>
      </c>
      <c r="D185" s="67" t="inlineStr">
        <is>
          <t>North Island</t>
        </is>
      </c>
      <c r="E185" s="67" t="inlineStr">
        <is>
          <t>NZ NTOU Electricity</t>
        </is>
      </c>
      <c r="F185" s="67" t="n"/>
      <c r="G185" s="67" t="inlineStr">
        <is>
          <t>237 Paremata Haywards Road,Judgeford,Wellington Region</t>
        </is>
      </c>
      <c r="H185" s="67" t="inlineStr">
        <is>
          <t>DOWNER NEW ZEALAND LIMITED (NZBN: 9429039194114)</t>
        </is>
      </c>
      <c r="I185" s="67" t="n"/>
      <c r="J185" s="67" t="inlineStr">
        <is>
          <t>kWh</t>
        </is>
      </c>
      <c r="K185" s="86" t="n">
        <v>17950.49234135667</v>
      </c>
      <c r="L185" s="67" t="inlineStr">
        <is>
          <t>Meridian</t>
        </is>
      </c>
      <c r="M185" s="87" t="inlineStr">
        <is>
          <t>Ecotricity</t>
        </is>
      </c>
      <c r="N185" s="87" t="n">
        <v>46388</v>
      </c>
      <c r="O185" s="87" t="n">
        <v>47483</v>
      </c>
      <c r="P185" s="67" t="inlineStr">
        <is>
          <t>36 months</t>
        </is>
      </c>
      <c r="Q185" s="88">
        <f t="array" ref="Q185:S185">IFERROR(ROUNDUP(_xlfn.XLOOKUP(A185,'Budget FY26-28'!A:A,'Budget FY26-28'!M:O)*(1+Summary!$C$2), -2), "")</f>
        <v/>
      </c>
      <c r="R185" s="88" t="n">
        <v>6000</v>
      </c>
      <c r="S185" s="88" t="n">
        <v>6000</v>
      </c>
      <c r="T185" s="67" t="inlineStr">
        <is>
          <t>Ready</t>
        </is>
      </c>
      <c r="U185" s="71" t="n"/>
      <c r="V185" s="84" t="inlineStr">
        <is>
          <t>Not found</t>
        </is>
      </c>
      <c r="W185" s="84" t="inlineStr"/>
      <c r="X185" s="84" t="inlineStr"/>
      <c r="Y185" s="84" t="inlineStr"/>
      <c r="Z185" s="84" t="inlineStr"/>
      <c r="AA185" s="84" t="inlineStr"/>
      <c r="AB185" s="84" t="inlineStr"/>
      <c r="AC185" s="84" t="inlineStr">
        <is>
          <t>No Envizi account ends in this Connection ID</t>
        </is>
      </c>
      <c r="AD185" s="85" t="inlineStr"/>
      <c r="AE185" s="85" t="inlineStr"/>
    </row>
    <row r="186" customFormat="1" s="72">
      <c r="A186" s="66" t="inlineStr">
        <is>
          <t>0000064350CP5A6</t>
        </is>
      </c>
      <c r="B186" s="67" t="inlineStr">
        <is>
          <t>Electricity</t>
        </is>
      </c>
      <c r="C186" s="67" t="inlineStr">
        <is>
          <t>New Zealand</t>
        </is>
      </c>
      <c r="D186" s="67" t="inlineStr">
        <is>
          <t>North Island</t>
        </is>
      </c>
      <c r="E186" s="67" t="inlineStr">
        <is>
          <t>NZ NTOU Electricity</t>
        </is>
      </c>
      <c r="F186" s="67" t="n"/>
      <c r="G186" s="67" t="inlineStr">
        <is>
          <t>343 Camp Road,Linton,Palmerston North,Manawatu-Wanganui Region</t>
        </is>
      </c>
      <c r="H186" s="67" t="inlineStr">
        <is>
          <t>DOWNER NEW ZEALAND LIMITED (NZBN: 9429039194114)</t>
        </is>
      </c>
      <c r="I186" s="67" t="n"/>
      <c r="J186" s="67" t="inlineStr">
        <is>
          <t>kWh</t>
        </is>
      </c>
      <c r="K186" s="86" t="n">
        <v>37534.01265822785</v>
      </c>
      <c r="L186" s="67" t="inlineStr">
        <is>
          <t>Meridian</t>
        </is>
      </c>
      <c r="M186" s="87" t="inlineStr">
        <is>
          <t>Ecotricity</t>
        </is>
      </c>
      <c r="N186" s="87" t="n">
        <v>46388</v>
      </c>
      <c r="O186" s="87" t="n">
        <v>47483</v>
      </c>
      <c r="P186" s="67" t="inlineStr">
        <is>
          <t>36 months</t>
        </is>
      </c>
      <c r="Q186" s="88">
        <f t="array" ref="Q186:S186">IFERROR(ROUNDUP(_xlfn.XLOOKUP(A186,'Budget FY26-28'!A:A,'Budget FY26-28'!M:O)*(1+Summary!$C$2), -2), "")</f>
        <v/>
      </c>
      <c r="R186" s="88" t="n">
        <v>12900</v>
      </c>
      <c r="S186" s="88" t="n">
        <v>12900</v>
      </c>
      <c r="T186" s="67" t="inlineStr">
        <is>
          <t>Ready</t>
        </is>
      </c>
      <c r="U186" s="71" t="n"/>
      <c r="V186" s="84" t="inlineStr">
        <is>
          <t>Not found</t>
        </is>
      </c>
      <c r="W186" s="84" t="inlineStr"/>
      <c r="X186" s="84" t="inlineStr"/>
      <c r="Y186" s="84" t="inlineStr"/>
      <c r="Z186" s="84" t="inlineStr"/>
      <c r="AA186" s="84" t="inlineStr"/>
      <c r="AB186" s="84" t="inlineStr"/>
      <c r="AC186" s="84" t="inlineStr">
        <is>
          <t>No Envizi account ends in this Connection ID</t>
        </is>
      </c>
      <c r="AD186" s="85" t="inlineStr"/>
      <c r="AE186" s="85" t="inlineStr"/>
    </row>
    <row r="187" customFormat="1" s="72">
      <c r="A187" s="66" t="inlineStr">
        <is>
          <t>0000166865CKBDD</t>
        </is>
      </c>
      <c r="B187" s="67" t="inlineStr">
        <is>
          <t>Electricity</t>
        </is>
      </c>
      <c r="C187" s="67" t="inlineStr">
        <is>
          <t>New Zealand</t>
        </is>
      </c>
      <c r="D187" s="67" t="inlineStr">
        <is>
          <t>North Island</t>
        </is>
      </c>
      <c r="E187" s="67" t="inlineStr">
        <is>
          <t>NZ NTOU Electricity</t>
        </is>
      </c>
      <c r="F187" s="67" t="n"/>
      <c r="G187" s="67" t="inlineStr">
        <is>
          <t>32 Florence Street,Newtown,Wellington,Wellington Region</t>
        </is>
      </c>
      <c r="H187" s="67" t="inlineStr">
        <is>
          <t>DOWNER NEW ZEALAND LIMITED (NZBN: 9429039194114)</t>
        </is>
      </c>
      <c r="I187" s="67" t="n"/>
      <c r="J187" s="67" t="inlineStr">
        <is>
          <t>kWh</t>
        </is>
      </c>
      <c r="K187" s="86" t="n">
        <v>27888.04846938775</v>
      </c>
      <c r="L187" s="67" t="inlineStr">
        <is>
          <t>Meridian</t>
        </is>
      </c>
      <c r="M187" s="87" t="inlineStr">
        <is>
          <t>Ecotricity</t>
        </is>
      </c>
      <c r="N187" s="87" t="n">
        <v>46388</v>
      </c>
      <c r="O187" s="87" t="n">
        <v>47483</v>
      </c>
      <c r="P187" s="67" t="inlineStr">
        <is>
          <t>36 months</t>
        </is>
      </c>
      <c r="Q187" s="88">
        <f t="array" ref="Q187:S187">IFERROR(ROUNDUP(_xlfn.XLOOKUP(A187,'Budget FY26-28'!A:A,'Budget FY26-28'!M:O)*(1+Summary!$C$2), -2), "")</f>
        <v/>
      </c>
      <c r="R187" s="88" t="n">
        <v>9100</v>
      </c>
      <c r="S187" s="88" t="n">
        <v>9100</v>
      </c>
      <c r="T187" s="67" t="inlineStr">
        <is>
          <t>Ready</t>
        </is>
      </c>
      <c r="U187" s="71" t="n"/>
      <c r="V187" s="84" t="inlineStr">
        <is>
          <t>5003_ICP_0000166865CKBDD</t>
        </is>
      </c>
      <c r="W187" s="84" t="inlineStr">
        <is>
          <t>Electricity – purchased from grid [kWh]</t>
        </is>
      </c>
      <c r="X187" s="84" t="inlineStr">
        <is>
          <t>Electricity [kWh]</t>
        </is>
      </c>
      <c r="Y187" s="84" t="inlineStr">
        <is>
          <t>Downer</t>
        </is>
      </c>
      <c r="Z187" s="84" t="inlineStr">
        <is>
          <t>_CLOSED_Recharges_BP</t>
        </is>
      </c>
      <c r="AA187" s="84" t="inlineStr">
        <is>
          <t>L9.J.17031978</t>
        </is>
      </c>
      <c r="AB187" s="84" t="inlineStr">
        <is>
          <t>Replaced 30 Jun 2022</t>
        </is>
      </c>
      <c r="AC187" s="84" t="inlineStr">
        <is>
          <t>Connection ID is the account number suffix</t>
        </is>
      </c>
      <c r="AD187" s="85" t="inlineStr">
        <is>
          <t>9010_ICP_0000166865CKBDD</t>
        </is>
      </c>
      <c r="AE187" s="85" t="inlineStr"/>
    </row>
    <row r="188" customFormat="1" s="72">
      <c r="A188" s="66" t="inlineStr">
        <is>
          <t>0000166949CKC92</t>
        </is>
      </c>
      <c r="B188" s="67" t="inlineStr">
        <is>
          <t>Electricity</t>
        </is>
      </c>
      <c r="C188" s="67" t="inlineStr">
        <is>
          <t>New Zealand</t>
        </is>
      </c>
      <c r="D188" s="67" t="inlineStr">
        <is>
          <t>North Island</t>
        </is>
      </c>
      <c r="E188" s="67" t="inlineStr">
        <is>
          <t>NZ NTOU Electricity</t>
        </is>
      </c>
      <c r="F188" s="67" t="n"/>
      <c r="G188" s="67" t="inlineStr">
        <is>
          <t>Level 11 18 Willis Street,Wellington Central,Wellington</t>
        </is>
      </c>
      <c r="H188" s="67" t="inlineStr">
        <is>
          <t>DOWNER NEW ZEALAND LIMITED (NZBN: 9429039194114)</t>
        </is>
      </c>
      <c r="I188" s="67" t="n"/>
      <c r="J188" s="67" t="inlineStr">
        <is>
          <t>kWh</t>
        </is>
      </c>
      <c r="K188" s="86" t="n">
        <v>22321.08747044917</v>
      </c>
      <c r="L188" s="67" t="inlineStr">
        <is>
          <t>Meridian</t>
        </is>
      </c>
      <c r="M188" s="87" t="inlineStr">
        <is>
          <t>Ecotricity</t>
        </is>
      </c>
      <c r="N188" s="87" t="n">
        <v>46388</v>
      </c>
      <c r="O188" s="87" t="n">
        <v>47483</v>
      </c>
      <c r="P188" s="67" t="inlineStr">
        <is>
          <t>36 months</t>
        </is>
      </c>
      <c r="Q188" s="88">
        <f t="array" ref="Q188:S188">IFERROR(ROUNDUP(_xlfn.XLOOKUP(A188,'Budget FY26-28'!A:A,'Budget FY26-28'!M:O)*(1+Summary!$C$2), -2), "")</f>
        <v/>
      </c>
      <c r="R188" s="88" t="n">
        <v>7700</v>
      </c>
      <c r="S188" s="88" t="n">
        <v>7700</v>
      </c>
      <c r="T188" s="67" t="inlineStr">
        <is>
          <t>Ready</t>
        </is>
      </c>
      <c r="U188" s="71" t="n"/>
      <c r="V188" s="84" t="inlineStr">
        <is>
          <t>Not found</t>
        </is>
      </c>
      <c r="W188" s="84" t="inlineStr"/>
      <c r="X188" s="84" t="inlineStr"/>
      <c r="Y188" s="84" t="inlineStr"/>
      <c r="Z188" s="84" t="inlineStr"/>
      <c r="AA188" s="84" t="inlineStr"/>
      <c r="AB188" s="84" t="inlineStr"/>
      <c r="AC188" s="84" t="inlineStr">
        <is>
          <t>No Envizi account ends in this Connection ID</t>
        </is>
      </c>
      <c r="AD188" s="85" t="inlineStr"/>
      <c r="AE188" s="85" t="inlineStr"/>
    </row>
    <row r="189" customFormat="1" s="72">
      <c r="A189" s="66" t="inlineStr">
        <is>
          <t>0000170681CKB47</t>
        </is>
      </c>
      <c r="B189" s="67" t="inlineStr">
        <is>
          <t>Electricity</t>
        </is>
      </c>
      <c r="C189" s="67" t="inlineStr">
        <is>
          <t>New Zealand</t>
        </is>
      </c>
      <c r="D189" s="67" t="inlineStr">
        <is>
          <t>North Island</t>
        </is>
      </c>
      <c r="E189" s="67" t="inlineStr">
        <is>
          <t>NZ NTOU Electricity</t>
        </is>
      </c>
      <c r="F189" s="67" t="n"/>
      <c r="G189" s="67" t="inlineStr">
        <is>
          <t>54 Martingale Drive,Whitby,Porirua,Wellington Region</t>
        </is>
      </c>
      <c r="H189" s="67" t="inlineStr">
        <is>
          <t>DOWNER NEW ZEALAND LIMITED (NZBN: 9429039194114)</t>
        </is>
      </c>
      <c r="I189" s="67" t="n"/>
      <c r="J189" s="67" t="inlineStr">
        <is>
          <t>kWh</t>
        </is>
      </c>
      <c r="K189" s="86" t="n">
        <v>4504.255319148936</v>
      </c>
      <c r="L189" s="67" t="inlineStr">
        <is>
          <t>Meridian</t>
        </is>
      </c>
      <c r="M189" s="87" t="inlineStr">
        <is>
          <t>Ecotricity</t>
        </is>
      </c>
      <c r="N189" s="87" t="n">
        <v>46388</v>
      </c>
      <c r="O189" s="87" t="n">
        <v>47483</v>
      </c>
      <c r="P189" s="67" t="inlineStr">
        <is>
          <t>36 months</t>
        </is>
      </c>
      <c r="Q189" s="88">
        <f t="array" ref="Q189:S189">IFERROR(ROUNDUP(_xlfn.XLOOKUP(A189,'Budget FY26-28'!A:A,'Budget FY26-28'!M:O)*(1+Summary!$C$2), -2), "")</f>
        <v/>
      </c>
      <c r="R189" s="88" t="n">
        <v>2400</v>
      </c>
      <c r="S189" s="88" t="n">
        <v>2400</v>
      </c>
      <c r="T189" s="67" t="inlineStr">
        <is>
          <t>Ready</t>
        </is>
      </c>
      <c r="U189" s="71" t="n"/>
      <c r="V189" s="84" t="inlineStr">
        <is>
          <t>Not found</t>
        </is>
      </c>
      <c r="W189" s="84" t="inlineStr"/>
      <c r="X189" s="84" t="inlineStr"/>
      <c r="Y189" s="84" t="inlineStr"/>
      <c r="Z189" s="84" t="inlineStr"/>
      <c r="AA189" s="84" t="inlineStr"/>
      <c r="AB189" s="84" t="inlineStr"/>
      <c r="AC189" s="84" t="inlineStr">
        <is>
          <t>No Envizi account ends in this Connection ID</t>
        </is>
      </c>
      <c r="AD189" s="85" t="inlineStr"/>
      <c r="AE189" s="85" t="inlineStr"/>
    </row>
    <row r="190" customFormat="1" s="72">
      <c r="A190" s="66" t="inlineStr">
        <is>
          <t>0000172164CK0F0</t>
        </is>
      </c>
      <c r="B190" s="67" t="inlineStr">
        <is>
          <t>Electricity</t>
        </is>
      </c>
      <c r="C190" s="67" t="inlineStr">
        <is>
          <t>New Zealand</t>
        </is>
      </c>
      <c r="D190" s="67" t="inlineStr">
        <is>
          <t>North Island</t>
        </is>
      </c>
      <c r="E190" s="67" t="inlineStr">
        <is>
          <t>NZ NTOU Electricity</t>
        </is>
      </c>
      <c r="F190" s="67" t="n"/>
      <c r="G190" s="67" t="inlineStr">
        <is>
          <t>BTS - END OF PORIRA PARK AND RIDE LOT2 DP12953 STATE HIGHWAY 59,PORIRUA CITY CENTRE,PORIRUA</t>
        </is>
      </c>
      <c r="H190" s="67" t="inlineStr">
        <is>
          <t>DOWNER NEW ZEALAND LIMITED (NZBN: 9429039194114)</t>
        </is>
      </c>
      <c r="I190" s="67" t="n"/>
      <c r="J190" s="67" t="inlineStr">
        <is>
          <t>kWh</t>
        </is>
      </c>
      <c r="K190" s="86" t="n">
        <v>12295.52699228792</v>
      </c>
      <c r="L190" s="67" t="inlineStr">
        <is>
          <t>Meridian</t>
        </is>
      </c>
      <c r="M190" s="87" t="inlineStr">
        <is>
          <t>Ecotricity</t>
        </is>
      </c>
      <c r="N190" s="87" t="n">
        <v>46388</v>
      </c>
      <c r="O190" s="87" t="n">
        <v>47483</v>
      </c>
      <c r="P190" s="67" t="inlineStr">
        <is>
          <t>36 months</t>
        </is>
      </c>
      <c r="Q190" s="88">
        <f t="array" ref="Q190:S190">IFERROR(ROUNDUP(_xlfn.XLOOKUP(A190,'Budget FY26-28'!A:A,'Budget FY26-28'!M:O)*(1+Summary!$C$2), -2), "")</f>
        <v/>
      </c>
      <c r="R190" s="88" t="n">
        <v>5300</v>
      </c>
      <c r="S190" s="88" t="n">
        <v>5300</v>
      </c>
      <c r="T190" s="67" t="inlineStr">
        <is>
          <t>Ready</t>
        </is>
      </c>
      <c r="U190" s="71" t="n"/>
      <c r="V190" s="84" t="inlineStr">
        <is>
          <t>Not found</t>
        </is>
      </c>
      <c r="W190" s="84" t="inlineStr"/>
      <c r="X190" s="84" t="inlineStr"/>
      <c r="Y190" s="84" t="inlineStr"/>
      <c r="Z190" s="84" t="inlineStr"/>
      <c r="AA190" s="84" t="inlineStr"/>
      <c r="AB190" s="84" t="inlineStr"/>
      <c r="AC190" s="84" t="inlineStr">
        <is>
          <t>No Envizi account ends in this Connection ID</t>
        </is>
      </c>
      <c r="AD190" s="85" t="inlineStr"/>
      <c r="AE190" s="85" t="inlineStr"/>
    </row>
    <row r="191" customFormat="1" s="72">
      <c r="A191" s="66" t="inlineStr">
        <is>
          <t>0000172288CKA57</t>
        </is>
      </c>
      <c r="B191" s="67" t="inlineStr">
        <is>
          <t>Electricity</t>
        </is>
      </c>
      <c r="C191" s="67" t="inlineStr">
        <is>
          <t>New Zealand</t>
        </is>
      </c>
      <c r="D191" s="67" t="inlineStr">
        <is>
          <t>North Island</t>
        </is>
      </c>
      <c r="E191" s="67" t="inlineStr">
        <is>
          <t>NZ NTOU Electricity</t>
        </is>
      </c>
      <c r="F191" s="67" t="n"/>
      <c r="G191" s="67" t="inlineStr">
        <is>
          <t>21 2 Campbell Terrace,Petone,Lower Hutt</t>
        </is>
      </c>
      <c r="H191" s="67" t="inlineStr">
        <is>
          <t>DOWNER NEW ZEALAND LIMITED (NZBN: 9429039194114)</t>
        </is>
      </c>
      <c r="I191" s="67" t="n"/>
      <c r="J191" s="67" t="inlineStr">
        <is>
          <t>kWh</t>
        </is>
      </c>
      <c r="K191" s="86" t="n">
        <v>1009.574468085106</v>
      </c>
      <c r="L191" s="67" t="inlineStr">
        <is>
          <t>Meridian</t>
        </is>
      </c>
      <c r="M191" s="87" t="inlineStr">
        <is>
          <t>Ecotricity</t>
        </is>
      </c>
      <c r="N191" s="87" t="n">
        <v>46388</v>
      </c>
      <c r="O191" s="87" t="n">
        <v>47483</v>
      </c>
      <c r="P191" s="67" t="inlineStr">
        <is>
          <t>36 months</t>
        </is>
      </c>
      <c r="Q191" s="88">
        <f t="array" ref="Q191:S191">IFERROR(ROUNDUP(_xlfn.XLOOKUP(A191,'Budget FY26-28'!A:A,'Budget FY26-28'!M:O)*(1+Summary!$C$2), -2), "")</f>
        <v/>
      </c>
      <c r="R191" s="88" t="n">
        <v>1400</v>
      </c>
      <c r="S191" s="88" t="n">
        <v>1400</v>
      </c>
      <c r="T191" s="67" t="inlineStr">
        <is>
          <t>Ready</t>
        </is>
      </c>
      <c r="U191" s="71" t="n"/>
      <c r="V191" s="84" t="inlineStr">
        <is>
          <t>Not found</t>
        </is>
      </c>
      <c r="W191" s="84" t="inlineStr"/>
      <c r="X191" s="84" t="inlineStr"/>
      <c r="Y191" s="84" t="inlineStr"/>
      <c r="Z191" s="84" t="inlineStr"/>
      <c r="AA191" s="84" t="inlineStr"/>
      <c r="AB191" s="84" t="inlineStr"/>
      <c r="AC191" s="84" t="inlineStr">
        <is>
          <t>No Envizi account ends in this Connection ID</t>
        </is>
      </c>
      <c r="AD191" s="85" t="inlineStr"/>
      <c r="AE191" s="85" t="inlineStr"/>
    </row>
    <row r="192" customFormat="1" s="72">
      <c r="A192" s="66" t="inlineStr">
        <is>
          <t>0000175917CKD00</t>
        </is>
      </c>
      <c r="B192" s="67" t="inlineStr">
        <is>
          <t>Electricity</t>
        </is>
      </c>
      <c r="C192" s="67" t="inlineStr">
        <is>
          <t>New Zealand</t>
        </is>
      </c>
      <c r="D192" s="67" t="inlineStr">
        <is>
          <t>North Island</t>
        </is>
      </c>
      <c r="E192" s="67" t="inlineStr">
        <is>
          <t>NZ NTOU Electricity</t>
        </is>
      </c>
      <c r="F192" s="67" t="n"/>
      <c r="G192" s="67" t="inlineStr">
        <is>
          <t>95A Tirangi Road,Rongotai,Wellington,Wellington Region</t>
        </is>
      </c>
      <c r="H192" s="67" t="inlineStr">
        <is>
          <t>DOWNER NEW ZEALAND LIMITED (NZBN: 9429039194114)</t>
        </is>
      </c>
      <c r="I192" s="67" t="n"/>
      <c r="J192" s="67" t="inlineStr">
        <is>
          <t>kWh</t>
        </is>
      </c>
      <c r="K192" s="86" t="n">
        <v>9842.574468085106</v>
      </c>
      <c r="L192" s="67" t="inlineStr">
        <is>
          <t>Meridian</t>
        </is>
      </c>
      <c r="M192" s="87" t="inlineStr">
        <is>
          <t>Ecotricity</t>
        </is>
      </c>
      <c r="N192" s="87" t="n">
        <v>46388</v>
      </c>
      <c r="O192" s="87" t="n">
        <v>47483</v>
      </c>
      <c r="P192" s="67" t="inlineStr">
        <is>
          <t>36 months</t>
        </is>
      </c>
      <c r="Q192" s="88">
        <f t="array" ref="Q192:S192">IFERROR(ROUNDUP(_xlfn.XLOOKUP(A192,'Budget FY26-28'!A:A,'Budget FY26-28'!M:O)*(1+Summary!$C$2), -2), "")</f>
        <v/>
      </c>
      <c r="R192" s="88" t="n">
        <v>4700</v>
      </c>
      <c r="S192" s="88" t="n">
        <v>4700</v>
      </c>
      <c r="T192" s="67" t="inlineStr">
        <is>
          <t>Ready</t>
        </is>
      </c>
      <c r="U192" s="71" t="n"/>
      <c r="V192" s="84" t="inlineStr">
        <is>
          <t>Not found</t>
        </is>
      </c>
      <c r="W192" s="84" t="inlineStr"/>
      <c r="X192" s="84" t="inlineStr"/>
      <c r="Y192" s="84" t="inlineStr"/>
      <c r="Z192" s="84" t="inlineStr"/>
      <c r="AA192" s="84" t="inlineStr"/>
      <c r="AB192" s="84" t="inlineStr"/>
      <c r="AC192" s="84" t="inlineStr">
        <is>
          <t>No Envizi account ends in this Connection ID</t>
        </is>
      </c>
      <c r="AD192" s="85" t="inlineStr"/>
      <c r="AE192" s="85" t="inlineStr"/>
    </row>
    <row r="193" customFormat="1" s="72">
      <c r="A193" s="66" t="inlineStr">
        <is>
          <t>0000188682UNB66</t>
        </is>
      </c>
      <c r="B193" s="67" t="inlineStr">
        <is>
          <t>Electricity</t>
        </is>
      </c>
      <c r="C193" s="67" t="inlineStr">
        <is>
          <t>New Zealand</t>
        </is>
      </c>
      <c r="D193" s="67" t="inlineStr">
        <is>
          <t>North Island</t>
        </is>
      </c>
      <c r="E193" s="67" t="inlineStr">
        <is>
          <t>NZ NTOU Electricity</t>
        </is>
      </c>
      <c r="F193" s="67" t="n"/>
      <c r="G193" s="67" t="inlineStr">
        <is>
          <t>WAITOKI ROAD,HELENSVILLE,AUCKLAND</t>
        </is>
      </c>
      <c r="H193" s="67" t="inlineStr">
        <is>
          <t>DOWNER NEW ZEALAND LIMITED (NZBN: 9429039194114)</t>
        </is>
      </c>
      <c r="I193" s="67" t="n"/>
      <c r="J193" s="67" t="inlineStr">
        <is>
          <t>kWh</t>
        </is>
      </c>
      <c r="K193" s="86" t="n">
        <v>16550.11820330969</v>
      </c>
      <c r="L193" s="67" t="inlineStr">
        <is>
          <t>Meridian</t>
        </is>
      </c>
      <c r="M193" s="87" t="inlineStr">
        <is>
          <t>Ecotricity</t>
        </is>
      </c>
      <c r="N193" s="87" t="n">
        <v>46388</v>
      </c>
      <c r="O193" s="87" t="n">
        <v>47483</v>
      </c>
      <c r="P193" s="67" t="inlineStr">
        <is>
          <t>36 months</t>
        </is>
      </c>
      <c r="Q193" s="88">
        <f t="array" ref="Q193:S193">IFERROR(ROUNDUP(_xlfn.XLOOKUP(A193,'Budget FY26-28'!A:A,'Budget FY26-28'!M:O)*(1+Summary!$C$2), -2), "")</f>
        <v/>
      </c>
      <c r="R193" s="88" t="n">
        <v>5000</v>
      </c>
      <c r="S193" s="88" t="n">
        <v>5000</v>
      </c>
      <c r="T193" s="67" t="inlineStr">
        <is>
          <t>Ready</t>
        </is>
      </c>
      <c r="U193" s="71" t="n"/>
      <c r="V193" s="84" t="inlineStr">
        <is>
          <t>5068_ICP_0000188682UNB66</t>
        </is>
      </c>
      <c r="W193" s="84" t="inlineStr">
        <is>
          <t>Electricity – purchased from grid [kWh]</t>
        </is>
      </c>
      <c r="X193" s="84" t="inlineStr">
        <is>
          <t>Electricity [kWh]</t>
        </is>
      </c>
      <c r="Y193" s="84" t="inlineStr">
        <is>
          <t>Downer</t>
        </is>
      </c>
      <c r="Z193" s="84" t="inlineStr">
        <is>
          <t>_CLOSED_Depot_T_Waitoki</t>
        </is>
      </c>
      <c r="AA193" s="84" t="inlineStr">
        <is>
          <t>5068</t>
        </is>
      </c>
      <c r="AB193" s="84" t="inlineStr">
        <is>
          <t>Replaced 30 Jun 2022</t>
        </is>
      </c>
      <c r="AC193" s="84" t="inlineStr">
        <is>
          <t>Connection ID is the account number suffix</t>
        </is>
      </c>
      <c r="AD193" s="85" t="inlineStr">
        <is>
          <t>55524_ICP_0000188682UNB66</t>
        </is>
      </c>
      <c r="AE193" s="85" t="inlineStr"/>
    </row>
    <row r="194" customFormat="1" s="72">
      <c r="A194" s="66" t="inlineStr">
        <is>
          <t>0000188684UNAE9</t>
        </is>
      </c>
      <c r="B194" s="67" t="inlineStr">
        <is>
          <t>Electricity</t>
        </is>
      </c>
      <c r="C194" s="67" t="inlineStr">
        <is>
          <t>New Zealand</t>
        </is>
      </c>
      <c r="D194" s="67" t="inlineStr">
        <is>
          <t>North Island</t>
        </is>
      </c>
      <c r="E194" s="67" t="inlineStr">
        <is>
          <t>NZ NTOU Electricity</t>
        </is>
      </c>
      <c r="F194" s="67" t="n"/>
      <c r="G194" s="67" t="inlineStr">
        <is>
          <t>WAITOKI ROAD,DAIRY FLAT,AUCKLAND</t>
        </is>
      </c>
      <c r="H194" s="67" t="inlineStr">
        <is>
          <t>DOWNER NEW ZEALAND LIMITED (NZBN: 9429039194114)</t>
        </is>
      </c>
      <c r="I194" s="67" t="n"/>
      <c r="J194" s="67" t="inlineStr">
        <is>
          <t>kWh</t>
        </is>
      </c>
      <c r="K194" s="86" t="n">
        <v>23071.79669030733</v>
      </c>
      <c r="L194" s="67" t="inlineStr">
        <is>
          <t>Meridian</t>
        </is>
      </c>
      <c r="M194" s="87" t="inlineStr">
        <is>
          <t>Ecotricity</t>
        </is>
      </c>
      <c r="N194" s="87" t="n">
        <v>46388</v>
      </c>
      <c r="O194" s="87" t="n">
        <v>47483</v>
      </c>
      <c r="P194" s="67" t="inlineStr">
        <is>
          <t>36 months</t>
        </is>
      </c>
      <c r="Q194" s="88">
        <f t="array" ref="Q194:S194">IFERROR(ROUNDUP(_xlfn.XLOOKUP(A194,'Budget FY26-28'!A:A,'Budget FY26-28'!M:O)*(1+Summary!$C$2), -2), "")</f>
        <v/>
      </c>
      <c r="R194" s="88" t="n">
        <v>6300</v>
      </c>
      <c r="S194" s="88" t="n">
        <v>6300</v>
      </c>
      <c r="T194" s="67" t="inlineStr">
        <is>
          <t>Ready</t>
        </is>
      </c>
      <c r="U194" s="71" t="n"/>
      <c r="V194" s="84" t="inlineStr">
        <is>
          <t>5068_ICP_0000188684UNAE9</t>
        </is>
      </c>
      <c r="W194" s="84" t="inlineStr">
        <is>
          <t>Electricity – purchased from grid [kWh]</t>
        </is>
      </c>
      <c r="X194" s="84" t="inlineStr">
        <is>
          <t>Electricity [kWh]</t>
        </is>
      </c>
      <c r="Y194" s="84" t="inlineStr">
        <is>
          <t>Downer</t>
        </is>
      </c>
      <c r="Z194" s="84" t="inlineStr">
        <is>
          <t>_CLOSED_Depot_T_Waitoki</t>
        </is>
      </c>
      <c r="AA194" s="84" t="inlineStr">
        <is>
          <t>5068</t>
        </is>
      </c>
      <c r="AB194" s="84" t="inlineStr">
        <is>
          <t>Replaced 30 Jun 2022</t>
        </is>
      </c>
      <c r="AC194" s="84" t="inlineStr">
        <is>
          <t>Connection ID is the account number suffix</t>
        </is>
      </c>
      <c r="AD194" s="85" t="inlineStr">
        <is>
          <t>55524_ICP_0000188684UNAE9</t>
        </is>
      </c>
      <c r="AE194" s="85" t="inlineStr"/>
    </row>
    <row r="195" customFormat="1" s="72">
      <c r="A195" s="66" t="inlineStr">
        <is>
          <t>0000207625DE64D</t>
        </is>
      </c>
      <c r="B195" s="67" t="inlineStr">
        <is>
          <t>Electricity</t>
        </is>
      </c>
      <c r="C195" s="67" t="inlineStr">
        <is>
          <t>New Zealand</t>
        </is>
      </c>
      <c r="D195" s="67" t="inlineStr">
        <is>
          <t>South Island</t>
        </is>
      </c>
      <c r="E195" s="67" t="inlineStr">
        <is>
          <t>NZ NTOU Electricity</t>
        </is>
      </c>
      <c r="F195" s="67" t="n"/>
      <c r="G195" s="67" t="inlineStr">
        <is>
          <t>133 Main South Road,Green Island,Dunedin,Otago Region</t>
        </is>
      </c>
      <c r="H195" s="67" t="inlineStr">
        <is>
          <t>DOWNER NEW ZEALAND LIMITED (NZBN: 9429039194114)</t>
        </is>
      </c>
      <c r="I195" s="67" t="n"/>
      <c r="J195" s="67" t="inlineStr">
        <is>
          <t>kWh</t>
        </is>
      </c>
      <c r="K195" s="86" t="n">
        <v>108486.9739952719</v>
      </c>
      <c r="L195" s="67" t="inlineStr">
        <is>
          <t>Meridian</t>
        </is>
      </c>
      <c r="M195" s="87" t="inlineStr">
        <is>
          <t>Ecotricity</t>
        </is>
      </c>
      <c r="N195" s="87" t="n">
        <v>46388</v>
      </c>
      <c r="O195" s="87" t="n">
        <v>47483</v>
      </c>
      <c r="P195" s="67" t="inlineStr">
        <is>
          <t>36 months</t>
        </is>
      </c>
      <c r="Q195" s="88">
        <f t="array" ref="Q195:S195">IFERROR(ROUNDUP(_xlfn.XLOOKUP(A195,'Budget FY26-28'!A:A,'Budget FY26-28'!M:O)*(1+Summary!$C$2), -2), "")</f>
        <v/>
      </c>
      <c r="R195" s="88" t="n">
        <v>23700</v>
      </c>
      <c r="S195" s="88" t="n">
        <v>23700</v>
      </c>
      <c r="T195" s="67" t="inlineStr">
        <is>
          <t>Ready</t>
        </is>
      </c>
      <c r="U195" s="71" t="n"/>
      <c r="V195" s="84" t="inlineStr">
        <is>
          <t>5026_ICP_0000207625DE64D</t>
        </is>
      </c>
      <c r="W195" s="84" t="inlineStr">
        <is>
          <t>Electricity – purchased from grid [kWh]</t>
        </is>
      </c>
      <c r="X195" s="84" t="inlineStr">
        <is>
          <t>Electricity [kWh]</t>
        </is>
      </c>
      <c r="Y195" s="84" t="inlineStr">
        <is>
          <t>Downer</t>
        </is>
      </c>
      <c r="Z195" s="84" t="inlineStr">
        <is>
          <t>_CLOSED_Depot_T_Dunedin (Green Island)</t>
        </is>
      </c>
      <c r="AA195" s="84" t="inlineStr">
        <is>
          <t>5026</t>
        </is>
      </c>
      <c r="AB195" s="84" t="inlineStr">
        <is>
          <t>Replaced 30 Jun 2022</t>
        </is>
      </c>
      <c r="AC195" s="84" t="inlineStr">
        <is>
          <t>Connection ID is the account number suffix</t>
        </is>
      </c>
      <c r="AD195" s="85" t="inlineStr">
        <is>
          <t>55660_ICP_0000207625DE64D</t>
        </is>
      </c>
      <c r="AE195" s="85" t="inlineStr"/>
    </row>
    <row r="196" customFormat="1" s="72">
      <c r="A196" s="66" t="inlineStr">
        <is>
          <t>0000212636WE1AF</t>
        </is>
      </c>
      <c r="B196" s="67" t="inlineStr">
        <is>
          <t>Electricity</t>
        </is>
      </c>
      <c r="C196" s="67" t="inlineStr">
        <is>
          <t>New Zealand</t>
        </is>
      </c>
      <c r="D196" s="67" t="inlineStr">
        <is>
          <t>North Island</t>
        </is>
      </c>
      <c r="E196" s="67" t="inlineStr">
        <is>
          <t>NZ NTOU Electricity</t>
        </is>
      </c>
      <c r="F196" s="67" t="n"/>
      <c r="G196" s="67" t="inlineStr">
        <is>
          <t>16 Manchester Place,Te Rapa,Hamilton,Waikato Region</t>
        </is>
      </c>
      <c r="H196" s="67" t="inlineStr">
        <is>
          <t>DOWNER NEW ZEALAND LIMITED (NZBN: 9429039194114)</t>
        </is>
      </c>
      <c r="I196" s="67" t="n"/>
      <c r="J196" s="67" t="inlineStr">
        <is>
          <t>kWh</t>
        </is>
      </c>
      <c r="K196" s="86" t="n">
        <v>47211.84397163121</v>
      </c>
      <c r="L196" s="67" t="inlineStr">
        <is>
          <t>Meridian</t>
        </is>
      </c>
      <c r="M196" s="87" t="inlineStr">
        <is>
          <t>Ecotricity</t>
        </is>
      </c>
      <c r="N196" s="87" t="n">
        <v>46388</v>
      </c>
      <c r="O196" s="87" t="n">
        <v>47483</v>
      </c>
      <c r="P196" s="67" t="inlineStr">
        <is>
          <t>36 months</t>
        </is>
      </c>
      <c r="Q196" s="88">
        <f t="array" ref="Q196:S196">IFERROR(ROUNDUP(_xlfn.XLOOKUP(A196,'Budget FY26-28'!A:A,'Budget FY26-28'!M:O)*(1+Summary!$C$2), -2), "")</f>
        <v/>
      </c>
      <c r="R196" s="88" t="n">
        <v>15900</v>
      </c>
      <c r="S196" s="88" t="n">
        <v>15900</v>
      </c>
      <c r="T196" s="67" t="inlineStr">
        <is>
          <t>Ready</t>
        </is>
      </c>
      <c r="U196" s="71" t="n"/>
      <c r="V196" s="84" t="inlineStr">
        <is>
          <t>5031_ICP_0000212636WE1AF</t>
        </is>
      </c>
      <c r="W196" s="84" t="inlineStr">
        <is>
          <t>Electricity – purchased from grid [kWh]</t>
        </is>
      </c>
      <c r="X196" s="84" t="inlineStr">
        <is>
          <t>Electricity [kWh]</t>
        </is>
      </c>
      <c r="Y196" s="84" t="inlineStr">
        <is>
          <t>Downer</t>
        </is>
      </c>
      <c r="Z196" s="84" t="inlineStr">
        <is>
          <t>_CLOSED_Depot_T_Hamilton</t>
        </is>
      </c>
      <c r="AA196" s="84" t="inlineStr">
        <is>
          <t>5031</t>
        </is>
      </c>
      <c r="AB196" s="84" t="inlineStr">
        <is>
          <t>Replaced 30 Jun 2022</t>
        </is>
      </c>
      <c r="AC196" s="84" t="inlineStr">
        <is>
          <t>Connection ID is the account number suffix</t>
        </is>
      </c>
      <c r="AD196" s="85" t="inlineStr">
        <is>
          <t>55540_ICP_0000212636WE1AF</t>
        </is>
      </c>
      <c r="AE196" s="85" t="inlineStr"/>
    </row>
    <row r="197" customFormat="1" s="72">
      <c r="A197" s="66" t="inlineStr">
        <is>
          <t>0000260933MP6FD</t>
        </is>
      </c>
      <c r="B197" s="67" t="inlineStr">
        <is>
          <t>Electricity</t>
        </is>
      </c>
      <c r="C197" s="67" t="inlineStr">
        <is>
          <t>New Zealand</t>
        </is>
      </c>
      <c r="D197" s="67" t="inlineStr">
        <is>
          <t>South Island</t>
        </is>
      </c>
      <c r="E197" s="67" t="inlineStr">
        <is>
          <t>NZ NTOU Electricity</t>
        </is>
      </c>
      <c r="F197" s="67" t="n"/>
      <c r="G197" s="67" t="inlineStr">
        <is>
          <t>PUMP LEWIS PASS ROAD,LEWIS PASS</t>
        </is>
      </c>
      <c r="H197" s="67" t="inlineStr">
        <is>
          <t>DOWNER NEW ZEALAND LIMITED (NZBN: 9429039194114)</t>
        </is>
      </c>
      <c r="I197" s="67" t="n"/>
      <c r="J197" s="67" t="inlineStr">
        <is>
          <t>kWh</t>
        </is>
      </c>
      <c r="K197" s="86" t="n">
        <v>4774.776315789473</v>
      </c>
      <c r="L197" s="67" t="inlineStr">
        <is>
          <t>Meridian</t>
        </is>
      </c>
      <c r="M197" s="87" t="inlineStr">
        <is>
          <t>Ecotricity</t>
        </is>
      </c>
      <c r="N197" s="87" t="n">
        <v>46388</v>
      </c>
      <c r="O197" s="87" t="n">
        <v>47483</v>
      </c>
      <c r="P197" s="67" t="inlineStr">
        <is>
          <t>36 months</t>
        </is>
      </c>
      <c r="Q197" s="88">
        <f t="array" ref="Q197:S197">IFERROR(ROUNDUP(_xlfn.XLOOKUP(A197,'Budget FY26-28'!A:A,'Budget FY26-28'!M:O)*(1+Summary!$C$2), -2), "")</f>
        <v/>
      </c>
      <c r="R197" s="88" t="n">
        <v>3700</v>
      </c>
      <c r="S197" s="88" t="n">
        <v>3700</v>
      </c>
      <c r="T197" s="67" t="inlineStr">
        <is>
          <t>Ready</t>
        </is>
      </c>
      <c r="U197" s="71" t="n"/>
      <c r="V197" s="84" t="inlineStr">
        <is>
          <t>5027_ICP_0000260933MP6FD</t>
        </is>
      </c>
      <c r="W197" s="84" t="inlineStr">
        <is>
          <t>Electricity – purchased from grid [kWh]</t>
        </is>
      </c>
      <c r="X197" s="84" t="inlineStr">
        <is>
          <t>Electricity [kWh]</t>
        </is>
      </c>
      <c r="Y197" s="84" t="inlineStr">
        <is>
          <t>Downer</t>
        </is>
      </c>
      <c r="Z197" s="84" t="inlineStr">
        <is>
          <t>_CLOSED_Depot_T_Engineers Camp (Lewis Pass)</t>
        </is>
      </c>
      <c r="AA197" s="84" t="inlineStr">
        <is>
          <t>5027</t>
        </is>
      </c>
      <c r="AB197" s="84" t="inlineStr">
        <is>
          <t>Replaced 30 Jun 2022</t>
        </is>
      </c>
      <c r="AC197" s="84" t="inlineStr">
        <is>
          <t>Connection ID is the account number suffix</t>
        </is>
      </c>
      <c r="AD197" s="85" t="inlineStr">
        <is>
          <t>55614_ICP_0000260933MP6FD</t>
        </is>
      </c>
      <c r="AE197" s="85" t="inlineStr"/>
    </row>
    <row r="198" customFormat="1" s="72">
      <c r="A198" s="66" t="inlineStr">
        <is>
          <t>0000260936MPBB2</t>
        </is>
      </c>
      <c r="B198" s="67" t="inlineStr">
        <is>
          <t>Electricity</t>
        </is>
      </c>
      <c r="C198" s="67" t="inlineStr">
        <is>
          <t>New Zealand</t>
        </is>
      </c>
      <c r="D198" s="67" t="inlineStr">
        <is>
          <t>South Island</t>
        </is>
      </c>
      <c r="E198" s="67" t="inlineStr">
        <is>
          <t>NZ NTOU Electricity</t>
        </is>
      </c>
      <c r="F198" s="67" t="n"/>
      <c r="G198" s="67" t="inlineStr">
        <is>
          <t>WORKSHOP LEWIS PASS LEWIS PASS ROAD,LEWIS PASS</t>
        </is>
      </c>
      <c r="H198" s="67" t="inlineStr">
        <is>
          <t>DOWNER NEW ZEALAND LIMITED (NZBN: 9429039194114)</t>
        </is>
      </c>
      <c r="I198" s="67" t="n"/>
      <c r="J198" s="67" t="inlineStr">
        <is>
          <t>kWh</t>
        </is>
      </c>
      <c r="K198" s="86" t="n">
        <v>14698.36879432624</v>
      </c>
      <c r="L198" s="67" t="inlineStr">
        <is>
          <t>Meridian</t>
        </is>
      </c>
      <c r="M198" s="87" t="inlineStr">
        <is>
          <t>Ecotricity</t>
        </is>
      </c>
      <c r="N198" s="87" t="n">
        <v>46388</v>
      </c>
      <c r="O198" s="87" t="n">
        <v>47483</v>
      </c>
      <c r="P198" s="67" t="inlineStr">
        <is>
          <t>36 months</t>
        </is>
      </c>
      <c r="Q198" s="88">
        <f t="array" ref="Q198:S198">IFERROR(ROUNDUP(_xlfn.XLOOKUP(A198,'Budget FY26-28'!A:A,'Budget FY26-28'!M:O)*(1+Summary!$C$2), -2), "")</f>
        <v/>
      </c>
      <c r="R198" s="88" t="n">
        <v>6200</v>
      </c>
      <c r="S198" s="88" t="n">
        <v>6200</v>
      </c>
      <c r="T198" s="67" t="inlineStr">
        <is>
          <t>Ready</t>
        </is>
      </c>
      <c r="U198" s="71" t="n"/>
      <c r="V198" s="84" t="inlineStr">
        <is>
          <t>5027_ICP_0000260936MPBB2</t>
        </is>
      </c>
      <c r="W198" s="84" t="inlineStr">
        <is>
          <t>Electricity – purchased from grid [kWh]</t>
        </is>
      </c>
      <c r="X198" s="84" t="inlineStr">
        <is>
          <t>Electricity [kWh]</t>
        </is>
      </c>
      <c r="Y198" s="84" t="inlineStr">
        <is>
          <t>Downer</t>
        </is>
      </c>
      <c r="Z198" s="84" t="inlineStr">
        <is>
          <t>_CLOSED_Depot_T_Engineers Camp (Lewis Pass)</t>
        </is>
      </c>
      <c r="AA198" s="84" t="inlineStr">
        <is>
          <t>5027</t>
        </is>
      </c>
      <c r="AB198" s="84" t="inlineStr">
        <is>
          <t>Replaced 30 Jun 2022</t>
        </is>
      </c>
      <c r="AC198" s="84" t="inlineStr">
        <is>
          <t>Connection ID is the account number suffix</t>
        </is>
      </c>
      <c r="AD198" s="85" t="inlineStr">
        <is>
          <t>55614_ICP_0000260936MPBB2</t>
        </is>
      </c>
      <c r="AE198" s="85" t="inlineStr"/>
    </row>
    <row r="199" customFormat="1" s="72">
      <c r="A199" s="66" t="inlineStr">
        <is>
          <t>0000312551WT450</t>
        </is>
      </c>
      <c r="B199" s="67" t="inlineStr">
        <is>
          <t>Electricity</t>
        </is>
      </c>
      <c r="C199" s="67" t="inlineStr">
        <is>
          <t>New Zealand</t>
        </is>
      </c>
      <c r="D199" s="67" t="inlineStr">
        <is>
          <t>South Island</t>
        </is>
      </c>
      <c r="E199" s="67" t="inlineStr">
        <is>
          <t>NZ NTOU Electricity</t>
        </is>
      </c>
      <c r="F199" s="67" t="n"/>
      <c r="G199" s="67" t="inlineStr">
        <is>
          <t>60 BUSHY BEACH ROAD,South Hill,Oamaru</t>
        </is>
      </c>
      <c r="H199" s="67" t="inlineStr">
        <is>
          <t>DOWNER NEW ZEALAND LIMITED (NZBN: 9429039194114)</t>
        </is>
      </c>
      <c r="I199" s="67" t="n"/>
      <c r="J199" s="67" t="inlineStr">
        <is>
          <t>kWh</t>
        </is>
      </c>
      <c r="K199" s="86" t="n">
        <v>15185.03546099291</v>
      </c>
      <c r="L199" s="67" t="inlineStr">
        <is>
          <t>Meridian</t>
        </is>
      </c>
      <c r="M199" s="87" t="inlineStr">
        <is>
          <t>Ecotricity</t>
        </is>
      </c>
      <c r="N199" s="87" t="n">
        <v>46388</v>
      </c>
      <c r="O199" s="87" t="n">
        <v>47483</v>
      </c>
      <c r="P199" s="67" t="inlineStr">
        <is>
          <t>36 months</t>
        </is>
      </c>
      <c r="Q199" s="88">
        <f t="array" ref="Q199:S199">IFERROR(ROUNDUP(_xlfn.XLOOKUP(A199,'Budget FY26-28'!A:A,'Budget FY26-28'!M:O)*(1+Summary!$C$2), -2), "")</f>
        <v/>
      </c>
      <c r="R199" s="88" t="n">
        <v>5700</v>
      </c>
      <c r="S199" s="88" t="n">
        <v>5700</v>
      </c>
      <c r="T199" s="67" t="inlineStr">
        <is>
          <t>Ready</t>
        </is>
      </c>
      <c r="U199" s="71" t="n"/>
      <c r="V199" s="84" t="inlineStr">
        <is>
          <t>5140_ICP_0000312551WT450</t>
        </is>
      </c>
      <c r="W199" s="84" t="inlineStr">
        <is>
          <t>Electricity – purchased from grid [kWh]</t>
        </is>
      </c>
      <c r="X199" s="84" t="inlineStr">
        <is>
          <t>Electricity [kWh]</t>
        </is>
      </c>
      <c r="Y199" s="84" t="inlineStr">
        <is>
          <t>Downer</t>
        </is>
      </c>
      <c r="Z199" s="84" t="inlineStr">
        <is>
          <t>_CLOSED_U_ITS</t>
        </is>
      </c>
      <c r="AA199" s="84" t="inlineStr">
        <is>
          <t>5140</t>
        </is>
      </c>
      <c r="AB199" s="84" t="inlineStr">
        <is>
          <t>Replaced 30 Jun 2022</t>
        </is>
      </c>
      <c r="AC199" s="84" t="inlineStr">
        <is>
          <t>Connection ID is the account number suffix</t>
        </is>
      </c>
      <c r="AD199" s="85" t="inlineStr">
        <is>
          <t>561544_ICP_0000312551WT450</t>
        </is>
      </c>
      <c r="AE199" s="85" t="inlineStr"/>
    </row>
    <row r="200" customFormat="1" s="72">
      <c r="A200" s="66" t="inlineStr">
        <is>
          <t>0000351696EN0A9</t>
        </is>
      </c>
      <c r="B200" s="67" t="inlineStr">
        <is>
          <t>Electricity</t>
        </is>
      </c>
      <c r="C200" s="67" t="inlineStr">
        <is>
          <t>New Zealand</t>
        </is>
      </c>
      <c r="D200" s="67" t="inlineStr">
        <is>
          <t>North Island</t>
        </is>
      </c>
      <c r="E200" s="67" t="inlineStr">
        <is>
          <t>NZ NTOU Electricity</t>
        </is>
      </c>
      <c r="F200" s="67" t="n"/>
      <c r="G200" s="67" t="inlineStr">
        <is>
          <t>4750 MAIN ROAD,TE PUIA SPRINGS,TE PUIA</t>
        </is>
      </c>
      <c r="H200" s="67" t="inlineStr">
        <is>
          <t>DOWNER NEW ZEALAND LIMITED (NZBN: 9429039194114)</t>
        </is>
      </c>
      <c r="I200" s="67" t="n"/>
      <c r="J200" s="67" t="inlineStr">
        <is>
          <t>kWh</t>
        </is>
      </c>
      <c r="K200" s="86" t="n">
        <v>200</v>
      </c>
      <c r="L200" s="67" t="inlineStr">
        <is>
          <t>Meridian</t>
        </is>
      </c>
      <c r="M200" s="87" t="inlineStr">
        <is>
          <t>Ecotricity</t>
        </is>
      </c>
      <c r="N200" s="87" t="n">
        <v>46388</v>
      </c>
      <c r="O200" s="87" t="n">
        <v>47483</v>
      </c>
      <c r="P200" s="67" t="inlineStr">
        <is>
          <t>36 months</t>
        </is>
      </c>
      <c r="Q200" s="88">
        <f t="array" ref="Q200:S200">IFERROR(ROUNDUP(_xlfn.XLOOKUP(A200,'Budget FY26-28'!A:A,'Budget FY26-28'!M:O)*(1+Summary!$C$2), -2), "")</f>
        <v/>
      </c>
      <c r="R200" s="88" t="n">
        <v>1900</v>
      </c>
      <c r="S200" s="88" t="n">
        <v>1900</v>
      </c>
      <c r="T200" s="67" t="inlineStr">
        <is>
          <t>Ready</t>
        </is>
      </c>
      <c r="U200" s="71" t="n"/>
      <c r="V200" s="84" t="inlineStr">
        <is>
          <t>5071_ICP_0000351696EN0A9</t>
        </is>
      </c>
      <c r="W200" s="84" t="inlineStr">
        <is>
          <t>Electricity – purchased from grid [kWh]</t>
        </is>
      </c>
      <c r="X200" s="84" t="inlineStr">
        <is>
          <t>Electricity [kWh]</t>
        </is>
      </c>
      <c r="Y200" s="84" t="inlineStr">
        <is>
          <t>Downer</t>
        </is>
      </c>
      <c r="Z200" s="84" t="inlineStr">
        <is>
          <t>_CLOSED_Depot_T_Gisborne</t>
        </is>
      </c>
      <c r="AA200" s="84" t="inlineStr">
        <is>
          <t>5071</t>
        </is>
      </c>
      <c r="AB200" s="84" t="inlineStr">
        <is>
          <t>Replaced 30 Jun 2022</t>
        </is>
      </c>
      <c r="AC200" s="84" t="inlineStr">
        <is>
          <t>Connection ID is the account number suffix</t>
        </is>
      </c>
      <c r="AD200" s="85" t="inlineStr">
        <is>
          <t>55580_ICP_0000351696EN0A9</t>
        </is>
      </c>
      <c r="AE200" s="85" t="inlineStr"/>
    </row>
    <row r="201" customFormat="1" s="72">
      <c r="A201" s="66" t="inlineStr">
        <is>
          <t>0000351698EN332</t>
        </is>
      </c>
      <c r="B201" s="67" t="inlineStr">
        <is>
          <t>Electricity</t>
        </is>
      </c>
      <c r="C201" s="67" t="inlineStr">
        <is>
          <t>New Zealand</t>
        </is>
      </c>
      <c r="D201" s="67" t="inlineStr">
        <is>
          <t>North Island</t>
        </is>
      </c>
      <c r="E201" s="67" t="inlineStr">
        <is>
          <t>NZ NTOU Electricity</t>
        </is>
      </c>
      <c r="F201" s="67" t="n"/>
      <c r="G201" s="67" t="inlineStr">
        <is>
          <t>6 WAIPIRO ROAD,TE PUIA SPRINGS,TE PUIA</t>
        </is>
      </c>
      <c r="H201" s="67" t="inlineStr">
        <is>
          <t>DOWNER NEW ZEALAND LIMITED (NZBN: 9429039194114)</t>
        </is>
      </c>
      <c r="I201" s="67" t="n"/>
      <c r="J201" s="67" t="inlineStr">
        <is>
          <t>kWh</t>
        </is>
      </c>
      <c r="K201" s="86" t="n">
        <v>7362.127659574468</v>
      </c>
      <c r="L201" s="67" t="inlineStr">
        <is>
          <t>Meridian</t>
        </is>
      </c>
      <c r="M201" s="87" t="inlineStr">
        <is>
          <t>Ecotricity</t>
        </is>
      </c>
      <c r="N201" s="87" t="n">
        <v>46388</v>
      </c>
      <c r="O201" s="87" t="n">
        <v>47483</v>
      </c>
      <c r="P201" s="67" t="inlineStr">
        <is>
          <t>36 months</t>
        </is>
      </c>
      <c r="Q201" s="88">
        <f t="array" ref="Q201:S201">IFERROR(ROUNDUP(_xlfn.XLOOKUP(A201,'Budget FY26-28'!A:A,'Budget FY26-28'!M:O)*(1+Summary!$C$2), -2), "")</f>
        <v/>
      </c>
      <c r="R201" s="88" t="n">
        <v>7900</v>
      </c>
      <c r="S201" s="88" t="n">
        <v>7900</v>
      </c>
      <c r="T201" s="67" t="inlineStr">
        <is>
          <t>Ready</t>
        </is>
      </c>
      <c r="U201" s="71" t="n"/>
      <c r="V201" s="84" t="inlineStr">
        <is>
          <t>5071_ICP_0000351698EN332</t>
        </is>
      </c>
      <c r="W201" s="84" t="inlineStr">
        <is>
          <t>Electricity – purchased from grid [kWh]</t>
        </is>
      </c>
      <c r="X201" s="84" t="inlineStr">
        <is>
          <t>Electricity [kWh]</t>
        </is>
      </c>
      <c r="Y201" s="84" t="inlineStr">
        <is>
          <t>Downer</t>
        </is>
      </c>
      <c r="Z201" s="84" t="inlineStr">
        <is>
          <t>_CLOSED_Depot_T_Gisborne</t>
        </is>
      </c>
      <c r="AA201" s="84" t="inlineStr">
        <is>
          <t>5071</t>
        </is>
      </c>
      <c r="AB201" s="84" t="inlineStr">
        <is>
          <t>Replaced 30 Jun 2022</t>
        </is>
      </c>
      <c r="AC201" s="84" t="inlineStr">
        <is>
          <t>Connection ID is the account number suffix</t>
        </is>
      </c>
      <c r="AD201" s="85" t="inlineStr">
        <is>
          <t>55580_ICP_0000351698EN332</t>
        </is>
      </c>
      <c r="AE201" s="85" t="inlineStr"/>
    </row>
    <row r="202" customFormat="1" s="72">
      <c r="A202" s="66" t="inlineStr">
        <is>
          <t>0000382532TPE86</t>
        </is>
      </c>
      <c r="B202" s="67" t="inlineStr">
        <is>
          <t>Electricity</t>
        </is>
      </c>
      <c r="C202" s="67" t="inlineStr">
        <is>
          <t>New Zealand</t>
        </is>
      </c>
      <c r="D202" s="67" t="inlineStr">
        <is>
          <t>South Island</t>
        </is>
      </c>
      <c r="E202" s="67" t="inlineStr">
        <is>
          <t>NZ NTOU Electricity</t>
        </is>
      </c>
      <c r="F202" s="67" t="n"/>
      <c r="G202" s="67" t="inlineStr">
        <is>
          <t>MID DOME ROAD,MOSSBURN</t>
        </is>
      </c>
      <c r="H202" s="67" t="inlineStr">
        <is>
          <t>DOWNER NEW ZEALAND LIMITED (NZBN: 9429039194114)</t>
        </is>
      </c>
      <c r="I202" s="67" t="n"/>
      <c r="J202" s="67" t="inlineStr">
        <is>
          <t>kWh</t>
        </is>
      </c>
      <c r="K202" s="86" t="n">
        <v>1006.12293144208</v>
      </c>
      <c r="L202" s="67" t="inlineStr">
        <is>
          <t>Meridian</t>
        </is>
      </c>
      <c r="M202" s="87" t="inlineStr">
        <is>
          <t>Ecotricity</t>
        </is>
      </c>
      <c r="N202" s="87" t="n">
        <v>46388</v>
      </c>
      <c r="O202" s="87" t="n">
        <v>47483</v>
      </c>
      <c r="P202" s="67" t="inlineStr">
        <is>
          <t>36 months</t>
        </is>
      </c>
      <c r="Q202" s="88">
        <f t="array" ref="Q202:S202">IFERROR(ROUNDUP(_xlfn.XLOOKUP(A202,'Budget FY26-28'!A:A,'Budget FY26-28'!M:O)*(1+Summary!$C$2), -2), "")</f>
        <v/>
      </c>
      <c r="R202" s="88" t="n">
        <v>1500</v>
      </c>
      <c r="S202" s="88" t="n">
        <v>1500</v>
      </c>
      <c r="T202" s="67" t="inlineStr">
        <is>
          <t>Ready</t>
        </is>
      </c>
      <c r="U202" s="71" t="n"/>
      <c r="V202" s="84" t="inlineStr">
        <is>
          <t>5140_ICP_0000382532TPE86</t>
        </is>
      </c>
      <c r="W202" s="84" t="inlineStr">
        <is>
          <t>Electricity – purchased from grid [kWh]</t>
        </is>
      </c>
      <c r="X202" s="84" t="inlineStr">
        <is>
          <t>Electricity [kWh]</t>
        </is>
      </c>
      <c r="Y202" s="84" t="inlineStr">
        <is>
          <t>Downer</t>
        </is>
      </c>
      <c r="Z202" s="84" t="inlineStr">
        <is>
          <t>_CLOSED_U_ITS</t>
        </is>
      </c>
      <c r="AA202" s="84" t="inlineStr">
        <is>
          <t>5140</t>
        </is>
      </c>
      <c r="AB202" s="84" t="inlineStr">
        <is>
          <t>Replaced 30 Jun 2022</t>
        </is>
      </c>
      <c r="AC202" s="84" t="inlineStr">
        <is>
          <t>Connection ID is the account number suffix</t>
        </is>
      </c>
      <c r="AD202" s="85" t="inlineStr">
        <is>
          <t>561531_ICP_0000382532TPE86</t>
        </is>
      </c>
      <c r="AE202" s="85" t="inlineStr"/>
    </row>
    <row r="203" customFormat="1" s="72">
      <c r="A203" s="66" t="inlineStr">
        <is>
          <t>0000386961TP0C2</t>
        </is>
      </c>
      <c r="B203" s="67" t="inlineStr">
        <is>
          <t>Electricity</t>
        </is>
      </c>
      <c r="C203" s="67" t="inlineStr">
        <is>
          <t>New Zealand</t>
        </is>
      </c>
      <c r="D203" s="67" t="inlineStr">
        <is>
          <t>South Island</t>
        </is>
      </c>
      <c r="E203" s="67" t="inlineStr">
        <is>
          <t>NZ NTOU Electricity</t>
        </is>
      </c>
      <c r="F203" s="67" t="n"/>
      <c r="G203" s="67" t="inlineStr">
        <is>
          <t>1036 Hillside Manapouri Road,Manapouri,Southland Region</t>
        </is>
      </c>
      <c r="H203" s="67" t="inlineStr">
        <is>
          <t>DOWNER NEW ZEALAND LIMITED (NZBN: 9429039194114)</t>
        </is>
      </c>
      <c r="I203" s="67" t="n"/>
      <c r="J203" s="67" t="inlineStr">
        <is>
          <t>kWh</t>
        </is>
      </c>
      <c r="K203" s="86" t="n">
        <v>2393.640661938534</v>
      </c>
      <c r="L203" s="67" t="inlineStr">
        <is>
          <t>Meridian</t>
        </is>
      </c>
      <c r="M203" s="87" t="inlineStr">
        <is>
          <t>Ecotricity</t>
        </is>
      </c>
      <c r="N203" s="87" t="n">
        <v>46388</v>
      </c>
      <c r="O203" s="87" t="n">
        <v>47483</v>
      </c>
      <c r="P203" s="67" t="inlineStr">
        <is>
          <t>36 months</t>
        </is>
      </c>
      <c r="Q203" s="88">
        <f t="array" ref="Q203:S203">IFERROR(ROUNDUP(_xlfn.XLOOKUP(A203,'Budget FY26-28'!A:A,'Budget FY26-28'!M:O)*(1+Summary!$C$2), -2), "")</f>
        <v/>
      </c>
      <c r="R203" s="88" t="n">
        <v>1800</v>
      </c>
      <c r="S203" s="88" t="n">
        <v>1800</v>
      </c>
      <c r="T203" s="67" t="inlineStr">
        <is>
          <t>Ready</t>
        </is>
      </c>
      <c r="U203" s="71" t="n"/>
      <c r="V203" s="84" t="inlineStr">
        <is>
          <t>5140_ICP_0000386961TP0C2</t>
        </is>
      </c>
      <c r="W203" s="84" t="inlineStr">
        <is>
          <t>Electricity – purchased from grid [kWh]</t>
        </is>
      </c>
      <c r="X203" s="84" t="inlineStr">
        <is>
          <t>Electricity [kWh]</t>
        </is>
      </c>
      <c r="Y203" s="84" t="inlineStr">
        <is>
          <t>Downer</t>
        </is>
      </c>
      <c r="Z203" s="84" t="inlineStr">
        <is>
          <t>_CLOSED_U_ITS</t>
        </is>
      </c>
      <c r="AA203" s="84" t="inlineStr">
        <is>
          <t>5140</t>
        </is>
      </c>
      <c r="AB203" s="84" t="inlineStr">
        <is>
          <t>Replaced 30 Jun 2022</t>
        </is>
      </c>
      <c r="AC203" s="84" t="inlineStr">
        <is>
          <t>Connection ID is the account number suffix</t>
        </is>
      </c>
      <c r="AD203" s="85" t="inlineStr">
        <is>
          <t>561544_ICP_0000386961TP0C2</t>
        </is>
      </c>
      <c r="AE203" s="85" t="inlineStr"/>
    </row>
    <row r="204" customFormat="1" s="72">
      <c r="A204" s="66" t="inlineStr">
        <is>
          <t>0000405525TP7AF</t>
        </is>
      </c>
      <c r="B204" s="67" t="inlineStr">
        <is>
          <t>Electricity</t>
        </is>
      </c>
      <c r="C204" s="67" t="inlineStr">
        <is>
          <t>New Zealand</t>
        </is>
      </c>
      <c r="D204" s="67" t="inlineStr">
        <is>
          <t>South Island</t>
        </is>
      </c>
      <c r="E204" s="67" t="inlineStr">
        <is>
          <t>NZ NTOU Electricity</t>
        </is>
      </c>
      <c r="F204" s="67" t="n"/>
      <c r="G204" s="67" t="inlineStr">
        <is>
          <t>29 Caswell Road,Te Anau,Southland Region</t>
        </is>
      </c>
      <c r="H204" s="67" t="inlineStr">
        <is>
          <t>DOWNER NEW ZEALAND LIMITED (NZBN: 9429039194114)</t>
        </is>
      </c>
      <c r="I204" s="67" t="n"/>
      <c r="J204" s="67" t="inlineStr">
        <is>
          <t>kWh</t>
        </is>
      </c>
      <c r="K204" s="86" t="n">
        <v>74992.39952718676</v>
      </c>
      <c r="L204" s="67" t="inlineStr">
        <is>
          <t>Meridian</t>
        </is>
      </c>
      <c r="M204" s="87" t="inlineStr">
        <is>
          <t>Ecotricity</t>
        </is>
      </c>
      <c r="N204" s="87" t="n">
        <v>46388</v>
      </c>
      <c r="O204" s="87" t="n">
        <v>47483</v>
      </c>
      <c r="P204" s="67" t="inlineStr">
        <is>
          <t>36 months</t>
        </is>
      </c>
      <c r="Q204" s="88">
        <f t="array" ref="Q204:S204">IFERROR(ROUNDUP(_xlfn.XLOOKUP(A204,'Budget FY26-28'!A:A,'Budget FY26-28'!M:O)*(1+Summary!$C$2), -2), "")</f>
        <v/>
      </c>
      <c r="R204" s="88" t="n">
        <v>25600</v>
      </c>
      <c r="S204" s="88" t="n">
        <v>25600</v>
      </c>
      <c r="T204" s="67" t="inlineStr">
        <is>
          <t>Ready</t>
        </is>
      </c>
      <c r="U204" s="71" t="n"/>
      <c r="V204" s="84" t="inlineStr">
        <is>
          <t>5060_ICP_0000405525TP7AF</t>
        </is>
      </c>
      <c r="W204" s="84" t="inlineStr">
        <is>
          <t>Electricity – purchased from grid [kWh]</t>
        </is>
      </c>
      <c r="X204" s="84" t="inlineStr">
        <is>
          <t>Electricity [kWh]</t>
        </is>
      </c>
      <c r="Y204" s="84" t="inlineStr">
        <is>
          <t>Downer</t>
        </is>
      </c>
      <c r="Z204" s="84" t="inlineStr">
        <is>
          <t>_CLOSED_Depot_T_Te Anau</t>
        </is>
      </c>
      <c r="AA204" s="84" t="inlineStr">
        <is>
          <t>5060</t>
        </is>
      </c>
      <c r="AB204" s="84" t="inlineStr">
        <is>
          <t>Replaced 30 Jun 2022</t>
        </is>
      </c>
      <c r="AC204" s="84" t="inlineStr">
        <is>
          <t>Connection ID is the account number suffix</t>
        </is>
      </c>
      <c r="AD204" s="85" t="inlineStr">
        <is>
          <t>55682_ICP_0000405525TP7AF</t>
        </is>
      </c>
      <c r="AE204" s="85" t="inlineStr"/>
    </row>
    <row r="205" customFormat="1" s="72">
      <c r="A205" s="66" t="inlineStr">
        <is>
          <t>0000408379TP09F</t>
        </is>
      </c>
      <c r="B205" s="67" t="inlineStr">
        <is>
          <t>Electricity</t>
        </is>
      </c>
      <c r="C205" s="67" t="inlineStr">
        <is>
          <t>New Zealand</t>
        </is>
      </c>
      <c r="D205" s="67" t="inlineStr">
        <is>
          <t>South Island</t>
        </is>
      </c>
      <c r="E205" s="67" t="inlineStr">
        <is>
          <t>NZ NTOU Electricity</t>
        </is>
      </c>
      <c r="F205" s="67" t="n"/>
      <c r="G205" s="67" t="inlineStr">
        <is>
          <t>103 Howden Street,Te Anau,Southland Region</t>
        </is>
      </c>
      <c r="H205" s="67" t="inlineStr">
        <is>
          <t>DOWNER NEW ZEALAND LIMITED (NZBN: 9429039194114)</t>
        </is>
      </c>
      <c r="I205" s="67" t="n"/>
      <c r="J205" s="67" t="inlineStr">
        <is>
          <t>kWh</t>
        </is>
      </c>
      <c r="K205" s="86" t="n">
        <v>11054.40898345154</v>
      </c>
      <c r="L205" s="67" t="inlineStr">
        <is>
          <t>Meridian</t>
        </is>
      </c>
      <c r="M205" s="87" t="inlineStr">
        <is>
          <t>Ecotricity</t>
        </is>
      </c>
      <c r="N205" s="87" t="n">
        <v>46388</v>
      </c>
      <c r="O205" s="87" t="n">
        <v>47483</v>
      </c>
      <c r="P205" s="67" t="inlineStr">
        <is>
          <t>36 months</t>
        </is>
      </c>
      <c r="Q205" s="88">
        <f t="array" ref="Q205:S205">IFERROR(ROUNDUP(_xlfn.XLOOKUP(A205,'Budget FY26-28'!A:A,'Budget FY26-28'!M:O)*(1+Summary!$C$2), -2), "")</f>
        <v/>
      </c>
      <c r="R205" s="88" t="n">
        <v>4500</v>
      </c>
      <c r="S205" s="88" t="n">
        <v>4500</v>
      </c>
      <c r="T205" s="67" t="inlineStr">
        <is>
          <t>Ready</t>
        </is>
      </c>
      <c r="U205" s="71" t="n"/>
      <c r="V205" s="84" t="inlineStr">
        <is>
          <t>5009_ICP_0000408379TP09F</t>
        </is>
      </c>
      <c r="W205" s="84" t="inlineStr">
        <is>
          <t>Electricity – purchased from grid [kWh]</t>
        </is>
      </c>
      <c r="X205" s="84" t="inlineStr">
        <is>
          <t>Electricity [kWh]</t>
        </is>
      </c>
      <c r="Y205" s="84" t="inlineStr">
        <is>
          <t>Downer</t>
        </is>
      </c>
      <c r="Z205" s="84" t="inlineStr">
        <is>
          <t>_CLOSED_Support_Corp_Property</t>
        </is>
      </c>
      <c r="AA205" s="84" t="inlineStr">
        <is>
          <t>L9.DNZJ.9030</t>
        </is>
      </c>
      <c r="AB205" s="84" t="inlineStr">
        <is>
          <t>Replaced 30 Jun 2022</t>
        </is>
      </c>
      <c r="AC205" s="84" t="inlineStr">
        <is>
          <t>Connection ID is the account number suffix</t>
        </is>
      </c>
      <c r="AD205" s="85" t="inlineStr">
        <is>
          <t>91336_ICP_0000408379TP09F</t>
        </is>
      </c>
      <c r="AE205" s="85" t="inlineStr"/>
    </row>
    <row r="206" customFormat="1" s="72">
      <c r="A206" s="66" t="inlineStr">
        <is>
          <t>0000485414CE4EE</t>
        </is>
      </c>
      <c r="B206" s="67" t="inlineStr">
        <is>
          <t>Electricity</t>
        </is>
      </c>
      <c r="C206" s="67" t="inlineStr">
        <is>
          <t>New Zealand</t>
        </is>
      </c>
      <c r="D206" s="67" t="inlineStr">
        <is>
          <t>South Island</t>
        </is>
      </c>
      <c r="E206" s="67" t="inlineStr">
        <is>
          <t>NZ NTOU Electricity</t>
        </is>
      </c>
      <c r="F206" s="67" t="n"/>
      <c r="G206" s="67" t="inlineStr">
        <is>
          <t>7 Jock Boyd Place,Frankton,Queenstown,Otago Region</t>
        </is>
      </c>
      <c r="H206" s="67" t="inlineStr">
        <is>
          <t>DOWNER NEW ZEALAND LIMITED (NZBN: 9429039194114)</t>
        </is>
      </c>
      <c r="I206" s="67" t="n"/>
      <c r="J206" s="67" t="inlineStr">
        <is>
          <t>kWh</t>
        </is>
      </c>
      <c r="K206" s="86" t="n">
        <v>42589.37352245863</v>
      </c>
      <c r="L206" s="67" t="inlineStr">
        <is>
          <t>Meridian</t>
        </is>
      </c>
      <c r="M206" s="87" t="inlineStr">
        <is>
          <t>Ecotricity</t>
        </is>
      </c>
      <c r="N206" s="87" t="n">
        <v>46388</v>
      </c>
      <c r="O206" s="87" t="n">
        <v>47483</v>
      </c>
      <c r="P206" s="67" t="inlineStr">
        <is>
          <t>36 months</t>
        </is>
      </c>
      <c r="Q206" s="88">
        <f t="array" ref="Q206:S206">IFERROR(ROUNDUP(_xlfn.XLOOKUP(A206,'Budget FY26-28'!A:A,'Budget FY26-28'!M:O)*(1+Summary!$C$2), -2), "")</f>
        <v/>
      </c>
      <c r="R206" s="88" t="n">
        <v>9500</v>
      </c>
      <c r="S206" s="88" t="n">
        <v>9500</v>
      </c>
      <c r="T206" s="67" t="inlineStr">
        <is>
          <t>Ready</t>
        </is>
      </c>
      <c r="U206" s="71" t="n"/>
      <c r="V206" s="84" t="inlineStr">
        <is>
          <t>5051_ICP_0000485414CE4EE</t>
        </is>
      </c>
      <c r="W206" s="84" t="inlineStr">
        <is>
          <t>Electricity – purchased from grid [kWh]</t>
        </is>
      </c>
      <c r="X206" s="84" t="inlineStr">
        <is>
          <t>Electricity [kWh]</t>
        </is>
      </c>
      <c r="Y206" s="84" t="inlineStr">
        <is>
          <t>Downer</t>
        </is>
      </c>
      <c r="Z206" s="84" t="inlineStr">
        <is>
          <t>_CLOSED_Depot_T_Queenstown</t>
        </is>
      </c>
      <c r="AA206" s="84" t="inlineStr">
        <is>
          <t>5051</t>
        </is>
      </c>
      <c r="AB206" s="84" t="inlineStr">
        <is>
          <t>Replaced 30 Jun 2022</t>
        </is>
      </c>
      <c r="AC206" s="84" t="inlineStr">
        <is>
          <t>Connection ID is the account number suffix</t>
        </is>
      </c>
      <c r="AD206" s="85" t="inlineStr">
        <is>
          <t>55680_ICP_0000485414CE4EE</t>
        </is>
      </c>
      <c r="AE206" s="85" t="inlineStr"/>
    </row>
    <row r="207" customFormat="1" s="72">
      <c r="A207" s="66" t="inlineStr">
        <is>
          <t>0000486901CE4E4</t>
        </is>
      </c>
      <c r="B207" s="67" t="inlineStr">
        <is>
          <t>Electricity</t>
        </is>
      </c>
      <c r="C207" s="67" t="inlineStr">
        <is>
          <t>New Zealand</t>
        </is>
      </c>
      <c r="D207" s="67" t="inlineStr">
        <is>
          <t>South Island</t>
        </is>
      </c>
      <c r="E207" s="67" t="inlineStr">
        <is>
          <t>NZ NTOU Electricity</t>
        </is>
      </c>
      <c r="F207" s="67" t="n"/>
      <c r="G207" s="67" t="inlineStr">
        <is>
          <t>WORKS INF; SEC 5 SO 22536 LUGGATE CROMWELL ROAD,PARKBURN,LUGGATE</t>
        </is>
      </c>
      <c r="H207" s="67" t="inlineStr">
        <is>
          <t>DOWNER NEW ZEALAND LIMITED (NZBN: 9429039194114)</t>
        </is>
      </c>
      <c r="I207" s="67" t="n"/>
      <c r="J207" s="67" t="inlineStr">
        <is>
          <t>kWh</t>
        </is>
      </c>
      <c r="K207" s="86" t="n">
        <v>115651.5011820331</v>
      </c>
      <c r="L207" s="67" t="inlineStr">
        <is>
          <t>Meridian</t>
        </is>
      </c>
      <c r="M207" s="87" t="inlineStr">
        <is>
          <t>Ecotricity</t>
        </is>
      </c>
      <c r="N207" s="87" t="n">
        <v>46388</v>
      </c>
      <c r="O207" s="87" t="n">
        <v>47483</v>
      </c>
      <c r="P207" s="67" t="inlineStr">
        <is>
          <t>36 months</t>
        </is>
      </c>
      <c r="Q207" s="88">
        <f t="array" ref="Q207:S207">IFERROR(ROUNDUP(_xlfn.XLOOKUP(A207,'Budget FY26-28'!A:A,'Budget FY26-28'!M:O)*(1+Summary!$C$2), -2), "")</f>
        <v/>
      </c>
      <c r="R207" s="88" t="n">
        <v>25100</v>
      </c>
      <c r="S207" s="88" t="n">
        <v>25100</v>
      </c>
      <c r="T207" s="67" t="inlineStr">
        <is>
          <t>Ready</t>
        </is>
      </c>
      <c r="U207" s="71" t="n"/>
      <c r="V207" s="84" t="inlineStr">
        <is>
          <t>5051_ICP_0000486901CE4E4</t>
        </is>
      </c>
      <c r="W207" s="84" t="inlineStr">
        <is>
          <t>Electricity – purchased from grid [kWh]</t>
        </is>
      </c>
      <c r="X207" s="84" t="inlineStr">
        <is>
          <t>Electricity [kWh]</t>
        </is>
      </c>
      <c r="Y207" s="84" t="inlineStr">
        <is>
          <t>Downer</t>
        </is>
      </c>
      <c r="Z207" s="84" t="inlineStr">
        <is>
          <t>_CLOSED_Depot_T_Queenstown</t>
        </is>
      </c>
      <c r="AA207" s="84" t="inlineStr">
        <is>
          <t>5051</t>
        </is>
      </c>
      <c r="AB207" s="84" t="inlineStr">
        <is>
          <t>Replaced 30 Jun 2022</t>
        </is>
      </c>
      <c r="AC207" s="84" t="inlineStr">
        <is>
          <t>Connection ID is the account number suffix</t>
        </is>
      </c>
      <c r="AD207" s="85" t="inlineStr">
        <is>
          <t>55680_ICP_0000486901CE4E4</t>
        </is>
      </c>
      <c r="AE207" s="85" t="inlineStr"/>
    </row>
    <row r="208" customFormat="1" s="72">
      <c r="A208" s="66" t="inlineStr">
        <is>
          <t>0000517047DE2D4</t>
        </is>
      </c>
      <c r="B208" s="67" t="inlineStr">
        <is>
          <t>Electricity</t>
        </is>
      </c>
      <c r="C208" s="67" t="inlineStr">
        <is>
          <t>New Zealand</t>
        </is>
      </c>
      <c r="D208" s="67" t="inlineStr">
        <is>
          <t>South Island</t>
        </is>
      </c>
      <c r="E208" s="67" t="inlineStr">
        <is>
          <t>NZ NTOU Electricity</t>
        </is>
      </c>
      <c r="F208" s="67" t="n"/>
      <c r="G208" s="67" t="inlineStr">
        <is>
          <t>Unit 3 53 Albert Street,St Clair,Dunedin</t>
        </is>
      </c>
      <c r="H208" s="67" t="inlineStr">
        <is>
          <t>DOWNER NEW ZEALAND LIMITED (NZBN: 9429039194114)</t>
        </is>
      </c>
      <c r="I208" s="67" t="n"/>
      <c r="J208" s="67" t="inlineStr">
        <is>
          <t>kWh</t>
        </is>
      </c>
      <c r="K208" s="86" t="n">
        <v>4557.75413711584</v>
      </c>
      <c r="L208" s="67" t="inlineStr">
        <is>
          <t>Meridian</t>
        </is>
      </c>
      <c r="M208" s="87" t="inlineStr">
        <is>
          <t>Ecotricity</t>
        </is>
      </c>
      <c r="N208" s="87" t="n">
        <v>46388</v>
      </c>
      <c r="O208" s="87" t="n">
        <v>47483</v>
      </c>
      <c r="P208" s="67" t="inlineStr">
        <is>
          <t>36 months</t>
        </is>
      </c>
      <c r="Q208" s="88">
        <f t="array" ref="Q208:S208">IFERROR(ROUNDUP(_xlfn.XLOOKUP(A208,'Budget FY26-28'!A:A,'Budget FY26-28'!M:O)*(1+Summary!$C$2), -2), "")</f>
        <v/>
      </c>
      <c r="R208" s="88" t="n">
        <v>2700</v>
      </c>
      <c r="S208" s="88" t="n">
        <v>2700</v>
      </c>
      <c r="T208" s="67" t="inlineStr">
        <is>
          <t>Ready</t>
        </is>
      </c>
      <c r="U208" s="71" t="n"/>
      <c r="V208" s="84" t="inlineStr">
        <is>
          <t>Not found</t>
        </is>
      </c>
      <c r="W208" s="84" t="inlineStr"/>
      <c r="X208" s="84" t="inlineStr"/>
      <c r="Y208" s="84" t="inlineStr"/>
      <c r="Z208" s="84" t="inlineStr"/>
      <c r="AA208" s="84" t="inlineStr"/>
      <c r="AB208" s="84" t="inlineStr"/>
      <c r="AC208" s="84" t="inlineStr">
        <is>
          <t>No Envizi account ends in this Connection ID</t>
        </is>
      </c>
      <c r="AD208" s="85" t="inlineStr"/>
      <c r="AE208" s="85" t="inlineStr"/>
    </row>
    <row r="209" customFormat="1" s="72">
      <c r="A209" s="66" t="inlineStr">
        <is>
          <t>0000526222NR65B</t>
        </is>
      </c>
      <c r="B209" s="67" t="inlineStr">
        <is>
          <t>Electricity</t>
        </is>
      </c>
      <c r="C209" s="67" t="inlineStr">
        <is>
          <t>New Zealand</t>
        </is>
      </c>
      <c r="D209" s="67" t="inlineStr">
        <is>
          <t>North Island</t>
        </is>
      </c>
      <c r="E209" s="67" t="inlineStr">
        <is>
          <t>NZ NTOU Electricity</t>
        </is>
      </c>
      <c r="F209" s="67" t="n"/>
      <c r="G209" s="67" t="inlineStr">
        <is>
          <t>6 Day Street,Dargaville,Northland Region</t>
        </is>
      </c>
      <c r="H209" s="67" t="inlineStr">
        <is>
          <t>DOWNER NEW ZEALAND LIMITED (NZBN: 9429039194114)</t>
        </is>
      </c>
      <c r="I209" s="67" t="n"/>
      <c r="J209" s="67" t="inlineStr">
        <is>
          <t>kWh</t>
        </is>
      </c>
      <c r="K209" s="86" t="n">
        <v>9537.458628841609</v>
      </c>
      <c r="L209" s="67" t="inlineStr">
        <is>
          <t>Meridian</t>
        </is>
      </c>
      <c r="M209" s="87" t="inlineStr">
        <is>
          <t>Ecotricity</t>
        </is>
      </c>
      <c r="N209" s="87" t="n">
        <v>46388</v>
      </c>
      <c r="O209" s="87" t="n">
        <v>47483</v>
      </c>
      <c r="P209" s="67" t="inlineStr">
        <is>
          <t>36 months</t>
        </is>
      </c>
      <c r="Q209" s="88">
        <f t="array" ref="Q209:S209">IFERROR(ROUNDUP(_xlfn.XLOOKUP(A209,'Budget FY26-28'!A:A,'Budget FY26-28'!M:O)*(1+Summary!$C$2), -2), "")</f>
        <v/>
      </c>
      <c r="R209" s="88" t="n">
        <v>4900</v>
      </c>
      <c r="S209" s="88" t="n">
        <v>4900</v>
      </c>
      <c r="T209" s="67" t="inlineStr">
        <is>
          <t>Ready</t>
        </is>
      </c>
      <c r="U209" s="71" t="n"/>
      <c r="V209" s="84" t="inlineStr">
        <is>
          <t>5252_ICP_0000526222NR65B</t>
        </is>
      </c>
      <c r="W209" s="84" t="inlineStr">
        <is>
          <t>Electricity – purchased from grid [kWh]</t>
        </is>
      </c>
      <c r="X209" s="84" t="inlineStr">
        <is>
          <t>Electricity [kWh]</t>
        </is>
      </c>
      <c r="Y209" s="84" t="inlineStr">
        <is>
          <t>Downer</t>
        </is>
      </c>
      <c r="Z209" s="84" t="inlineStr">
        <is>
          <t>_CLOSED_Depot_T_Dargaville</t>
        </is>
      </c>
      <c r="AA209" s="84" t="inlineStr">
        <is>
          <t>5252</t>
        </is>
      </c>
      <c r="AB209" s="84" t="inlineStr">
        <is>
          <t>Replaced 30 Jun 2022</t>
        </is>
      </c>
      <c r="AC209" s="84" t="inlineStr">
        <is>
          <t>Connection ID is the account number suffix</t>
        </is>
      </c>
      <c r="AD209" s="85" t="inlineStr">
        <is>
          <t>55512_ICP_0000526222NR65B</t>
        </is>
      </c>
      <c r="AE209" s="85" t="inlineStr"/>
    </row>
    <row r="210" customFormat="1" s="72">
      <c r="A210" s="66" t="inlineStr">
        <is>
          <t>0000548841NR5F9</t>
        </is>
      </c>
      <c r="B210" s="67" t="inlineStr">
        <is>
          <t>Electricity</t>
        </is>
      </c>
      <c r="C210" s="67" t="inlineStr">
        <is>
          <t>New Zealand</t>
        </is>
      </c>
      <c r="D210" s="67" t="inlineStr">
        <is>
          <t>North Island</t>
        </is>
      </c>
      <c r="E210" s="67" t="inlineStr">
        <is>
          <t>NZ NTOU Electricity</t>
        </is>
      </c>
      <c r="F210" s="67" t="n"/>
      <c r="G210" s="67" t="inlineStr">
        <is>
          <t>Office PORT ROAD,WHANGAREI</t>
        </is>
      </c>
      <c r="H210" s="67" t="inlineStr">
        <is>
          <t>DOWNER NEW ZEALAND LIMITED (NZBN: 9429039194114)</t>
        </is>
      </c>
      <c r="I210" s="67" t="n"/>
      <c r="J210" s="67" t="inlineStr">
        <is>
          <t>kWh</t>
        </is>
      </c>
      <c r="K210" s="86" t="n">
        <v>42082.94486215539</v>
      </c>
      <c r="L210" s="67" t="inlineStr">
        <is>
          <t>Meridian</t>
        </is>
      </c>
      <c r="M210" s="87" t="inlineStr">
        <is>
          <t>Ecotricity</t>
        </is>
      </c>
      <c r="N210" s="87" t="n">
        <v>46388</v>
      </c>
      <c r="O210" s="87" t="n">
        <v>47483</v>
      </c>
      <c r="P210" s="67" t="inlineStr">
        <is>
          <t>36 months</t>
        </is>
      </c>
      <c r="Q210" s="88">
        <f t="array" ref="Q210:S210">IFERROR(ROUNDUP(_xlfn.XLOOKUP(A210,'Budget FY26-28'!A:A,'Budget FY26-28'!M:O)*(1+Summary!$C$2), -2), "")</f>
        <v/>
      </c>
      <c r="R210" s="88" t="n">
        <v>15000</v>
      </c>
      <c r="S210" s="88" t="n">
        <v>15000</v>
      </c>
      <c r="T210" s="67" t="inlineStr">
        <is>
          <t>Ready</t>
        </is>
      </c>
      <c r="U210" s="71" t="n"/>
      <c r="V210" s="84" t="inlineStr">
        <is>
          <t>5072_ICP_0000548841NR5F9</t>
        </is>
      </c>
      <c r="W210" s="84" t="inlineStr">
        <is>
          <t>Electricity – purchased from grid [kWh]</t>
        </is>
      </c>
      <c r="X210" s="84" t="inlineStr">
        <is>
          <t>Electricity [kWh]</t>
        </is>
      </c>
      <c r="Y210" s="84" t="inlineStr">
        <is>
          <t>Downer</t>
        </is>
      </c>
      <c r="Z210" s="84" t="inlineStr">
        <is>
          <t>_CLOSED_Depot_T_Whangarei</t>
        </is>
      </c>
      <c r="AA210" s="84" t="inlineStr">
        <is>
          <t>5072</t>
        </is>
      </c>
      <c r="AB210" s="84" t="inlineStr">
        <is>
          <t>Replaced 30 Jun 2022</t>
        </is>
      </c>
      <c r="AC210" s="84" t="inlineStr">
        <is>
          <t>Connection ID is the account number suffix</t>
        </is>
      </c>
      <c r="AD210" s="85" t="inlineStr">
        <is>
          <t>55510_ICP_0000548841NR5F9</t>
        </is>
      </c>
      <c r="AE210" s="85" t="inlineStr"/>
    </row>
    <row r="211" customFormat="1" s="72">
      <c r="A211" s="66" t="inlineStr">
        <is>
          <t>0000549182NR67F</t>
        </is>
      </c>
      <c r="B211" s="67" t="inlineStr">
        <is>
          <t>Electricity</t>
        </is>
      </c>
      <c r="C211" s="67" t="inlineStr">
        <is>
          <t>New Zealand</t>
        </is>
      </c>
      <c r="D211" s="67" t="inlineStr">
        <is>
          <t>North Island</t>
        </is>
      </c>
      <c r="E211" s="67" t="inlineStr">
        <is>
          <t>NZ NTOU Electricity</t>
        </is>
      </c>
      <c r="F211" s="67" t="n"/>
      <c r="G211" s="67" t="inlineStr">
        <is>
          <t>WORKSHOP PORT ROAD,WHANGAREI</t>
        </is>
      </c>
      <c r="H211" s="67" t="inlineStr">
        <is>
          <t>DOWNER NEW ZEALAND LIMITED (NZBN: 9429039194114)</t>
        </is>
      </c>
      <c r="I211" s="67" t="n"/>
      <c r="J211" s="67" t="inlineStr">
        <is>
          <t>kWh</t>
        </is>
      </c>
      <c r="K211" s="86" t="n">
        <v>35317.84869976359</v>
      </c>
      <c r="L211" s="67" t="inlineStr">
        <is>
          <t>Meridian</t>
        </is>
      </c>
      <c r="M211" s="87" t="inlineStr">
        <is>
          <t>Ecotricity</t>
        </is>
      </c>
      <c r="N211" s="87" t="n">
        <v>46388</v>
      </c>
      <c r="O211" s="87" t="n">
        <v>47483</v>
      </c>
      <c r="P211" s="67" t="inlineStr">
        <is>
          <t>36 months</t>
        </is>
      </c>
      <c r="Q211" s="88">
        <f t="array" ref="Q211:S211">IFERROR(ROUNDUP(_xlfn.XLOOKUP(A211,'Budget FY26-28'!A:A,'Budget FY26-28'!M:O)*(1+Summary!$C$2), -2), "")</f>
        <v/>
      </c>
      <c r="R211" s="88" t="n">
        <v>12900</v>
      </c>
      <c r="S211" s="88" t="n">
        <v>12900</v>
      </c>
      <c r="T211" s="67" t="inlineStr">
        <is>
          <t>Ready</t>
        </is>
      </c>
      <c r="U211" s="71" t="n"/>
      <c r="V211" s="84" t="inlineStr">
        <is>
          <t>5072_ICP_0000549182NR67F</t>
        </is>
      </c>
      <c r="W211" s="84" t="inlineStr">
        <is>
          <t>Electricity – purchased from grid [kWh]</t>
        </is>
      </c>
      <c r="X211" s="84" t="inlineStr">
        <is>
          <t>Electricity [kWh]</t>
        </is>
      </c>
      <c r="Y211" s="84" t="inlineStr">
        <is>
          <t>Downer</t>
        </is>
      </c>
      <c r="Z211" s="84" t="inlineStr">
        <is>
          <t>_CLOSED_Depot_T_Whangarei</t>
        </is>
      </c>
      <c r="AA211" s="84" t="inlineStr">
        <is>
          <t>5072</t>
        </is>
      </c>
      <c r="AB211" s="84" t="inlineStr">
        <is>
          <t>Replaced 30 Jun 2022</t>
        </is>
      </c>
      <c r="AC211" s="84" t="inlineStr">
        <is>
          <t>Connection ID is the account number suffix</t>
        </is>
      </c>
      <c r="AD211" s="85" t="inlineStr">
        <is>
          <t>55510_ICP_0000549182NR67F</t>
        </is>
      </c>
      <c r="AE211" s="85" t="inlineStr"/>
    </row>
    <row r="212" customFormat="1" s="72">
      <c r="A212" s="66" t="inlineStr">
        <is>
          <t>0000560159NR084</t>
        </is>
      </c>
      <c r="B212" s="67" t="inlineStr">
        <is>
          <t>Electricity</t>
        </is>
      </c>
      <c r="C212" s="67" t="inlineStr">
        <is>
          <t>New Zealand</t>
        </is>
      </c>
      <c r="D212" s="67" t="inlineStr">
        <is>
          <t>North Island</t>
        </is>
      </c>
      <c r="E212" s="67" t="inlineStr">
        <is>
          <t>NZ NTOU Electricity</t>
        </is>
      </c>
      <c r="F212" s="67" t="n"/>
      <c r="G212" s="67" t="inlineStr">
        <is>
          <t>32 Hurndall Street East,Maungaturoto</t>
        </is>
      </c>
      <c r="H212" s="67" t="inlineStr">
        <is>
          <t>DOWNER NEW ZEALAND LIMITED (NZBN: 9429039194114)</t>
        </is>
      </c>
      <c r="I212" s="67" t="n"/>
      <c r="J212" s="67" t="inlineStr">
        <is>
          <t>kWh</t>
        </is>
      </c>
      <c r="K212" s="86" t="n">
        <v>9631.002444987775</v>
      </c>
      <c r="L212" s="67" t="inlineStr">
        <is>
          <t>Meridian</t>
        </is>
      </c>
      <c r="M212" s="87" t="inlineStr">
        <is>
          <t>Ecotricity</t>
        </is>
      </c>
      <c r="N212" s="87" t="n">
        <v>46388</v>
      </c>
      <c r="O212" s="87" t="n">
        <v>47483</v>
      </c>
      <c r="P212" s="67" t="inlineStr">
        <is>
          <t>36 months</t>
        </is>
      </c>
      <c r="Q212" s="88">
        <f t="array" ref="Q212:S212">IFERROR(ROUNDUP(_xlfn.XLOOKUP(A212,'Budget FY26-28'!A:A,'Budget FY26-28'!M:O)*(1+Summary!$C$2), -2), "")</f>
        <v/>
      </c>
      <c r="R212" s="88" t="n">
        <v>5000</v>
      </c>
      <c r="S212" s="88" t="n">
        <v>5000</v>
      </c>
      <c r="T212" s="67" t="inlineStr">
        <is>
          <t>Ready</t>
        </is>
      </c>
      <c r="U212" s="71" t="n"/>
      <c r="V212" s="84" t="inlineStr">
        <is>
          <t>Not found</t>
        </is>
      </c>
      <c r="W212" s="84" t="inlineStr"/>
      <c r="X212" s="84" t="inlineStr"/>
      <c r="Y212" s="84" t="inlineStr"/>
      <c r="Z212" s="84" t="inlineStr"/>
      <c r="AA212" s="84" t="inlineStr"/>
      <c r="AB212" s="84" t="inlineStr"/>
      <c r="AC212" s="84" t="inlineStr">
        <is>
          <t>No Envizi account ends in this Connection ID</t>
        </is>
      </c>
      <c r="AD212" s="85" t="inlineStr"/>
      <c r="AE212" s="85" t="inlineStr"/>
    </row>
    <row r="213" customFormat="1" s="72">
      <c r="A213" s="66" t="inlineStr">
        <is>
          <t>0000584375WTD6A</t>
        </is>
      </c>
      <c r="B213" s="67" t="inlineStr">
        <is>
          <t>Electricity</t>
        </is>
      </c>
      <c r="C213" s="67" t="inlineStr">
        <is>
          <t>New Zealand</t>
        </is>
      </c>
      <c r="D213" s="67" t="inlineStr">
        <is>
          <t>South Island</t>
        </is>
      </c>
      <c r="E213" s="67" t="inlineStr">
        <is>
          <t>NZ NTOU Electricity</t>
        </is>
      </c>
      <c r="F213" s="67" t="n"/>
      <c r="G213" s="67" t="inlineStr">
        <is>
          <t>5330B STATION PEAK,STATION PEAK,KUROW</t>
        </is>
      </c>
      <c r="H213" s="67" t="inlineStr">
        <is>
          <t>DOWNER NEW ZEALAND LIMITED (NZBN: 9429039194114)</t>
        </is>
      </c>
      <c r="I213" s="67" t="n"/>
      <c r="J213" s="67" t="inlineStr">
        <is>
          <t>kWh</t>
        </is>
      </c>
      <c r="K213" s="86" t="n">
        <v>1597.443890274314</v>
      </c>
      <c r="L213" s="67" t="inlineStr">
        <is>
          <t>Meridian</t>
        </is>
      </c>
      <c r="M213" s="87" t="inlineStr">
        <is>
          <t>Ecotricity</t>
        </is>
      </c>
      <c r="N213" s="87" t="n">
        <v>46388</v>
      </c>
      <c r="O213" s="87" t="n">
        <v>47483</v>
      </c>
      <c r="P213" s="67" t="inlineStr">
        <is>
          <t>36 months</t>
        </is>
      </c>
      <c r="Q213" s="88">
        <f t="array" ref="Q213:S213">IFERROR(ROUNDUP(_xlfn.XLOOKUP(A213,'Budget FY26-28'!A:A,'Budget FY26-28'!M:O)*(1+Summary!$C$2), -2), "")</f>
        <v/>
      </c>
      <c r="R213" s="88" t="n">
        <v>3500</v>
      </c>
      <c r="S213" s="88" t="n">
        <v>3500</v>
      </c>
      <c r="T213" s="67" t="inlineStr">
        <is>
          <t>Ready</t>
        </is>
      </c>
      <c r="U213" s="71" t="n"/>
      <c r="V213" s="84" t="inlineStr">
        <is>
          <t>5140_ICP_0000584375WTD6A</t>
        </is>
      </c>
      <c r="W213" s="84" t="inlineStr">
        <is>
          <t>Electricity – purchased from grid [kWh]</t>
        </is>
      </c>
      <c r="X213" s="84" t="inlineStr">
        <is>
          <t>Electricity [kWh]</t>
        </is>
      </c>
      <c r="Y213" s="84" t="inlineStr">
        <is>
          <t>Downer</t>
        </is>
      </c>
      <c r="Z213" s="84" t="inlineStr">
        <is>
          <t>_CLOSED_U_ITS</t>
        </is>
      </c>
      <c r="AA213" s="84" t="inlineStr">
        <is>
          <t>5140</t>
        </is>
      </c>
      <c r="AB213" s="84" t="inlineStr">
        <is>
          <t>Replaced 30 Jun 2022</t>
        </is>
      </c>
      <c r="AC213" s="84" t="inlineStr">
        <is>
          <t>Connection ID is the account number suffix</t>
        </is>
      </c>
      <c r="AD213" s="85" t="inlineStr">
        <is>
          <t>561544_ICP_0000584375WTD6A</t>
        </is>
      </c>
      <c r="AE213" s="85" t="inlineStr"/>
    </row>
    <row r="214" customFormat="1" s="72">
      <c r="A214" s="66" t="inlineStr">
        <is>
          <t>0000624842MP24B</t>
        </is>
      </c>
      <c r="B214" s="67" t="inlineStr">
        <is>
          <t>Electricity</t>
        </is>
      </c>
      <c r="C214" s="67" t="inlineStr">
        <is>
          <t>New Zealand</t>
        </is>
      </c>
      <c r="D214" s="67" t="inlineStr">
        <is>
          <t>South Island</t>
        </is>
      </c>
      <c r="E214" s="67" t="inlineStr">
        <is>
          <t>NZ NTOU Electricity</t>
        </is>
      </c>
      <c r="F214" s="67" t="n"/>
      <c r="G214" s="67" t="inlineStr">
        <is>
          <t>BUSINESS OPPOSITE 86 KOWHAI FORD ROAD,KAIKOURA</t>
        </is>
      </c>
      <c r="H214" s="67" t="inlineStr">
        <is>
          <t>DOWNER NEW ZEALAND LIMITED (NZBN: 9429039194114)</t>
        </is>
      </c>
      <c r="I214" s="67" t="n"/>
      <c r="J214" s="67" t="inlineStr">
        <is>
          <t>kWh</t>
        </is>
      </c>
      <c r="K214" s="86" t="n">
        <v>58753.01767676767</v>
      </c>
      <c r="L214" s="67" t="inlineStr">
        <is>
          <t>Meridian</t>
        </is>
      </c>
      <c r="M214" s="87" t="inlineStr">
        <is>
          <t>Ecotricity</t>
        </is>
      </c>
      <c r="N214" s="87" t="n">
        <v>46388</v>
      </c>
      <c r="O214" s="87" t="n">
        <v>47483</v>
      </c>
      <c r="P214" s="67" t="inlineStr">
        <is>
          <t>36 months</t>
        </is>
      </c>
      <c r="Q214" s="88">
        <f t="array" ref="Q214:S214">IFERROR(ROUNDUP(_xlfn.XLOOKUP(A214,'Budget FY26-28'!A:A,'Budget FY26-28'!M:O)*(1+Summary!$C$2), -2), "")</f>
        <v/>
      </c>
      <c r="R214" s="88" t="n">
        <v>17600</v>
      </c>
      <c r="S214" s="88" t="n">
        <v>17600</v>
      </c>
      <c r="T214" s="67" t="inlineStr">
        <is>
          <t>Ready</t>
        </is>
      </c>
      <c r="U214" s="71" t="n"/>
      <c r="V214" s="84" t="inlineStr">
        <is>
          <t>5036_ICP_0000624842MP24B</t>
        </is>
      </c>
      <c r="W214" s="84" t="inlineStr">
        <is>
          <t>Electricity – purchased from grid [kWh]</t>
        </is>
      </c>
      <c r="X214" s="84" t="inlineStr">
        <is>
          <t>Electricity [kWh]</t>
        </is>
      </c>
      <c r="Y214" s="84" t="inlineStr">
        <is>
          <t>Downer</t>
        </is>
      </c>
      <c r="Z214" s="84" t="inlineStr">
        <is>
          <t>_CLOSED_Depot_T_Kaikaoura</t>
        </is>
      </c>
      <c r="AA214" s="84" t="inlineStr">
        <is>
          <t>5036</t>
        </is>
      </c>
      <c r="AB214" s="84" t="inlineStr">
        <is>
          <t>Replaced 30 Jun 2022</t>
        </is>
      </c>
      <c r="AC214" s="84" t="inlineStr">
        <is>
          <t>Connection ID is the account number suffix</t>
        </is>
      </c>
      <c r="AD214" s="85" t="inlineStr">
        <is>
          <t>55626_ICP_0000624842MP24B</t>
        </is>
      </c>
      <c r="AE214" s="85" t="inlineStr"/>
    </row>
    <row r="215" customFormat="1" s="72">
      <c r="A215" s="66" t="inlineStr">
        <is>
          <t>0000660398UN329</t>
        </is>
      </c>
      <c r="B215" s="67" t="inlineStr">
        <is>
          <t>Electricity</t>
        </is>
      </c>
      <c r="C215" s="67" t="inlineStr">
        <is>
          <t>New Zealand</t>
        </is>
      </c>
      <c r="D215" s="67" t="inlineStr">
        <is>
          <t>North Island</t>
        </is>
      </c>
      <c r="E215" s="67" t="inlineStr">
        <is>
          <t>NZ NTOU Electricity</t>
        </is>
      </c>
      <c r="F215" s="67" t="n"/>
      <c r="G215" s="67" t="inlineStr">
        <is>
          <t>Unit 2B 3 William Pickering Drive,Rosedale,Auckland</t>
        </is>
      </c>
      <c r="H215" s="67" t="inlineStr">
        <is>
          <t>DOWNER NEW ZEALAND LIMITED (NZBN: 9429039194114)</t>
        </is>
      </c>
      <c r="I215" s="67" t="n"/>
      <c r="J215" s="67" t="inlineStr">
        <is>
          <t>kWh</t>
        </is>
      </c>
      <c r="K215" s="86" t="n">
        <v>3844.148936170212</v>
      </c>
      <c r="L215" s="67" t="inlineStr">
        <is>
          <t>Meridian</t>
        </is>
      </c>
      <c r="M215" s="87" t="inlineStr">
        <is>
          <t>Ecotricity</t>
        </is>
      </c>
      <c r="N215" s="87" t="n">
        <v>46388</v>
      </c>
      <c r="O215" s="87" t="n">
        <v>47483</v>
      </c>
      <c r="P215" s="67" t="inlineStr">
        <is>
          <t>36 months</t>
        </is>
      </c>
      <c r="Q215" s="88">
        <f t="array" ref="Q215:S215">IFERROR(ROUNDUP(_xlfn.XLOOKUP(A215,'Budget FY26-28'!A:A,'Budget FY26-28'!M:O)*(1+Summary!$C$2), -2), "")</f>
        <v/>
      </c>
      <c r="R215" s="88" t="n">
        <v>2300</v>
      </c>
      <c r="S215" s="88" t="n">
        <v>2300</v>
      </c>
      <c r="T215" s="67" t="inlineStr">
        <is>
          <t>Ready</t>
        </is>
      </c>
      <c r="U215" s="71" t="n"/>
      <c r="V215" s="84" t="inlineStr">
        <is>
          <t>5166_ICP_0000660398UN329</t>
        </is>
      </c>
      <c r="W215" s="84" t="inlineStr">
        <is>
          <t>Electricity – purchased from grid [kWh]</t>
        </is>
      </c>
      <c r="X215" s="84" t="inlineStr">
        <is>
          <t>Electricity [kWh]</t>
        </is>
      </c>
      <c r="Y215" s="84" t="inlineStr">
        <is>
          <t>Downer</t>
        </is>
      </c>
      <c r="Z215" s="84" t="inlineStr">
        <is>
          <t>_CLOSED_Depot_T_Util_Water_Albany</t>
        </is>
      </c>
      <c r="AA215" s="84" t="inlineStr">
        <is>
          <t>5166</t>
        </is>
      </c>
      <c r="AB215" s="84" t="inlineStr">
        <is>
          <t>Replaced 30 Jun 2022</t>
        </is>
      </c>
      <c r="AC215" s="84" t="inlineStr">
        <is>
          <t>Connection ID is the account number suffix</t>
        </is>
      </c>
      <c r="AD215" s="85" t="inlineStr">
        <is>
          <t>55535_ICP_0000660398UN329</t>
        </is>
      </c>
      <c r="AE215" s="85" t="inlineStr"/>
    </row>
    <row r="216" customFormat="1" s="72">
      <c r="A216" s="66" t="inlineStr">
        <is>
          <t>0000700385MP041</t>
        </is>
      </c>
      <c r="B216" s="67" t="inlineStr">
        <is>
          <t>Electricity</t>
        </is>
      </c>
      <c r="C216" s="67" t="inlineStr">
        <is>
          <t>New Zealand</t>
        </is>
      </c>
      <c r="D216" s="67" t="inlineStr">
        <is>
          <t>South Island</t>
        </is>
      </c>
      <c r="E216" s="67" t="inlineStr">
        <is>
          <t>NZ NTOU Electricity</t>
        </is>
      </c>
      <c r="F216" s="67" t="n"/>
      <c r="G216" s="67" t="inlineStr">
        <is>
          <t>DOWNER MAUI STREET,KAIKOURA</t>
        </is>
      </c>
      <c r="H216" s="67" t="inlineStr">
        <is>
          <t>DOWNER NEW ZEALAND LIMITED (NZBN: 9429039194114)</t>
        </is>
      </c>
      <c r="I216" s="67" t="n"/>
      <c r="J216" s="67" t="inlineStr">
        <is>
          <t>kWh</t>
        </is>
      </c>
      <c r="K216" s="86" t="n">
        <v>1050.130023640662</v>
      </c>
      <c r="L216" s="67" t="inlineStr">
        <is>
          <t>Meridian</t>
        </is>
      </c>
      <c r="M216" s="87" t="inlineStr">
        <is>
          <t>Ecotricity</t>
        </is>
      </c>
      <c r="N216" s="87" t="n">
        <v>46388</v>
      </c>
      <c r="O216" s="87" t="n">
        <v>47483</v>
      </c>
      <c r="P216" s="67" t="inlineStr">
        <is>
          <t>36 months</t>
        </is>
      </c>
      <c r="Q216" s="88">
        <f t="array" ref="Q216:S216">IFERROR(ROUNDUP(_xlfn.XLOOKUP(A216,'Budget FY26-28'!A:A,'Budget FY26-28'!M:O)*(1+Summary!$C$2), -2), "")</f>
        <v/>
      </c>
      <c r="R216" s="88" t="n">
        <v>2800</v>
      </c>
      <c r="S216" s="88" t="n">
        <v>2800</v>
      </c>
      <c r="T216" s="67" t="inlineStr">
        <is>
          <t>Ready</t>
        </is>
      </c>
      <c r="U216" s="71" t="n"/>
      <c r="V216" s="84" t="inlineStr">
        <is>
          <t>5115_ICP_0000700385MP041</t>
        </is>
      </c>
      <c r="W216" s="84" t="inlineStr">
        <is>
          <t>Electricity – purchased from grid [kWh]</t>
        </is>
      </c>
      <c r="X216" s="84" t="inlineStr">
        <is>
          <t>Electricity [kWh]</t>
        </is>
      </c>
      <c r="Y216" s="84" t="inlineStr">
        <is>
          <t>Downer</t>
        </is>
      </c>
      <c r="Z216" s="84" t="inlineStr">
        <is>
          <t>_CLOSED_T_Canterbury</t>
        </is>
      </c>
      <c r="AA216" s="84" t="inlineStr">
        <is>
          <t>5115</t>
        </is>
      </c>
      <c r="AB216" s="84" t="inlineStr">
        <is>
          <t>Replaced 30 Jun 2022</t>
        </is>
      </c>
      <c r="AC216" s="84" t="inlineStr">
        <is>
          <t>Connection ID is the account number suffix</t>
        </is>
      </c>
      <c r="AD216" s="85" t="inlineStr">
        <is>
          <t>561535_ICP_0000700385MP041</t>
        </is>
      </c>
      <c r="AE216" s="85" t="inlineStr"/>
    </row>
    <row r="217" customFormat="1" s="72">
      <c r="A217" s="66" t="inlineStr">
        <is>
          <t>0000700787MPCC5</t>
        </is>
      </c>
      <c r="B217" s="67" t="inlineStr">
        <is>
          <t>Electricity</t>
        </is>
      </c>
      <c r="C217" s="67" t="inlineStr">
        <is>
          <t>New Zealand</t>
        </is>
      </c>
      <c r="D217" s="67" t="inlineStr">
        <is>
          <t>South Island</t>
        </is>
      </c>
      <c r="E217" s="67" t="inlineStr">
        <is>
          <t>NZ NTOU Electricity</t>
        </is>
      </c>
      <c r="F217" s="67" t="n"/>
      <c r="G217" s="67" t="inlineStr">
        <is>
          <t>58 Grays Road,Amberley,Canterbury Region</t>
        </is>
      </c>
      <c r="H217" s="67" t="inlineStr">
        <is>
          <t>DOWNER NEW ZEALAND LIMITED (NZBN: 9429039194114)</t>
        </is>
      </c>
      <c r="I217" s="67" t="n"/>
      <c r="J217" s="67" t="inlineStr">
        <is>
          <t>kWh</t>
        </is>
      </c>
      <c r="K217" s="86" t="n">
        <v>3791.513002364066</v>
      </c>
      <c r="L217" s="67" t="inlineStr">
        <is>
          <t>Meridian</t>
        </is>
      </c>
      <c r="M217" s="87" t="inlineStr">
        <is>
          <t>Ecotricity</t>
        </is>
      </c>
      <c r="N217" s="87" t="n">
        <v>46388</v>
      </c>
      <c r="O217" s="87" t="n">
        <v>47483</v>
      </c>
      <c r="P217" s="67" t="inlineStr">
        <is>
          <t>36 months</t>
        </is>
      </c>
      <c r="Q217" s="88">
        <f t="array" ref="Q217:S217">IFERROR(ROUNDUP(_xlfn.XLOOKUP(A217,'Budget FY26-28'!A:A,'Budget FY26-28'!M:O)*(1+Summary!$C$2), -2), "")</f>
        <v/>
      </c>
      <c r="R217" s="88" t="n">
        <v>3500</v>
      </c>
      <c r="S217" s="88" t="n">
        <v>3500</v>
      </c>
      <c r="T217" s="67" t="inlineStr">
        <is>
          <t>Ready</t>
        </is>
      </c>
      <c r="U217" s="71" t="n"/>
      <c r="V217" s="84" t="inlineStr">
        <is>
          <t>5009_ICP_0000700787MPCC5</t>
        </is>
      </c>
      <c r="W217" s="84" t="inlineStr">
        <is>
          <t>Electricity – purchased from grid [kWh]</t>
        </is>
      </c>
      <c r="X217" s="84" t="inlineStr">
        <is>
          <t>Electricity [kWh]</t>
        </is>
      </c>
      <c r="Y217" s="84" t="inlineStr">
        <is>
          <t>Downer</t>
        </is>
      </c>
      <c r="Z217" s="84" t="inlineStr">
        <is>
          <t>_CLOSED_Support_Corp_Property</t>
        </is>
      </c>
      <c r="AA217" s="84" t="inlineStr">
        <is>
          <t>L9.DNZJ.9030</t>
        </is>
      </c>
      <c r="AB217" s="84" t="inlineStr">
        <is>
          <t>Replaced 30 Jun 2022</t>
        </is>
      </c>
      <c r="AC217" s="84" t="inlineStr">
        <is>
          <t>Connection ID is the account number suffix</t>
        </is>
      </c>
      <c r="AD217" s="85" t="inlineStr">
        <is>
          <t>91359_ICP_0000700787MPCC5</t>
        </is>
      </c>
      <c r="AE217" s="85" t="inlineStr"/>
    </row>
    <row r="218" customFormat="1" s="72">
      <c r="A218" s="66" t="inlineStr">
        <is>
          <t>0000721777NV28C</t>
        </is>
      </c>
      <c r="B218" s="67" t="inlineStr">
        <is>
          <t>Electricity</t>
        </is>
      </c>
      <c r="C218" s="67" t="inlineStr">
        <is>
          <t>New Zealand</t>
        </is>
      </c>
      <c r="D218" s="67" t="inlineStr">
        <is>
          <t>South Island</t>
        </is>
      </c>
      <c r="E218" s="67" t="inlineStr">
        <is>
          <t>NZ NTOU Electricity</t>
        </is>
      </c>
      <c r="F218" s="67" t="n"/>
      <c r="G218" s="67" t="inlineStr">
        <is>
          <t>45025 LINE DEPOT &amp; WORKSH - Invercargill workshop 185 LIDDEL STREET,INVERCARGILL</t>
        </is>
      </c>
      <c r="H218" s="67" t="inlineStr">
        <is>
          <t>DOWNER NEW ZEALAND LIMITED (NZBN: 9429039194114)</t>
        </is>
      </c>
      <c r="I218" s="67" t="n"/>
      <c r="J218" s="67" t="inlineStr">
        <is>
          <t>kWh</t>
        </is>
      </c>
      <c r="K218" s="86" t="n">
        <v>13574.89361702128</v>
      </c>
      <c r="L218" s="67" t="inlineStr">
        <is>
          <t>Meridian</t>
        </is>
      </c>
      <c r="M218" s="87" t="inlineStr">
        <is>
          <t>Ecotricity</t>
        </is>
      </c>
      <c r="N218" s="87" t="n">
        <v>46388</v>
      </c>
      <c r="O218" s="87" t="n">
        <v>47483</v>
      </c>
      <c r="P218" s="67" t="inlineStr">
        <is>
          <t>36 months</t>
        </is>
      </c>
      <c r="Q218" s="88">
        <f t="array" ref="Q218:S218">IFERROR(ROUNDUP(_xlfn.XLOOKUP(A218,'Budget FY26-28'!A:A,'Budget FY26-28'!M:O)*(1+Summary!$C$2), -2), "")</f>
        <v/>
      </c>
      <c r="R218" s="88" t="n">
        <v>5200</v>
      </c>
      <c r="S218" s="88" t="n">
        <v>5200</v>
      </c>
      <c r="T218" s="67" t="inlineStr">
        <is>
          <t>Ready</t>
        </is>
      </c>
      <c r="U218" s="71" t="n"/>
      <c r="V218" s="84" t="inlineStr">
        <is>
          <t>5035_ICP_0000721777NV28C</t>
        </is>
      </c>
      <c r="W218" s="84" t="inlineStr">
        <is>
          <t>Electricity – purchased from grid [kWh]</t>
        </is>
      </c>
      <c r="X218" s="84" t="inlineStr">
        <is>
          <t>Electricity [kWh]</t>
        </is>
      </c>
      <c r="Y218" s="84" t="inlineStr">
        <is>
          <t>Downer</t>
        </is>
      </c>
      <c r="Z218" s="84" t="inlineStr">
        <is>
          <t>_CLOSED_Depot_T_Invercargill</t>
        </is>
      </c>
      <c r="AA218" s="84" t="inlineStr">
        <is>
          <t>5035</t>
        </is>
      </c>
      <c r="AB218" s="84" t="inlineStr">
        <is>
          <t>Replaced 30 Jun 2022</t>
        </is>
      </c>
      <c r="AC218" s="84" t="inlineStr">
        <is>
          <t>Connection ID is the account number suffix</t>
        </is>
      </c>
      <c r="AD218" s="85" t="inlineStr"/>
      <c r="AE218" s="85" t="inlineStr"/>
    </row>
    <row r="219" customFormat="1" s="72">
      <c r="A219" s="66" t="inlineStr">
        <is>
          <t>0000922160TUF69</t>
        </is>
      </c>
      <c r="B219" s="67" t="inlineStr">
        <is>
          <t>Electricity</t>
        </is>
      </c>
      <c r="C219" s="67" t="inlineStr">
        <is>
          <t>New Zealand</t>
        </is>
      </c>
      <c r="D219" s="67" t="inlineStr">
        <is>
          <t>North Island</t>
        </is>
      </c>
      <c r="E219" s="67" t="inlineStr">
        <is>
          <t>NZ NTOU Electricity</t>
        </is>
      </c>
      <c r="F219" s="67" t="n"/>
      <c r="G219" s="67" t="inlineStr">
        <is>
          <t>19 Station Road,Te Puke,Bay of Plenty Region</t>
        </is>
      </c>
      <c r="H219" s="67" t="inlineStr">
        <is>
          <t>DOWNER NEW ZEALAND LIMITED (NZBN: 9429039194114)</t>
        </is>
      </c>
      <c r="I219" s="67" t="n"/>
      <c r="J219" s="67" t="inlineStr">
        <is>
          <t>kWh</t>
        </is>
      </c>
      <c r="K219" s="86" t="n">
        <v>4472.328605200945</v>
      </c>
      <c r="L219" s="67" t="inlineStr">
        <is>
          <t>Meridian</t>
        </is>
      </c>
      <c r="M219" s="87" t="inlineStr">
        <is>
          <t>Ecotricity</t>
        </is>
      </c>
      <c r="N219" s="87" t="n">
        <v>46388</v>
      </c>
      <c r="O219" s="87" t="n">
        <v>47483</v>
      </c>
      <c r="P219" s="67" t="inlineStr">
        <is>
          <t>36 months</t>
        </is>
      </c>
      <c r="Q219" s="88">
        <f t="array" ref="Q219:S219">IFERROR(ROUNDUP(_xlfn.XLOOKUP(A219,'Budget FY26-28'!A:A,'Budget FY26-28'!M:O)*(1+Summary!$C$2), -2), "")</f>
        <v/>
      </c>
      <c r="R219" s="88" t="n">
        <v>2500</v>
      </c>
      <c r="S219" s="88" t="n">
        <v>2500</v>
      </c>
      <c r="T219" s="67" t="inlineStr">
        <is>
          <t>Ready</t>
        </is>
      </c>
      <c r="U219" s="71" t="n"/>
      <c r="V219" s="84" t="inlineStr">
        <is>
          <t>5009_ICP_0000922160TUF69</t>
        </is>
      </c>
      <c r="W219" s="84" t="inlineStr">
        <is>
          <t>Electricity – purchased from grid [kWh]</t>
        </is>
      </c>
      <c r="X219" s="84" t="inlineStr">
        <is>
          <t>Electricity [kWh]</t>
        </is>
      </c>
      <c r="Y219" s="84" t="inlineStr">
        <is>
          <t>Downer</t>
        </is>
      </c>
      <c r="Z219" s="84" t="inlineStr">
        <is>
          <t>_CLOSED_Support_Corp_Property</t>
        </is>
      </c>
      <c r="AA219" s="84" t="inlineStr">
        <is>
          <t>L9.DNZJ.9030</t>
        </is>
      </c>
      <c r="AB219" s="84" t="inlineStr">
        <is>
          <t>Replaced 30 Jun 2022</t>
        </is>
      </c>
      <c r="AC219" s="84" t="inlineStr">
        <is>
          <t>Connection ID is the account number suffix</t>
        </is>
      </c>
      <c r="AD219" s="85" t="inlineStr">
        <is>
          <t>5104_ICP_0000922160TUF69; 91217_ICP_0000922160TUF69</t>
        </is>
      </c>
      <c r="AE219" s="85" t="inlineStr"/>
    </row>
    <row r="220" customFormat="1" s="72">
      <c r="A220" s="66" t="inlineStr">
        <is>
          <t>0000933506TU456</t>
        </is>
      </c>
      <c r="B220" s="67" t="inlineStr">
        <is>
          <t>Electricity</t>
        </is>
      </c>
      <c r="C220" s="67" t="inlineStr">
        <is>
          <t>New Zealand</t>
        </is>
      </c>
      <c r="D220" s="67" t="inlineStr">
        <is>
          <t>North Island</t>
        </is>
      </c>
      <c r="E220" s="67" t="inlineStr">
        <is>
          <t>NZ NTOU Electricity</t>
        </is>
      </c>
      <c r="F220" s="67" t="n"/>
      <c r="G220" s="67" t="inlineStr">
        <is>
          <t>763 State Highway 29,Tauriko,Tauranga,Bay of Plenty Region</t>
        </is>
      </c>
      <c r="H220" s="67" t="inlineStr">
        <is>
          <t>DOWNER NEW ZEALAND LIMITED (NZBN: 9429039194114)</t>
        </is>
      </c>
      <c r="I220" s="67" t="n"/>
      <c r="J220" s="67" t="inlineStr">
        <is>
          <t>kWh</t>
        </is>
      </c>
      <c r="K220" s="86" t="n">
        <v>7981.678486997636</v>
      </c>
      <c r="L220" s="67" t="inlineStr">
        <is>
          <t>Meridian</t>
        </is>
      </c>
      <c r="M220" s="87" t="inlineStr">
        <is>
          <t>Ecotricity</t>
        </is>
      </c>
      <c r="N220" s="87" t="n">
        <v>46388</v>
      </c>
      <c r="O220" s="87" t="n">
        <v>47483</v>
      </c>
      <c r="P220" s="67" t="inlineStr">
        <is>
          <t>36 months</t>
        </is>
      </c>
      <c r="Q220" s="88">
        <f t="array" ref="Q220:S220">IFERROR(ROUNDUP(_xlfn.XLOOKUP(A220,'Budget FY26-28'!A:A,'Budget FY26-28'!M:O)*(1+Summary!$C$2), -2), "")</f>
        <v/>
      </c>
      <c r="R220" s="88" t="n">
        <v>3500</v>
      </c>
      <c r="S220" s="88" t="n">
        <v>3500</v>
      </c>
      <c r="T220" s="67" t="inlineStr">
        <is>
          <t>Ready</t>
        </is>
      </c>
      <c r="U220" s="71" t="n"/>
      <c r="V220" s="84" t="inlineStr">
        <is>
          <t>Not found</t>
        </is>
      </c>
      <c r="W220" s="84" t="inlineStr"/>
      <c r="X220" s="84" t="inlineStr"/>
      <c r="Y220" s="84" t="inlineStr"/>
      <c r="Z220" s="84" t="inlineStr"/>
      <c r="AA220" s="84" t="inlineStr"/>
      <c r="AB220" s="84" t="inlineStr"/>
      <c r="AC220" s="84" t="inlineStr">
        <is>
          <t>No Envizi account ends in this Connection ID</t>
        </is>
      </c>
      <c r="AD220" s="85" t="inlineStr"/>
      <c r="AE220" s="85" t="inlineStr"/>
    </row>
    <row r="221" customFormat="1" s="72">
      <c r="A221" s="66" t="inlineStr">
        <is>
          <t>0000935815TU2F3</t>
        </is>
      </c>
      <c r="B221" s="67" t="inlineStr">
        <is>
          <t>Electricity</t>
        </is>
      </c>
      <c r="C221" s="67" t="inlineStr">
        <is>
          <t>New Zealand</t>
        </is>
      </c>
      <c r="D221" s="67" t="inlineStr">
        <is>
          <t>North Island</t>
        </is>
      </c>
      <c r="E221" s="67" t="inlineStr">
        <is>
          <t>NZ NTOU Electricity</t>
        </is>
      </c>
      <c r="F221" s="67" t="n"/>
      <c r="G221" s="67" t="inlineStr">
        <is>
          <t>52 Links View Drive,Tauranga</t>
        </is>
      </c>
      <c r="H221" s="67" t="inlineStr">
        <is>
          <t>DOWNER NEW ZEALAND LIMITED (NZBN: 9429039194114)</t>
        </is>
      </c>
      <c r="I221" s="67" t="n"/>
      <c r="J221" s="67" t="inlineStr">
        <is>
          <t>kWh</t>
        </is>
      </c>
      <c r="K221" s="86" t="n">
        <v>3084.838709677419</v>
      </c>
      <c r="L221" s="67" t="inlineStr">
        <is>
          <t>Meridian</t>
        </is>
      </c>
      <c r="M221" s="87" t="inlineStr">
        <is>
          <t>Ecotricity</t>
        </is>
      </c>
      <c r="N221" s="87" t="n">
        <v>46388</v>
      </c>
      <c r="O221" s="87" t="n">
        <v>47483</v>
      </c>
      <c r="P221" s="67" t="inlineStr">
        <is>
          <t>36 months</t>
        </is>
      </c>
      <c r="Q221" s="88">
        <f t="array" ref="Q221:S221">IFERROR(ROUNDUP(_xlfn.XLOOKUP(A221,'Budget FY26-28'!A:A,'Budget FY26-28'!M:O)*(1+Summary!$C$2), -2), "")</f>
        <v/>
      </c>
      <c r="R221" s="88" t="n">
        <v>2000</v>
      </c>
      <c r="S221" s="88" t="n">
        <v>2000</v>
      </c>
      <c r="T221" s="67" t="inlineStr">
        <is>
          <t>Ready</t>
        </is>
      </c>
      <c r="U221" s="71" t="n"/>
      <c r="V221" s="84" t="inlineStr">
        <is>
          <t>0000935815TU2F3</t>
        </is>
      </c>
      <c r="W221" s="84" t="inlineStr">
        <is>
          <t>Electricity – purchased from grid [kWh]</t>
        </is>
      </c>
      <c r="X221" s="84" t="inlineStr">
        <is>
          <t>Electricity [kWh]</t>
        </is>
      </c>
      <c r="Y221" s="84" t="inlineStr">
        <is>
          <t>Meridian</t>
        </is>
      </c>
      <c r="Z221" s="84" t="inlineStr">
        <is>
          <t>52 Links View Drive  Tauranga</t>
        </is>
      </c>
      <c r="AA221" s="84" t="inlineStr">
        <is>
          <t>55712</t>
        </is>
      </c>
      <c r="AB221" s="84" t="inlineStr">
        <is>
          <t>Active</t>
        </is>
      </c>
      <c r="AC221" s="84" t="inlineStr">
        <is>
          <t>Connection ID is the account number suffix</t>
        </is>
      </c>
      <c r="AD221" s="85" t="inlineStr"/>
      <c r="AE221" s="85" t="inlineStr"/>
    </row>
    <row r="222" customFormat="1" s="72">
      <c r="A222" s="66" t="inlineStr">
        <is>
          <t>0000967277TU7B8</t>
        </is>
      </c>
      <c r="B222" s="67" t="inlineStr">
        <is>
          <t>Electricity</t>
        </is>
      </c>
      <c r="C222" s="67" t="inlineStr">
        <is>
          <t>New Zealand</t>
        </is>
      </c>
      <c r="D222" s="67" t="inlineStr">
        <is>
          <t>North Island</t>
        </is>
      </c>
      <c r="E222" s="67" t="inlineStr">
        <is>
          <t>NZ NTOU Electricity</t>
        </is>
      </c>
      <c r="F222" s="67" t="n"/>
      <c r="G222" s="67" t="inlineStr">
        <is>
          <t>11 Manuka Street,Tauhara,Taupo,Waikato Region</t>
        </is>
      </c>
      <c r="H222" s="67" t="inlineStr">
        <is>
          <t>DOWNER NEW ZEALAND LIMITED (NZBN: 9429039194114)</t>
        </is>
      </c>
      <c r="I222" s="67" t="n"/>
      <c r="J222" s="67" t="inlineStr">
        <is>
          <t>kWh</t>
        </is>
      </c>
      <c r="K222" s="86" t="n">
        <v>24502.45862884161</v>
      </c>
      <c r="L222" s="67" t="inlineStr">
        <is>
          <t>Meridian</t>
        </is>
      </c>
      <c r="M222" s="87" t="inlineStr">
        <is>
          <t>Ecotricity</t>
        </is>
      </c>
      <c r="N222" s="87" t="n">
        <v>46388</v>
      </c>
      <c r="O222" s="87" t="n">
        <v>47483</v>
      </c>
      <c r="P222" s="67" t="inlineStr">
        <is>
          <t>36 months</t>
        </is>
      </c>
      <c r="Q222" s="88">
        <f t="array" ref="Q222:S222">IFERROR(ROUNDUP(_xlfn.XLOOKUP(A222,'Budget FY26-28'!A:A,'Budget FY26-28'!M:O)*(1+Summary!$C$2), -2), "")</f>
        <v/>
      </c>
      <c r="R222" s="88" t="n">
        <v>10100</v>
      </c>
      <c r="S222" s="88" t="n">
        <v>10100</v>
      </c>
      <c r="T222" s="67" t="inlineStr">
        <is>
          <t>Ready</t>
        </is>
      </c>
      <c r="U222" s="71" t="n"/>
      <c r="V222" s="84" t="inlineStr">
        <is>
          <t>5058_ICP_0000967277TU7B8</t>
        </is>
      </c>
      <c r="W222" s="84" t="inlineStr">
        <is>
          <t>Electricity – purchased from grid [kWh]</t>
        </is>
      </c>
      <c r="X222" s="84" t="inlineStr">
        <is>
          <t>Electricity [kWh]</t>
        </is>
      </c>
      <c r="Y222" s="84" t="inlineStr">
        <is>
          <t>Downer</t>
        </is>
      </c>
      <c r="Z222" s="84" t="inlineStr">
        <is>
          <t>_CLOSED_Depot_T_Taupo (Mahoe St)</t>
        </is>
      </c>
      <c r="AA222" s="84" t="inlineStr">
        <is>
          <t>5058</t>
        </is>
      </c>
      <c r="AB222" s="84" t="inlineStr">
        <is>
          <t>Replaced 30 Jun 2022</t>
        </is>
      </c>
      <c r="AC222" s="84" t="inlineStr">
        <is>
          <t>Connection ID is the account number suffix</t>
        </is>
      </c>
      <c r="AD222" s="85" t="inlineStr">
        <is>
          <t>55615_ICP_0000967277TU7B8</t>
        </is>
      </c>
      <c r="AE222" s="85" t="inlineStr"/>
    </row>
    <row r="223" customFormat="1" s="72">
      <c r="A223" s="66" t="inlineStr">
        <is>
          <t>0000968029TUF4C</t>
        </is>
      </c>
      <c r="B223" s="67" t="inlineStr">
        <is>
          <t>Electricity</t>
        </is>
      </c>
      <c r="C223" s="67" t="inlineStr">
        <is>
          <t>New Zealand</t>
        </is>
      </c>
      <c r="D223" s="67" t="inlineStr">
        <is>
          <t>North Island</t>
        </is>
      </c>
      <c r="E223" s="67" t="inlineStr">
        <is>
          <t>NZ NTOU Electricity</t>
        </is>
      </c>
      <c r="F223" s="67" t="n"/>
      <c r="G223" s="67" t="inlineStr">
        <is>
          <t>34 Monokia Street,Fairy Springs,Rotorua,Bay of Plenty Region</t>
        </is>
      </c>
      <c r="H223" s="67" t="inlineStr">
        <is>
          <t>DOWNER NEW ZEALAND LIMITED (NZBN: 9429039194114)</t>
        </is>
      </c>
      <c r="I223" s="67" t="n"/>
      <c r="J223" s="67" t="inlineStr">
        <is>
          <t>kWh</t>
        </is>
      </c>
      <c r="K223" s="86" t="n">
        <v>12055.60532687651</v>
      </c>
      <c r="L223" s="67" t="inlineStr">
        <is>
          <t>Meridian</t>
        </is>
      </c>
      <c r="M223" s="87" t="inlineStr">
        <is>
          <t>Ecotricity</t>
        </is>
      </c>
      <c r="N223" s="87" t="n">
        <v>46388</v>
      </c>
      <c r="O223" s="87" t="n">
        <v>47483</v>
      </c>
      <c r="P223" s="67" t="inlineStr">
        <is>
          <t>36 months</t>
        </is>
      </c>
      <c r="Q223" s="88">
        <f t="array" ref="Q223:S223">IFERROR(ROUNDUP(_xlfn.XLOOKUP(A223,'Budget FY26-28'!A:A,'Budget FY26-28'!M:O)*(1+Summary!$C$2), -2), "")</f>
        <v/>
      </c>
      <c r="R223" s="88" t="n">
        <v>6900</v>
      </c>
      <c r="S223" s="88" t="n">
        <v>6900</v>
      </c>
      <c r="T223" s="67" t="inlineStr">
        <is>
          <t>Ready</t>
        </is>
      </c>
      <c r="U223" s="71" t="n"/>
      <c r="V223" s="84" t="inlineStr">
        <is>
          <t>5142_ICP_0000968029TUF4C</t>
        </is>
      </c>
      <c r="W223" s="84" t="inlineStr">
        <is>
          <t>Electricity – purchased from grid [kWh]</t>
        </is>
      </c>
      <c r="X223" s="84" t="inlineStr">
        <is>
          <t>Electricity [kWh]</t>
        </is>
      </c>
      <c r="Y223" s="84" t="inlineStr">
        <is>
          <t>Downer</t>
        </is>
      </c>
      <c r="Z223" s="84" t="inlineStr">
        <is>
          <t>_CLOSED_Support_U_P&amp;G_Electricity</t>
        </is>
      </c>
      <c r="AA223" s="84" t="inlineStr">
        <is>
          <t>L9.DNZJ.561671</t>
        </is>
      </c>
      <c r="AB223" s="84" t="inlineStr">
        <is>
          <t>Replaced 30 Jun 2022</t>
        </is>
      </c>
      <c r="AC223" s="84" t="inlineStr">
        <is>
          <t>Connection ID is the account number suffix</t>
        </is>
      </c>
      <c r="AD223" s="85" t="inlineStr">
        <is>
          <t>63990_ICP_0000968029TUF4C</t>
        </is>
      </c>
      <c r="AE223" s="85" t="inlineStr"/>
    </row>
    <row r="224" customFormat="1" s="72">
      <c r="A224" s="66" t="inlineStr">
        <is>
          <t>0001001775PCC89</t>
        </is>
      </c>
      <c r="B224" s="67" t="inlineStr">
        <is>
          <t>Electricity</t>
        </is>
      </c>
      <c r="C224" s="67" t="inlineStr">
        <is>
          <t>New Zealand</t>
        </is>
      </c>
      <c r="D224" s="67" t="inlineStr">
        <is>
          <t>North Island</t>
        </is>
      </c>
      <c r="E224" s="67" t="inlineStr">
        <is>
          <t>NZ NTOU Electricity</t>
        </is>
      </c>
      <c r="F224" s="67" t="n"/>
      <c r="G224" s="67" t="inlineStr">
        <is>
          <t>ASHPALT OFFICE RIFLERANGE ROAD,NEW PLYMOUTH</t>
        </is>
      </c>
      <c r="H224" s="67" t="inlineStr">
        <is>
          <t>DOWNER NEW ZEALAND LIMITED (NZBN: 9429039194114)</t>
        </is>
      </c>
      <c r="I224" s="67" t="n"/>
      <c r="J224" s="67" t="inlineStr">
        <is>
          <t>kWh</t>
        </is>
      </c>
      <c r="K224" s="86" t="n">
        <v>164843.4959349594</v>
      </c>
      <c r="L224" s="67" t="inlineStr">
        <is>
          <t>Meridian</t>
        </is>
      </c>
      <c r="M224" s="87" t="inlineStr">
        <is>
          <t>Ecotricity</t>
        </is>
      </c>
      <c r="N224" s="87" t="n">
        <v>46388</v>
      </c>
      <c r="O224" s="87" t="n">
        <v>47483</v>
      </c>
      <c r="P224" s="67" t="inlineStr">
        <is>
          <t>36 months</t>
        </is>
      </c>
      <c r="Q224" s="88">
        <f t="array" ref="Q224:S224">IFERROR(ROUNDUP(_xlfn.XLOOKUP(A224,'Budget FY26-28'!A:A,'Budget FY26-28'!M:O)*(1+Summary!$C$2), -2), "")</f>
        <v/>
      </c>
      <c r="R224" s="88" t="n">
        <v>53000</v>
      </c>
      <c r="S224" s="88" t="n">
        <v>53000</v>
      </c>
      <c r="T224" s="67" t="inlineStr">
        <is>
          <t>Ready</t>
        </is>
      </c>
      <c r="U224" s="71" t="n"/>
      <c r="V224" s="84" t="inlineStr">
        <is>
          <t>5044_ICP_0001001775PCC89</t>
        </is>
      </c>
      <c r="W224" s="84" t="inlineStr">
        <is>
          <t>Electricity – purchased from grid [kWh]</t>
        </is>
      </c>
      <c r="X224" s="84" t="inlineStr">
        <is>
          <t>Electricity [kWh]</t>
        </is>
      </c>
      <c r="Y224" s="84" t="inlineStr">
        <is>
          <t>Downer</t>
        </is>
      </c>
      <c r="Z224" s="84" t="inlineStr">
        <is>
          <t>_CLOSED_Depot_T_New Plymouth</t>
        </is>
      </c>
      <c r="AA224" s="84" t="inlineStr">
        <is>
          <t>5044</t>
        </is>
      </c>
      <c r="AB224" s="84" t="inlineStr">
        <is>
          <t>Replaced 30 Jun 2022</t>
        </is>
      </c>
      <c r="AC224" s="84" t="inlineStr">
        <is>
          <t>Connection ID is the account number suffix</t>
        </is>
      </c>
      <c r="AD224" s="85" t="inlineStr">
        <is>
          <t>55572_ICP_0001001775PCC89</t>
        </is>
      </c>
      <c r="AE224" s="85" t="inlineStr"/>
    </row>
    <row r="225" customFormat="1" s="72">
      <c r="A225" s="66" t="inlineStr">
        <is>
          <t>0001051206TG35C</t>
        </is>
      </c>
      <c r="B225" s="67" t="inlineStr">
        <is>
          <t>Electricity</t>
        </is>
      </c>
      <c r="C225" s="67" t="inlineStr">
        <is>
          <t>New Zealand</t>
        </is>
      </c>
      <c r="D225" s="67" t="inlineStr">
        <is>
          <t>South Island</t>
        </is>
      </c>
      <c r="E225" s="67" t="inlineStr">
        <is>
          <t>NZ NTOU Electricity</t>
        </is>
      </c>
      <c r="F225" s="67" t="n"/>
      <c r="G225" s="67" t="inlineStr">
        <is>
          <t>1192 Goodwood Road,Palmerston,Otago Region</t>
        </is>
      </c>
      <c r="H225" s="67" t="inlineStr">
        <is>
          <t>DOWNER NEW ZEALAND LIMITED (NZBN: 9429039194114)</t>
        </is>
      </c>
      <c r="I225" s="67" t="n"/>
      <c r="J225" s="67" t="inlineStr">
        <is>
          <t>kWh</t>
        </is>
      </c>
      <c r="K225" s="86" t="n">
        <v>1974.813432835821</v>
      </c>
      <c r="L225" s="67" t="inlineStr">
        <is>
          <t>Meridian</t>
        </is>
      </c>
      <c r="M225" s="87" t="inlineStr">
        <is>
          <t>Ecotricity</t>
        </is>
      </c>
      <c r="N225" s="87" t="n">
        <v>46388</v>
      </c>
      <c r="O225" s="87" t="n">
        <v>47483</v>
      </c>
      <c r="P225" s="67" t="inlineStr">
        <is>
          <t>36 months</t>
        </is>
      </c>
      <c r="Q225" s="88">
        <f t="array" ref="Q225:S225">IFERROR(ROUNDUP(_xlfn.XLOOKUP(A225,'Budget FY26-28'!A:A,'Budget FY26-28'!M:O)*(1+Summary!$C$2), -2), "")</f>
        <v/>
      </c>
      <c r="R225" s="88" t="n">
        <v>300</v>
      </c>
      <c r="S225" s="88" t="n">
        <v>300</v>
      </c>
      <c r="T225" s="67" t="inlineStr">
        <is>
          <t>Ready</t>
        </is>
      </c>
      <c r="U225" s="71" t="n"/>
      <c r="V225" s="84" t="inlineStr">
        <is>
          <t>5047_ICP_0001051206TG35C</t>
        </is>
      </c>
      <c r="W225" s="84" t="inlineStr">
        <is>
          <t>Electricity – purchased from grid [kWh]</t>
        </is>
      </c>
      <c r="X225" s="84" t="inlineStr">
        <is>
          <t>Electricity [kWh]</t>
        </is>
      </c>
      <c r="Y225" s="84" t="inlineStr">
        <is>
          <t>Downer</t>
        </is>
      </c>
      <c r="Z225" s="84" t="inlineStr">
        <is>
          <t>_CLOSED_Depot_T_Palmerston</t>
        </is>
      </c>
      <c r="AA225" s="84" t="inlineStr">
        <is>
          <t>5047</t>
        </is>
      </c>
      <c r="AB225" s="84" t="inlineStr">
        <is>
          <t>Replaced 30 Jun 2022</t>
        </is>
      </c>
      <c r="AC225" s="84" t="inlineStr">
        <is>
          <t>Connection ID is the account number suffix</t>
        </is>
      </c>
      <c r="AD225" s="85" t="inlineStr">
        <is>
          <t>55550_ICP_0001051206TG35C</t>
        </is>
      </c>
      <c r="AE225" s="85" t="inlineStr"/>
    </row>
    <row r="226" customFormat="1" s="72">
      <c r="A226" s="66" t="inlineStr">
        <is>
          <t>0001129467MLF12</t>
        </is>
      </c>
      <c r="B226" s="67" t="inlineStr">
        <is>
          <t>Electricity</t>
        </is>
      </c>
      <c r="C226" s="67" t="inlineStr">
        <is>
          <t>New Zealand</t>
        </is>
      </c>
      <c r="D226" s="67" t="inlineStr">
        <is>
          <t>South Island</t>
        </is>
      </c>
      <c r="E226" s="67" t="inlineStr">
        <is>
          <t>NZ NTOU Electricity</t>
        </is>
      </c>
      <c r="F226" s="67" t="n"/>
      <c r="G226" s="67" t="inlineStr">
        <is>
          <t>33 Old Renwick Road,Springlands,Blenheim,Marlborough Region</t>
        </is>
      </c>
      <c r="H226" s="67" t="inlineStr">
        <is>
          <t>DOWNER NEW ZEALAND LIMITED (NZBN: 9429039194114)</t>
        </is>
      </c>
      <c r="I226" s="67" t="n"/>
      <c r="J226" s="67" t="inlineStr">
        <is>
          <t>kWh</t>
        </is>
      </c>
      <c r="K226" s="86" t="n">
        <v>452.1513002364066</v>
      </c>
      <c r="L226" s="67" t="inlineStr">
        <is>
          <t>Meridian</t>
        </is>
      </c>
      <c r="M226" s="87" t="inlineStr">
        <is>
          <t>Ecotricity</t>
        </is>
      </c>
      <c r="N226" s="87" t="n">
        <v>46388</v>
      </c>
      <c r="O226" s="87" t="n">
        <v>47483</v>
      </c>
      <c r="P226" s="67" t="inlineStr">
        <is>
          <t>36 months</t>
        </is>
      </c>
      <c r="Q226" s="88">
        <f t="array" ref="Q226:S226">IFERROR(ROUNDUP(_xlfn.XLOOKUP(A226,'Budget FY26-28'!A:A,'Budget FY26-28'!M:O)*(1+Summary!$C$2), -2), "")</f>
        <v/>
      </c>
      <c r="R226" s="88" t="n">
        <v>2100</v>
      </c>
      <c r="S226" s="88" t="n">
        <v>2100</v>
      </c>
      <c r="T226" s="67" t="inlineStr">
        <is>
          <t>Ready</t>
        </is>
      </c>
      <c r="U226" s="71" t="n"/>
      <c r="V226" s="84" t="inlineStr">
        <is>
          <t>Not found</t>
        </is>
      </c>
      <c r="W226" s="84" t="inlineStr"/>
      <c r="X226" s="84" t="inlineStr"/>
      <c r="Y226" s="84" t="inlineStr"/>
      <c r="Z226" s="84" t="inlineStr"/>
      <c r="AA226" s="84" t="inlineStr"/>
      <c r="AB226" s="84" t="inlineStr"/>
      <c r="AC226" s="84" t="inlineStr">
        <is>
          <t>No Envizi account ends in this Connection ID</t>
        </is>
      </c>
      <c r="AD226" s="85" t="inlineStr"/>
      <c r="AE226" s="85" t="inlineStr"/>
    </row>
    <row r="227" customFormat="1" s="72">
      <c r="A227" s="66" t="inlineStr">
        <is>
          <t>0001259077UN7C4</t>
        </is>
      </c>
      <c r="B227" s="67" t="inlineStr">
        <is>
          <t>Electricity</t>
        </is>
      </c>
      <c r="C227" s="67" t="inlineStr">
        <is>
          <t>New Zealand</t>
        </is>
      </c>
      <c r="D227" s="67" t="inlineStr">
        <is>
          <t>North Island</t>
        </is>
      </c>
      <c r="E227" s="67" t="inlineStr">
        <is>
          <t>NZ NTOU Electricity</t>
        </is>
      </c>
      <c r="F227" s="67" t="n"/>
      <c r="G227" s="67" t="inlineStr">
        <is>
          <t>2B William Pickering Drive,Rosedale,Auckland,Auckland Region</t>
        </is>
      </c>
      <c r="H227" s="67" t="inlineStr">
        <is>
          <t>DOWNER NEW ZEALAND LIMITED (NZBN: 9429039194114)</t>
        </is>
      </c>
      <c r="I227" s="67" t="n"/>
      <c r="J227" s="67" t="inlineStr">
        <is>
          <t>kWh</t>
        </is>
      </c>
      <c r="K227" s="86" t="n">
        <v>21618.69976359338</v>
      </c>
      <c r="L227" s="67" t="inlineStr">
        <is>
          <t>Meridian</t>
        </is>
      </c>
      <c r="M227" s="87" t="inlineStr">
        <is>
          <t>Ecotricity</t>
        </is>
      </c>
      <c r="N227" s="87" t="n">
        <v>46388</v>
      </c>
      <c r="O227" s="87" t="n">
        <v>47483</v>
      </c>
      <c r="P227" s="67" t="inlineStr">
        <is>
          <t>36 months</t>
        </is>
      </c>
      <c r="Q227" s="88">
        <f t="array" ref="Q227:S227">IFERROR(ROUNDUP(_xlfn.XLOOKUP(A227,'Budget FY26-28'!A:A,'Budget FY26-28'!M:O)*(1+Summary!$C$2), -2), "")</f>
        <v/>
      </c>
      <c r="R227" s="88" t="n">
        <v>6000</v>
      </c>
      <c r="S227" s="88" t="n">
        <v>6000</v>
      </c>
      <c r="T227" s="67" t="inlineStr">
        <is>
          <t>Ready</t>
        </is>
      </c>
      <c r="U227" s="71" t="n"/>
      <c r="V227" s="84" t="inlineStr">
        <is>
          <t>5166_ICP_0001259077UN7C4</t>
        </is>
      </c>
      <c r="W227" s="84" t="inlineStr">
        <is>
          <t>Electricity – purchased from grid [kWh]</t>
        </is>
      </c>
      <c r="X227" s="84" t="inlineStr">
        <is>
          <t>Electricity [kWh]</t>
        </is>
      </c>
      <c r="Y227" s="84" t="inlineStr">
        <is>
          <t>Downer</t>
        </is>
      </c>
      <c r="Z227" s="84" t="inlineStr">
        <is>
          <t>_CLOSED_Depot_T_Util_Water_Albany</t>
        </is>
      </c>
      <c r="AA227" s="84" t="inlineStr">
        <is>
          <t>5166</t>
        </is>
      </c>
      <c r="AB227" s="84" t="inlineStr">
        <is>
          <t>Replaced 30 Jun 2022</t>
        </is>
      </c>
      <c r="AC227" s="84" t="inlineStr">
        <is>
          <t>Connection ID is the account number suffix</t>
        </is>
      </c>
      <c r="AD227" s="85" t="inlineStr">
        <is>
          <t>55535_ICP_0001259077UN7C4</t>
        </is>
      </c>
      <c r="AE227" s="85" t="inlineStr"/>
    </row>
    <row r="228" customFormat="1" s="72">
      <c r="A228" s="66" t="inlineStr">
        <is>
          <t>0001302906EN76C</t>
        </is>
      </c>
      <c r="B228" s="67" t="inlineStr">
        <is>
          <t>Electricity</t>
        </is>
      </c>
      <c r="C228" s="67" t="inlineStr">
        <is>
          <t>New Zealand</t>
        </is>
      </c>
      <c r="D228" s="67" t="inlineStr">
        <is>
          <t>North Island</t>
        </is>
      </c>
      <c r="E228" s="67" t="inlineStr">
        <is>
          <t>NZ NTOU Electricity</t>
        </is>
      </c>
      <c r="F228" s="67" t="n"/>
      <c r="G228" s="67" t="inlineStr">
        <is>
          <t>187 Awapuni Road,Awapuni,Gisborne,Gisborne Region</t>
        </is>
      </c>
      <c r="H228" s="67" t="inlineStr">
        <is>
          <t>DOWNER NEW ZEALAND LIMITED (NZBN: 9429039194114)</t>
        </is>
      </c>
      <c r="I228" s="67" t="n"/>
      <c r="J228" s="67" t="inlineStr">
        <is>
          <t>kWh</t>
        </is>
      </c>
      <c r="K228" s="86" t="n">
        <v>116472.9669030733</v>
      </c>
      <c r="L228" s="67" t="inlineStr">
        <is>
          <t>Meridian</t>
        </is>
      </c>
      <c r="M228" s="87" t="inlineStr">
        <is>
          <t>Ecotricity</t>
        </is>
      </c>
      <c r="N228" s="87" t="n">
        <v>46388</v>
      </c>
      <c r="O228" s="87" t="n">
        <v>47483</v>
      </c>
      <c r="P228" s="67" t="inlineStr">
        <is>
          <t>36 months</t>
        </is>
      </c>
      <c r="Q228" s="88">
        <f t="array" ref="Q228:S228">IFERROR(ROUNDUP(_xlfn.XLOOKUP(A228,'Budget FY26-28'!A:A,'Budget FY26-28'!M:O)*(1+Summary!$C$2), -2), "")</f>
        <v/>
      </c>
      <c r="R228" s="88" t="n">
        <v>36900</v>
      </c>
      <c r="S228" s="88" t="n">
        <v>36900</v>
      </c>
      <c r="T228" s="67" t="inlineStr">
        <is>
          <t>Ready</t>
        </is>
      </c>
      <c r="U228" s="71" t="n"/>
      <c r="V228" s="84" t="inlineStr">
        <is>
          <t>5071_ICP_0001302906EN76C</t>
        </is>
      </c>
      <c r="W228" s="84" t="inlineStr">
        <is>
          <t>Electricity – purchased from grid [kWh]</t>
        </is>
      </c>
      <c r="X228" s="84" t="inlineStr">
        <is>
          <t>Electricity [kWh]</t>
        </is>
      </c>
      <c r="Y228" s="84" t="inlineStr">
        <is>
          <t>Downer</t>
        </is>
      </c>
      <c r="Z228" s="84" t="inlineStr">
        <is>
          <t>_CLOSED_Depot_T_Gisborne</t>
        </is>
      </c>
      <c r="AA228" s="84" t="inlineStr">
        <is>
          <t>5071</t>
        </is>
      </c>
      <c r="AB228" s="84" t="inlineStr">
        <is>
          <t>Replaced 30 Jun 2022</t>
        </is>
      </c>
      <c r="AC228" s="84" t="inlineStr">
        <is>
          <t>Connection ID is the account number suffix</t>
        </is>
      </c>
      <c r="AD228" s="85" t="inlineStr">
        <is>
          <t>55580_ICP_0001302906EN76C</t>
        </is>
      </c>
      <c r="AE228" s="85" t="inlineStr"/>
    </row>
    <row r="229" customFormat="1" s="72">
      <c r="A229" s="66" t="inlineStr">
        <is>
          <t>0001302909EN8B2</t>
        </is>
      </c>
      <c r="B229" s="67" t="inlineStr">
        <is>
          <t>Electricity</t>
        </is>
      </c>
      <c r="C229" s="67" t="inlineStr">
        <is>
          <t>New Zealand</t>
        </is>
      </c>
      <c r="D229" s="67" t="inlineStr">
        <is>
          <t>North Island</t>
        </is>
      </c>
      <c r="E229" s="67" t="inlineStr">
        <is>
          <t>NZ NTOU Electricity</t>
        </is>
      </c>
      <c r="F229" s="67" t="n"/>
      <c r="G229" s="67" t="inlineStr">
        <is>
          <t>200 Stanley Road,Awapuni,Gisborne,Gisborne Region</t>
        </is>
      </c>
      <c r="H229" s="67" t="inlineStr">
        <is>
          <t>DOWNER NEW ZEALAND LIMITED (NZBN: 9429039194114)</t>
        </is>
      </c>
      <c r="I229" s="67" t="n"/>
      <c r="J229" s="67" t="inlineStr">
        <is>
          <t>kWh</t>
        </is>
      </c>
      <c r="K229" s="86" t="n">
        <v>133.8630806845966</v>
      </c>
      <c r="L229" s="67" t="inlineStr">
        <is>
          <t>Meridian</t>
        </is>
      </c>
      <c r="M229" s="87" t="inlineStr">
        <is>
          <t>Ecotricity</t>
        </is>
      </c>
      <c r="N229" s="87" t="n">
        <v>46388</v>
      </c>
      <c r="O229" s="87" t="n">
        <v>47483</v>
      </c>
      <c r="P229" s="67" t="inlineStr">
        <is>
          <t>36 months</t>
        </is>
      </c>
      <c r="Q229" s="88">
        <f t="array" ref="Q229:S229">IFERROR(ROUNDUP(_xlfn.XLOOKUP(A229,'Budget FY26-28'!A:A,'Budget FY26-28'!M:O)*(1+Summary!$C$2), -2), "")</f>
        <v/>
      </c>
      <c r="R229" s="88" t="n">
        <v>1800</v>
      </c>
      <c r="S229" s="88" t="n">
        <v>1800</v>
      </c>
      <c r="T229" s="67" t="inlineStr">
        <is>
          <t>Ready</t>
        </is>
      </c>
      <c r="U229" s="71" t="n"/>
      <c r="V229" s="84" t="inlineStr">
        <is>
          <t>5071_ICP_0001302909EN8B2</t>
        </is>
      </c>
      <c r="W229" s="84" t="inlineStr">
        <is>
          <t>Electricity – purchased from grid [kWh]</t>
        </is>
      </c>
      <c r="X229" s="84" t="inlineStr">
        <is>
          <t>Electricity [kWh]</t>
        </is>
      </c>
      <c r="Y229" s="84" t="inlineStr">
        <is>
          <t>Downer</t>
        </is>
      </c>
      <c r="Z229" s="84" t="inlineStr">
        <is>
          <t>_CLOSED_Depot_T_Gisborne</t>
        </is>
      </c>
      <c r="AA229" s="84" t="inlineStr">
        <is>
          <t>5071</t>
        </is>
      </c>
      <c r="AB229" s="84" t="inlineStr">
        <is>
          <t>Replaced 30 Jun 2022</t>
        </is>
      </c>
      <c r="AC229" s="84" t="inlineStr">
        <is>
          <t>Connection ID is the account number suffix</t>
        </is>
      </c>
      <c r="AD229" s="85" t="inlineStr">
        <is>
          <t>55580_ICP_0001302909EN8B2</t>
        </is>
      </c>
      <c r="AE229" s="85" t="inlineStr"/>
    </row>
    <row r="230" customFormat="1" s="72">
      <c r="A230" s="66" t="inlineStr">
        <is>
          <t>0001302912ENCCB</t>
        </is>
      </c>
      <c r="B230" s="67" t="inlineStr">
        <is>
          <t>Electricity</t>
        </is>
      </c>
      <c r="C230" s="67" t="inlineStr">
        <is>
          <t>New Zealand</t>
        </is>
      </c>
      <c r="D230" s="67" t="inlineStr">
        <is>
          <t>North Island</t>
        </is>
      </c>
      <c r="E230" s="67" t="inlineStr">
        <is>
          <t>NZ NTOU Electricity</t>
        </is>
      </c>
      <c r="F230" s="67" t="n"/>
      <c r="G230" s="67" t="inlineStr">
        <is>
          <t>187 Awapuni Road,Awapuni,Gisborne,Gisborne Region</t>
        </is>
      </c>
      <c r="H230" s="67" t="inlineStr">
        <is>
          <t>DOWNER NEW ZEALAND LIMITED (NZBN: 9429039194114)</t>
        </is>
      </c>
      <c r="I230" s="67" t="n"/>
      <c r="J230" s="67" t="inlineStr">
        <is>
          <t>kWh</t>
        </is>
      </c>
      <c r="K230" s="86" t="n">
        <v>25629.3853427896</v>
      </c>
      <c r="L230" s="67" t="inlineStr">
        <is>
          <t>Meridian</t>
        </is>
      </c>
      <c r="M230" s="87" t="inlineStr">
        <is>
          <t>Ecotricity</t>
        </is>
      </c>
      <c r="N230" s="87" t="n">
        <v>46388</v>
      </c>
      <c r="O230" s="87" t="n">
        <v>47483</v>
      </c>
      <c r="P230" s="67" t="inlineStr">
        <is>
          <t>36 months</t>
        </is>
      </c>
      <c r="Q230" s="88">
        <f t="array" ref="Q230:S230">IFERROR(ROUNDUP(_xlfn.XLOOKUP(A230,'Budget FY26-28'!A:A,'Budget FY26-28'!M:O)*(1+Summary!$C$2), -2), "")</f>
        <v/>
      </c>
      <c r="R230" s="88" t="n">
        <v>8400</v>
      </c>
      <c r="S230" s="88" t="n">
        <v>8400</v>
      </c>
      <c r="T230" s="67" t="inlineStr">
        <is>
          <t>Ready</t>
        </is>
      </c>
      <c r="U230" s="71" t="n"/>
      <c r="V230" s="84" t="inlineStr">
        <is>
          <t>5071_ICP_0001302912ENCCB</t>
        </is>
      </c>
      <c r="W230" s="84" t="inlineStr">
        <is>
          <t>Electricity – purchased from grid [kWh]</t>
        </is>
      </c>
      <c r="X230" s="84" t="inlineStr">
        <is>
          <t>Electricity [kWh]</t>
        </is>
      </c>
      <c r="Y230" s="84" t="inlineStr">
        <is>
          <t>Downer</t>
        </is>
      </c>
      <c r="Z230" s="84" t="inlineStr">
        <is>
          <t>_CLOSED_Depot_T_Gisborne</t>
        </is>
      </c>
      <c r="AA230" s="84" t="inlineStr">
        <is>
          <t>5071</t>
        </is>
      </c>
      <c r="AB230" s="84" t="inlineStr">
        <is>
          <t>Replaced 30 Jun 2022</t>
        </is>
      </c>
      <c r="AC230" s="84" t="inlineStr">
        <is>
          <t>Connection ID is the account number suffix</t>
        </is>
      </c>
      <c r="AD230" s="85" t="inlineStr">
        <is>
          <t>55580_ICP_0001302912ENCCB</t>
        </is>
      </c>
      <c r="AE230" s="85" t="inlineStr"/>
    </row>
    <row r="231" customFormat="1" s="72">
      <c r="A231" s="66" t="inlineStr">
        <is>
          <t>0001428711HRE6D</t>
        </is>
      </c>
      <c r="B231" s="67" t="inlineStr">
        <is>
          <t>Electricity</t>
        </is>
      </c>
      <c r="C231" s="67" t="inlineStr">
        <is>
          <t>New Zealand</t>
        </is>
      </c>
      <c r="D231" s="67" t="inlineStr">
        <is>
          <t>North Island</t>
        </is>
      </c>
      <c r="E231" s="67" t="inlineStr">
        <is>
          <t>NZ NTOU Electricity</t>
        </is>
      </c>
      <c r="F231" s="67" t="n"/>
      <c r="G231" s="67" t="inlineStr">
        <is>
          <t>35A Matai Street,TAUPO</t>
        </is>
      </c>
      <c r="H231" s="67" t="inlineStr">
        <is>
          <t>DOWNER NEW ZEALAND LIMITED (NZBN: 9429039194114)</t>
        </is>
      </c>
      <c r="I231" s="67" t="n"/>
      <c r="J231" s="67" t="inlineStr">
        <is>
          <t>kWh</t>
        </is>
      </c>
      <c r="K231" s="86" t="n">
        <v>14077.95508274232</v>
      </c>
      <c r="L231" s="67" t="inlineStr">
        <is>
          <t>Meridian</t>
        </is>
      </c>
      <c r="M231" s="87" t="inlineStr">
        <is>
          <t>Ecotricity</t>
        </is>
      </c>
      <c r="N231" s="87" t="n">
        <v>46388</v>
      </c>
      <c r="O231" s="87" t="n">
        <v>47483</v>
      </c>
      <c r="P231" s="67" t="inlineStr">
        <is>
          <t>36 months</t>
        </is>
      </c>
      <c r="Q231" s="88">
        <f t="array" ref="Q231:S231">IFERROR(ROUNDUP(_xlfn.XLOOKUP(A231,'Budget FY26-28'!A:A,'Budget FY26-28'!M:O)*(1+Summary!$C$2), -2), "")</f>
        <v/>
      </c>
      <c r="R231" s="88" t="n">
        <v>5600</v>
      </c>
      <c r="S231" s="88" t="n">
        <v>5600</v>
      </c>
      <c r="T231" s="67" t="inlineStr">
        <is>
          <t>Ready</t>
        </is>
      </c>
      <c r="U231" s="71" t="n"/>
      <c r="V231" s="84" t="inlineStr">
        <is>
          <t>91648_ICP_0001428711HRE6D</t>
        </is>
      </c>
      <c r="W231" s="84" t="inlineStr">
        <is>
          <t>Electricity – purchased from grid [kWh]</t>
        </is>
      </c>
      <c r="X231" s="84" t="inlineStr">
        <is>
          <t>Electricity [kWh]</t>
        </is>
      </c>
      <c r="Y231" s="84" t="inlineStr">
        <is>
          <t>Downer</t>
        </is>
      </c>
      <c r="Z231" s="84" t="inlineStr">
        <is>
          <t>Taupo (36-39 Matai St)</t>
        </is>
      </c>
      <c r="AA231" s="84" t="inlineStr">
        <is>
          <t>91648</t>
        </is>
      </c>
      <c r="AB231" s="84" t="inlineStr">
        <is>
          <t>Replaced 31 May 2023</t>
        </is>
      </c>
      <c r="AC231" s="84" t="inlineStr">
        <is>
          <t>Connection ID is the account number suffix</t>
        </is>
      </c>
      <c r="AD231" s="85" t="inlineStr"/>
      <c r="AE231" s="85" t="inlineStr"/>
    </row>
    <row r="232" customFormat="1" s="72">
      <c r="A232" s="66" t="inlineStr">
        <is>
          <t>0001429135HR594</t>
        </is>
      </c>
      <c r="B232" s="67" t="inlineStr">
        <is>
          <t>Electricity</t>
        </is>
      </c>
      <c r="C232" s="67" t="inlineStr">
        <is>
          <t>New Zealand</t>
        </is>
      </c>
      <c r="D232" s="67" t="inlineStr">
        <is>
          <t>North Island</t>
        </is>
      </c>
      <c r="E232" s="67" t="inlineStr">
        <is>
          <t>NZ NTOU Electricity</t>
        </is>
      </c>
      <c r="F232" s="67" t="n"/>
      <c r="G232" s="67" t="inlineStr">
        <is>
          <t>35 Matai Street,Tauhara,Taupo,Waikato Region</t>
        </is>
      </c>
      <c r="H232" s="67" t="inlineStr">
        <is>
          <t>DOWNER NEW ZEALAND LIMITED (NZBN: 9429039194114)</t>
        </is>
      </c>
      <c r="I232" s="67" t="n"/>
      <c r="J232" s="67" t="inlineStr">
        <is>
          <t>kWh</t>
        </is>
      </c>
      <c r="K232" s="86" t="n">
        <v>17482.89598108747</v>
      </c>
      <c r="L232" s="67" t="inlineStr">
        <is>
          <t>Meridian</t>
        </is>
      </c>
      <c r="M232" s="87" t="inlineStr">
        <is>
          <t>Ecotricity</t>
        </is>
      </c>
      <c r="N232" s="87" t="n">
        <v>46388</v>
      </c>
      <c r="O232" s="87" t="n">
        <v>47483</v>
      </c>
      <c r="P232" s="67" t="inlineStr">
        <is>
          <t>36 months</t>
        </is>
      </c>
      <c r="Q232" s="88">
        <f t="array" ref="Q232:S232">IFERROR(ROUNDUP(_xlfn.XLOOKUP(A232,'Budget FY26-28'!A:A,'Budget FY26-28'!M:O)*(1+Summary!$C$2), -2), "")</f>
        <v/>
      </c>
      <c r="R232" s="88" t="n">
        <v>6700</v>
      </c>
      <c r="S232" s="88" t="n">
        <v>6700</v>
      </c>
      <c r="T232" s="67" t="inlineStr">
        <is>
          <t>Ready</t>
        </is>
      </c>
      <c r="U232" s="71" t="n"/>
      <c r="V232" s="84" t="inlineStr">
        <is>
          <t>91648_ICP_0001429135HR594</t>
        </is>
      </c>
      <c r="W232" s="84" t="inlineStr">
        <is>
          <t>Electricity – purchased from grid [kWh]</t>
        </is>
      </c>
      <c r="X232" s="84" t="inlineStr">
        <is>
          <t>Electricity [kWh]</t>
        </is>
      </c>
      <c r="Y232" s="84" t="inlineStr">
        <is>
          <t>Downer</t>
        </is>
      </c>
      <c r="Z232" s="84" t="inlineStr">
        <is>
          <t>Taupo (36-39 Matai St)</t>
        </is>
      </c>
      <c r="AA232" s="84" t="inlineStr">
        <is>
          <t>91648</t>
        </is>
      </c>
      <c r="AB232" s="84" t="inlineStr">
        <is>
          <t>Replaced 31 May 2023</t>
        </is>
      </c>
      <c r="AC232" s="84" t="inlineStr">
        <is>
          <t>Connection ID is the account number suffix</t>
        </is>
      </c>
      <c r="AD232" s="85" t="inlineStr"/>
      <c r="AE232" s="85" t="inlineStr"/>
    </row>
    <row r="233" customFormat="1" s="72">
      <c r="A233" s="66" t="inlineStr">
        <is>
          <t>0001430190TG470</t>
        </is>
      </c>
      <c r="B233" s="67" t="inlineStr">
        <is>
          <t>Electricity</t>
        </is>
      </c>
      <c r="C233" s="67" t="inlineStr">
        <is>
          <t>New Zealand</t>
        </is>
      </c>
      <c r="D233" s="67" t="inlineStr">
        <is>
          <t>South Island</t>
        </is>
      </c>
      <c r="E233" s="67" t="inlineStr">
        <is>
          <t>NZ NTOU Electricity</t>
        </is>
      </c>
      <c r="F233" s="67" t="n"/>
      <c r="G233" s="67" t="inlineStr">
        <is>
          <t>11 Athol Place,Balclutha,Otago Region</t>
        </is>
      </c>
      <c r="H233" s="67" t="inlineStr">
        <is>
          <t>DOWNER NEW ZEALAND LIMITED (NZBN: 9429039194114)</t>
        </is>
      </c>
      <c r="I233" s="67" t="n"/>
      <c r="J233" s="67" t="inlineStr">
        <is>
          <t>kWh</t>
        </is>
      </c>
      <c r="K233" s="86" t="n">
        <v>4021.903073286051</v>
      </c>
      <c r="L233" s="67" t="inlineStr">
        <is>
          <t>Meridian</t>
        </is>
      </c>
      <c r="M233" s="87" t="inlineStr">
        <is>
          <t>Ecotricity</t>
        </is>
      </c>
      <c r="N233" s="87" t="n">
        <v>46388</v>
      </c>
      <c r="O233" s="87" t="n">
        <v>47483</v>
      </c>
      <c r="P233" s="67" t="inlineStr">
        <is>
          <t>36 months</t>
        </is>
      </c>
      <c r="Q233" s="88">
        <f t="array" ref="Q233:S233">IFERROR(ROUNDUP(_xlfn.XLOOKUP(A233,'Budget FY26-28'!A:A,'Budget FY26-28'!M:O)*(1+Summary!$C$2), -2), "")</f>
        <v/>
      </c>
      <c r="R233" s="88" t="n">
        <v>300</v>
      </c>
      <c r="S233" s="88" t="n">
        <v>300</v>
      </c>
      <c r="T233" s="67" t="inlineStr">
        <is>
          <t>Ready</t>
        </is>
      </c>
      <c r="U233" s="71" t="n"/>
      <c r="V233" s="84" t="inlineStr">
        <is>
          <t>5022_ICP_0001430190TG470</t>
        </is>
      </c>
      <c r="W233" s="84" t="inlineStr">
        <is>
          <t>Electricity – purchased from grid [kWh]</t>
        </is>
      </c>
      <c r="X233" s="84" t="inlineStr">
        <is>
          <t>Electricity [kWh]</t>
        </is>
      </c>
      <c r="Y233" s="84" t="inlineStr">
        <is>
          <t>Downer</t>
        </is>
      </c>
      <c r="Z233" s="84" t="inlineStr">
        <is>
          <t>_CLOSED_Depot_T_Balclutha</t>
        </is>
      </c>
      <c r="AA233" s="84" t="inlineStr">
        <is>
          <t>5022</t>
        </is>
      </c>
      <c r="AB233" s="84" t="inlineStr">
        <is>
          <t>Replaced 30 Jun 2022</t>
        </is>
      </c>
      <c r="AC233" s="84" t="inlineStr">
        <is>
          <t>Connection ID is the account number suffix</t>
        </is>
      </c>
      <c r="AD233" s="85" t="inlineStr">
        <is>
          <t>55674_ICP_0001430190TG470</t>
        </is>
      </c>
      <c r="AE233" s="85" t="inlineStr"/>
    </row>
    <row r="234" customFormat="1" s="72">
      <c r="A234" s="66" t="inlineStr">
        <is>
          <t>0001430191TG835</t>
        </is>
      </c>
      <c r="B234" s="67" t="inlineStr">
        <is>
          <t>Electricity</t>
        </is>
      </c>
      <c r="C234" s="67" t="inlineStr">
        <is>
          <t>New Zealand</t>
        </is>
      </c>
      <c r="D234" s="67" t="inlineStr">
        <is>
          <t>South Island</t>
        </is>
      </c>
      <c r="E234" s="67" t="inlineStr">
        <is>
          <t>NZ NTOU Electricity</t>
        </is>
      </c>
      <c r="F234" s="67" t="n"/>
      <c r="G234" s="67" t="inlineStr">
        <is>
          <t>11 Athol Place,Balclutha,Otago Region</t>
        </is>
      </c>
      <c r="H234" s="67" t="inlineStr">
        <is>
          <t>DOWNER NEW ZEALAND LIMITED (NZBN: 9429039194114)</t>
        </is>
      </c>
      <c r="I234" s="67" t="n"/>
      <c r="J234" s="67" t="inlineStr">
        <is>
          <t>kWh</t>
        </is>
      </c>
      <c r="K234" s="86" t="n">
        <v>55.54347826086957</v>
      </c>
      <c r="L234" s="67" t="inlineStr">
        <is>
          <t>Meridian</t>
        </is>
      </c>
      <c r="M234" s="87" t="inlineStr">
        <is>
          <t>Ecotricity</t>
        </is>
      </c>
      <c r="N234" s="87" t="n">
        <v>46388</v>
      </c>
      <c r="O234" s="87" t="n">
        <v>47483</v>
      </c>
      <c r="P234" s="67" t="inlineStr">
        <is>
          <t>36 months</t>
        </is>
      </c>
      <c r="Q234" s="88">
        <f t="array" ref="Q234:S234">IFERROR(ROUNDUP(_xlfn.XLOOKUP(A234,'Budget FY26-28'!A:A,'Budget FY26-28'!M:O)*(1+Summary!$C$2), -2), "")</f>
        <v/>
      </c>
      <c r="R234" s="88" t="n">
        <v>300</v>
      </c>
      <c r="S234" s="88" t="n">
        <v>300</v>
      </c>
      <c r="T234" s="67" t="inlineStr">
        <is>
          <t>Ready</t>
        </is>
      </c>
      <c r="U234" s="71" t="n"/>
      <c r="V234" s="84" t="inlineStr">
        <is>
          <t>5022_ICP_0001430191TG835</t>
        </is>
      </c>
      <c r="W234" s="84" t="inlineStr">
        <is>
          <t>Electricity – purchased from grid [kWh]</t>
        </is>
      </c>
      <c r="X234" s="84" t="inlineStr">
        <is>
          <t>Electricity [kWh]</t>
        </is>
      </c>
      <c r="Y234" s="84" t="inlineStr">
        <is>
          <t>Downer</t>
        </is>
      </c>
      <c r="Z234" s="84" t="inlineStr">
        <is>
          <t>_CLOSED_Depot_T_Balclutha</t>
        </is>
      </c>
      <c r="AA234" s="84" t="inlineStr">
        <is>
          <t>5022</t>
        </is>
      </c>
      <c r="AB234" s="84" t="inlineStr">
        <is>
          <t>Replaced 09 Feb 2021</t>
        </is>
      </c>
      <c r="AC234" s="84" t="inlineStr">
        <is>
          <t>Connection ID is the account number suffix</t>
        </is>
      </c>
      <c r="AD234" s="85" t="inlineStr"/>
      <c r="AE234" s="85" t="inlineStr"/>
    </row>
    <row r="235" customFormat="1" s="72">
      <c r="A235" s="66" t="inlineStr">
        <is>
          <t>0001430880PC7ED</t>
        </is>
      </c>
      <c r="B235" s="67" t="inlineStr">
        <is>
          <t>Electricity</t>
        </is>
      </c>
      <c r="C235" s="67" t="inlineStr">
        <is>
          <t>New Zealand</t>
        </is>
      </c>
      <c r="D235" s="67" t="inlineStr">
        <is>
          <t>North Island</t>
        </is>
      </c>
      <c r="E235" s="67" t="inlineStr">
        <is>
          <t>NZ NTOU Electricity</t>
        </is>
      </c>
      <c r="F235" s="67" t="n"/>
      <c r="G235" s="67" t="inlineStr">
        <is>
          <t>149 Vivian Street,New Plymouth,Taranaki Region</t>
        </is>
      </c>
      <c r="H235" s="67" t="inlineStr">
        <is>
          <t>DOWNER NEW ZEALAND LIMITED (NZBN: 9429039194114)</t>
        </is>
      </c>
      <c r="I235" s="67" t="n"/>
      <c r="J235" s="67" t="inlineStr">
        <is>
          <t>kWh</t>
        </is>
      </c>
      <c r="K235" s="86" t="n">
        <v>12587.75413711584</v>
      </c>
      <c r="L235" s="67" t="inlineStr">
        <is>
          <t>Meridian</t>
        </is>
      </c>
      <c r="M235" s="87" t="inlineStr">
        <is>
          <t>Ecotricity</t>
        </is>
      </c>
      <c r="N235" s="87" t="n">
        <v>46388</v>
      </c>
      <c r="O235" s="87" t="n">
        <v>47483</v>
      </c>
      <c r="P235" s="67" t="inlineStr">
        <is>
          <t>36 months</t>
        </is>
      </c>
      <c r="Q235" s="88">
        <f t="array" ref="Q235:S235">IFERROR(ROUNDUP(_xlfn.XLOOKUP(A235,'Budget FY26-28'!A:A,'Budget FY26-28'!M:O)*(1+Summary!$C$2), -2), "")</f>
        <v/>
      </c>
      <c r="R235" s="88" t="n">
        <v>5100</v>
      </c>
      <c r="S235" s="88" t="n">
        <v>5100</v>
      </c>
      <c r="T235" s="67" t="inlineStr">
        <is>
          <t>Ready</t>
        </is>
      </c>
      <c r="U235" s="71" t="n"/>
      <c r="V235" s="84" t="inlineStr">
        <is>
          <t>Not found</t>
        </is>
      </c>
      <c r="W235" s="84" t="inlineStr"/>
      <c r="X235" s="84" t="inlineStr"/>
      <c r="Y235" s="84" t="inlineStr"/>
      <c r="Z235" s="84" t="inlineStr"/>
      <c r="AA235" s="84" t="inlineStr"/>
      <c r="AB235" s="84" t="inlineStr"/>
      <c r="AC235" s="84" t="inlineStr">
        <is>
          <t>No Envizi account ends in this Connection ID</t>
        </is>
      </c>
      <c r="AD235" s="85" t="inlineStr"/>
      <c r="AE235" s="85" t="inlineStr"/>
    </row>
    <row r="236" customFormat="1" s="72">
      <c r="A236" s="66" t="inlineStr">
        <is>
          <t>0001620723TGC3D</t>
        </is>
      </c>
      <c r="B236" s="67" t="inlineStr">
        <is>
          <t>Electricity</t>
        </is>
      </c>
      <c r="C236" s="67" t="inlineStr">
        <is>
          <t>New Zealand</t>
        </is>
      </c>
      <c r="D236" s="67" t="inlineStr">
        <is>
          <t>South Island</t>
        </is>
      </c>
      <c r="E236" s="67" t="inlineStr">
        <is>
          <t>NZ NTOU Electricity</t>
        </is>
      </c>
      <c r="F236" s="67" t="n"/>
      <c r="G236" s="67" t="inlineStr">
        <is>
          <t>23 Irvine Street,Lawrence</t>
        </is>
      </c>
      <c r="H236" s="67" t="inlineStr">
        <is>
          <t>DOWNER NEW ZEALAND LIMITED (NZBN: 9429039194114)</t>
        </is>
      </c>
      <c r="I236" s="67" t="n"/>
      <c r="J236" s="67" t="inlineStr">
        <is>
          <t>kWh</t>
        </is>
      </c>
      <c r="K236" s="86" t="n">
        <v>1661.314432989691</v>
      </c>
      <c r="L236" s="67" t="inlineStr">
        <is>
          <t>Meridian</t>
        </is>
      </c>
      <c r="M236" s="87" t="inlineStr">
        <is>
          <t>Ecotricity</t>
        </is>
      </c>
      <c r="N236" s="87" t="n">
        <v>46388</v>
      </c>
      <c r="O236" s="87" t="n">
        <v>47483</v>
      </c>
      <c r="P236" s="67" t="inlineStr">
        <is>
          <t>36 months</t>
        </is>
      </c>
      <c r="Q236" s="88">
        <f t="array" ref="Q236:S236">IFERROR(ROUNDUP(_xlfn.XLOOKUP(A236,'Budget FY26-28'!A:A,'Budget FY26-28'!M:O)*(1+Summary!$C$2), -2), "")</f>
        <v/>
      </c>
      <c r="R236" s="88" t="n">
        <v>300</v>
      </c>
      <c r="S236" s="88" t="n">
        <v>300</v>
      </c>
      <c r="T236" s="67" t="inlineStr">
        <is>
          <t>Ready</t>
        </is>
      </c>
      <c r="U236" s="71" t="n"/>
      <c r="V236" s="84" t="inlineStr">
        <is>
          <t>Not found</t>
        </is>
      </c>
      <c r="W236" s="84" t="inlineStr"/>
      <c r="X236" s="84" t="inlineStr"/>
      <c r="Y236" s="84" t="inlineStr"/>
      <c r="Z236" s="84" t="inlineStr"/>
      <c r="AA236" s="84" t="inlineStr"/>
      <c r="AB236" s="84" t="inlineStr"/>
      <c r="AC236" s="84" t="inlineStr">
        <is>
          <t>No Envizi account ends in this Connection ID</t>
        </is>
      </c>
      <c r="AD236" s="85" t="inlineStr"/>
      <c r="AE236" s="85" t="inlineStr"/>
    </row>
    <row r="237" customFormat="1" s="72">
      <c r="A237" s="66" t="inlineStr">
        <is>
          <t>0001702030PCB8A</t>
        </is>
      </c>
      <c r="B237" s="67" t="inlineStr">
        <is>
          <t>Electricity</t>
        </is>
      </c>
      <c r="C237" s="67" t="inlineStr">
        <is>
          <t>New Zealand</t>
        </is>
      </c>
      <c r="D237" s="67" t="inlineStr">
        <is>
          <t>North Island</t>
        </is>
      </c>
      <c r="E237" s="67" t="inlineStr">
        <is>
          <t>NZ NTOU Electricity</t>
        </is>
      </c>
      <c r="F237" s="67" t="n"/>
      <c r="G237" s="67" t="inlineStr">
        <is>
          <t>13 Hobson Street,New Plymouth,Taranaki Region</t>
        </is>
      </c>
      <c r="H237" s="67" t="inlineStr">
        <is>
          <t>DOWNER NEW ZEALAND LIMITED (NZBN: 9429039194114)</t>
        </is>
      </c>
      <c r="I237" s="67" t="n"/>
      <c r="J237" s="67" t="inlineStr">
        <is>
          <t>kWh</t>
        </is>
      </c>
      <c r="K237" s="86" t="n">
        <v>5360.236406619386</v>
      </c>
      <c r="L237" s="67" t="inlineStr">
        <is>
          <t>Meridian</t>
        </is>
      </c>
      <c r="M237" s="87" t="inlineStr">
        <is>
          <t>Ecotricity</t>
        </is>
      </c>
      <c r="N237" s="87" t="n">
        <v>46388</v>
      </c>
      <c r="O237" s="87" t="n">
        <v>47483</v>
      </c>
      <c r="P237" s="67" t="inlineStr">
        <is>
          <t>36 months</t>
        </is>
      </c>
      <c r="Q237" s="88">
        <f t="array" ref="Q237:S237">IFERROR(ROUNDUP(_xlfn.XLOOKUP(A237,'Budget FY26-28'!A:A,'Budget FY26-28'!M:O)*(1+Summary!$C$2), -2), "")</f>
        <v/>
      </c>
      <c r="R237" s="88" t="n">
        <v>2800</v>
      </c>
      <c r="S237" s="88" t="n">
        <v>2800</v>
      </c>
      <c r="T237" s="67" t="inlineStr">
        <is>
          <t>Ready</t>
        </is>
      </c>
      <c r="U237" s="71" t="n"/>
      <c r="V237" s="84" t="inlineStr">
        <is>
          <t>Not found</t>
        </is>
      </c>
      <c r="W237" s="84" t="inlineStr"/>
      <c r="X237" s="84" t="inlineStr"/>
      <c r="Y237" s="84" t="inlineStr"/>
      <c r="Z237" s="84" t="inlineStr"/>
      <c r="AA237" s="84" t="inlineStr"/>
      <c r="AB237" s="84" t="inlineStr"/>
      <c r="AC237" s="84" t="inlineStr">
        <is>
          <t>No Envizi account ends in this Connection ID</t>
        </is>
      </c>
      <c r="AD237" s="85" t="inlineStr"/>
      <c r="AE237" s="85" t="inlineStr"/>
    </row>
    <row r="238" customFormat="1" s="72">
      <c r="A238" s="66" t="inlineStr">
        <is>
          <t>0001740830PC352</t>
        </is>
      </c>
      <c r="B238" s="67" t="inlineStr">
        <is>
          <t>Electricity</t>
        </is>
      </c>
      <c r="C238" s="67" t="inlineStr">
        <is>
          <t>New Zealand</t>
        </is>
      </c>
      <c r="D238" s="67" t="inlineStr">
        <is>
          <t>North Island</t>
        </is>
      </c>
      <c r="E238" s="67" t="inlineStr">
        <is>
          <t>NZ NTOU Electricity</t>
        </is>
      </c>
      <c r="F238" s="67" t="n"/>
      <c r="G238" s="67" t="inlineStr">
        <is>
          <t>Unit 1 28 Hamblyn Street,Strandon,New Plymouth,Taranaki Region</t>
        </is>
      </c>
      <c r="H238" s="67" t="inlineStr">
        <is>
          <t>DOWNER NEW ZEALAND LIMITED (NZBN: 9429039194114)</t>
        </is>
      </c>
      <c r="I238" s="67" t="n"/>
      <c r="J238" s="67" t="inlineStr">
        <is>
          <t>kWh</t>
        </is>
      </c>
      <c r="K238" s="86" t="n">
        <v>6272.236842105263</v>
      </c>
      <c r="L238" s="67" t="inlineStr">
        <is>
          <t>Meridian</t>
        </is>
      </c>
      <c r="M238" s="87" t="inlineStr">
        <is>
          <t>Ecotricity</t>
        </is>
      </c>
      <c r="N238" s="87" t="n">
        <v>46388</v>
      </c>
      <c r="O238" s="87" t="n">
        <v>47483</v>
      </c>
      <c r="P238" s="67" t="inlineStr">
        <is>
          <t>36 months</t>
        </is>
      </c>
      <c r="Q238" s="88">
        <f t="array" ref="Q238:S238">IFERROR(ROUNDUP(_xlfn.XLOOKUP(A238,'Budget FY26-28'!A:A,'Budget FY26-28'!M:O)*(1+Summary!$C$2), -2), "")</f>
        <v/>
      </c>
      <c r="R238" s="88" t="n">
        <v>3100</v>
      </c>
      <c r="S238" s="88" t="n">
        <v>3100</v>
      </c>
      <c r="T238" s="67" t="inlineStr">
        <is>
          <t>Ready</t>
        </is>
      </c>
      <c r="U238" s="71" t="n"/>
      <c r="V238" s="84" t="inlineStr">
        <is>
          <t>Not found</t>
        </is>
      </c>
      <c r="W238" s="84" t="inlineStr"/>
      <c r="X238" s="84" t="inlineStr"/>
      <c r="Y238" s="84" t="inlineStr"/>
      <c r="Z238" s="84" t="inlineStr"/>
      <c r="AA238" s="84" t="inlineStr"/>
      <c r="AB238" s="84" t="inlineStr"/>
      <c r="AC238" s="84" t="inlineStr">
        <is>
          <t>No Envizi account ends in this Connection ID</t>
        </is>
      </c>
      <c r="AD238" s="85" t="inlineStr"/>
      <c r="AE238" s="85" t="inlineStr"/>
    </row>
    <row r="239" customFormat="1" s="72">
      <c r="A239" s="66" t="inlineStr">
        <is>
          <t>0001742361PC751</t>
        </is>
      </c>
      <c r="B239" s="67" t="inlineStr">
        <is>
          <t>Electricity</t>
        </is>
      </c>
      <c r="C239" s="67" t="inlineStr">
        <is>
          <t>New Zealand</t>
        </is>
      </c>
      <c r="D239" s="67" t="inlineStr">
        <is>
          <t>North Island</t>
        </is>
      </c>
      <c r="E239" s="67" t="inlineStr">
        <is>
          <t>NZ NTOU Electricity</t>
        </is>
      </c>
      <c r="F239" s="67" t="n"/>
      <c r="G239" s="67" t="inlineStr">
        <is>
          <t>ASPHALT PLANT RIFLE RANGE ROAD,WAIWHAKAIHO,NEW PLYMOUTH</t>
        </is>
      </c>
      <c r="H239" s="67" t="inlineStr">
        <is>
          <t>DOWNER NEW ZEALAND LIMITED (NZBN: 9429039194114)</t>
        </is>
      </c>
      <c r="I239" s="67" t="n"/>
      <c r="J239" s="67" t="inlineStr">
        <is>
          <t>kWh</t>
        </is>
      </c>
      <c r="K239" s="86" t="n">
        <v>511831.8203309693</v>
      </c>
      <c r="L239" s="67" t="inlineStr">
        <is>
          <t>Meridian</t>
        </is>
      </c>
      <c r="M239" s="87" t="inlineStr">
        <is>
          <t>Ecotricity</t>
        </is>
      </c>
      <c r="N239" s="87" t="n">
        <v>46388</v>
      </c>
      <c r="O239" s="87" t="n">
        <v>47483</v>
      </c>
      <c r="P239" s="67" t="inlineStr">
        <is>
          <t>36 months</t>
        </is>
      </c>
      <c r="Q239" s="88">
        <f t="array" ref="Q239:S239">IFERROR(ROUNDUP(_xlfn.XLOOKUP(A239,'Budget FY26-28'!A:A,'Budget FY26-28'!M:O)*(1+Summary!$C$2), -2), "")</f>
        <v/>
      </c>
      <c r="R239" s="88" t="n">
        <v>161400</v>
      </c>
      <c r="S239" s="88" t="n">
        <v>161400</v>
      </c>
      <c r="T239" s="67" t="inlineStr">
        <is>
          <t>Ready</t>
        </is>
      </c>
      <c r="U239" s="71" t="n"/>
      <c r="V239" s="84" t="inlineStr">
        <is>
          <t>3505_ICP_0001742361PC751</t>
        </is>
      </c>
      <c r="W239" s="84" t="inlineStr">
        <is>
          <t>Electricity – purchased from grid [kWh]</t>
        </is>
      </c>
      <c r="X239" s="84" t="inlineStr">
        <is>
          <t>Electricity [kWh]</t>
        </is>
      </c>
      <c r="Y239" s="84" t="inlineStr">
        <is>
          <t>Downer</t>
        </is>
      </c>
      <c r="Z239" s="84" t="inlineStr">
        <is>
          <t>Asphalt Prod - New Plymouth</t>
        </is>
      </c>
      <c r="AA239" s="84" t="inlineStr">
        <is>
          <t>3505</t>
        </is>
      </c>
      <c r="AB239" s="84" t="inlineStr">
        <is>
          <t>Replaced 30 Jun 2023</t>
        </is>
      </c>
      <c r="AC239" s="84" t="inlineStr">
        <is>
          <t>Connection ID is the account number suffix</t>
        </is>
      </c>
      <c r="AD239" s="85" t="inlineStr">
        <is>
          <t>5015_ICP_0001742361PC751</t>
        </is>
      </c>
      <c r="AE239" s="85" t="inlineStr"/>
    </row>
    <row r="240" customFormat="1" s="72">
      <c r="A240" s="66" t="inlineStr">
        <is>
          <t>0001931780PCFE0</t>
        </is>
      </c>
      <c r="B240" s="67" t="inlineStr">
        <is>
          <t>Electricity</t>
        </is>
      </c>
      <c r="C240" s="67" t="inlineStr">
        <is>
          <t>New Zealand</t>
        </is>
      </c>
      <c r="D240" s="67" t="inlineStr">
        <is>
          <t>North Island</t>
        </is>
      </c>
      <c r="E240" s="67" t="inlineStr">
        <is>
          <t>NZ NTOU Electricity</t>
        </is>
      </c>
      <c r="F240" s="67" t="n"/>
      <c r="G240" s="67" t="inlineStr">
        <is>
          <t>169 Carrington Street,Lower Vogeltown,New Plymouth,Taranaki Region</t>
        </is>
      </c>
      <c r="H240" s="67" t="inlineStr">
        <is>
          <t>DOWNER NEW ZEALAND LIMITED (NZBN: 9429039194114)</t>
        </is>
      </c>
      <c r="I240" s="67" t="n"/>
      <c r="J240" s="67" t="inlineStr">
        <is>
          <t>kWh</t>
        </is>
      </c>
      <c r="K240" s="86" t="n">
        <v>6525.992907801419</v>
      </c>
      <c r="L240" s="67" t="inlineStr">
        <is>
          <t>Meridian</t>
        </is>
      </c>
      <c r="M240" s="87" t="inlineStr">
        <is>
          <t>Ecotricity</t>
        </is>
      </c>
      <c r="N240" s="87" t="n">
        <v>46388</v>
      </c>
      <c r="O240" s="87" t="n">
        <v>47483</v>
      </c>
      <c r="P240" s="67" t="inlineStr">
        <is>
          <t>36 months</t>
        </is>
      </c>
      <c r="Q240" s="88">
        <f t="array" ref="Q240:S240">IFERROR(ROUNDUP(_xlfn.XLOOKUP(A240,'Budget FY26-28'!A:A,'Budget FY26-28'!M:O)*(1+Summary!$C$2), -2), "")</f>
        <v/>
      </c>
      <c r="R240" s="88" t="n">
        <v>3200</v>
      </c>
      <c r="S240" s="88" t="n">
        <v>3200</v>
      </c>
      <c r="T240" s="67" t="inlineStr">
        <is>
          <t>Ready</t>
        </is>
      </c>
      <c r="U240" s="71" t="n"/>
      <c r="V240" s="84" t="inlineStr">
        <is>
          <t>Not found</t>
        </is>
      </c>
      <c r="W240" s="84" t="inlineStr"/>
      <c r="X240" s="84" t="inlineStr"/>
      <c r="Y240" s="84" t="inlineStr"/>
      <c r="Z240" s="84" t="inlineStr"/>
      <c r="AA240" s="84" t="inlineStr"/>
      <c r="AB240" s="84" t="inlineStr"/>
      <c r="AC240" s="84" t="inlineStr">
        <is>
          <t>No Envizi account ends in this Connection ID</t>
        </is>
      </c>
      <c r="AD240" s="85" t="inlineStr"/>
      <c r="AE240" s="85" t="inlineStr"/>
    </row>
    <row r="241" customFormat="1" s="72">
      <c r="A241" s="66" t="inlineStr">
        <is>
          <t>0002105740WM96B</t>
        </is>
      </c>
      <c r="B241" s="67" t="inlineStr">
        <is>
          <t>Electricity</t>
        </is>
      </c>
      <c r="C241" s="67" t="inlineStr">
        <is>
          <t>New Zealand</t>
        </is>
      </c>
      <c r="D241" s="67" t="inlineStr">
        <is>
          <t>North Island</t>
        </is>
      </c>
      <c r="E241" s="67" t="inlineStr">
        <is>
          <t>NZ NTOU Electricity</t>
        </is>
      </c>
      <c r="F241" s="67" t="n"/>
      <c r="G241" s="67" t="inlineStr">
        <is>
          <t>PIAUA ROAD,TARINGAMOTU</t>
        </is>
      </c>
      <c r="H241" s="67" t="inlineStr">
        <is>
          <t>DOWNER NEW ZEALAND LIMITED (NZBN: 9429039194114)</t>
        </is>
      </c>
      <c r="I241" s="67" t="n"/>
      <c r="J241" s="67" t="inlineStr">
        <is>
          <t>kWh</t>
        </is>
      </c>
      <c r="K241" s="86" t="n">
        <v>4335.645569620253</v>
      </c>
      <c r="L241" s="67" t="inlineStr">
        <is>
          <t>Meridian</t>
        </is>
      </c>
      <c r="M241" s="87" t="inlineStr">
        <is>
          <t>Ecotricity</t>
        </is>
      </c>
      <c r="N241" s="87" t="n">
        <v>46388</v>
      </c>
      <c r="O241" s="87" t="n">
        <v>47483</v>
      </c>
      <c r="P241" s="67" t="inlineStr">
        <is>
          <t>36 months</t>
        </is>
      </c>
      <c r="Q241" s="88">
        <f t="array" ref="Q241:S241">IFERROR(ROUNDUP(_xlfn.XLOOKUP(A241,'Budget FY26-28'!A:A,'Budget FY26-28'!M:O)*(1+Summary!$C$2), -2), "")</f>
        <v/>
      </c>
      <c r="R241" s="88" t="n">
        <v>3200</v>
      </c>
      <c r="S241" s="88" t="n">
        <v>3200</v>
      </c>
      <c r="T241" s="67" t="inlineStr">
        <is>
          <t>Ready</t>
        </is>
      </c>
      <c r="U241" s="71" t="n"/>
      <c r="V241" s="84" t="inlineStr">
        <is>
          <t>5056_ICP_0002105740WM96B</t>
        </is>
      </c>
      <c r="W241" s="84" t="inlineStr">
        <is>
          <t>Electricity – purchased from grid [kWh]</t>
        </is>
      </c>
      <c r="X241" s="84" t="inlineStr">
        <is>
          <t>Electricity [kWh]</t>
        </is>
      </c>
      <c r="Y241" s="84" t="inlineStr">
        <is>
          <t>Downer</t>
        </is>
      </c>
      <c r="Z241" s="84" t="inlineStr">
        <is>
          <t>_CLOSED_Depot_T_Taumarunui</t>
        </is>
      </c>
      <c r="AA241" s="84" t="inlineStr">
        <is>
          <t>5056</t>
        </is>
      </c>
      <c r="AB241" s="84" t="inlineStr">
        <is>
          <t>Replaced 30 Jun 2022</t>
        </is>
      </c>
      <c r="AC241" s="84" t="inlineStr">
        <is>
          <t>Connection ID is the account number suffix</t>
        </is>
      </c>
      <c r="AD241" s="85" t="inlineStr">
        <is>
          <t>55563_ICP_0002105740WM96B; 91999_ICP_0002105740WM96B</t>
        </is>
      </c>
      <c r="AE241" s="85" t="inlineStr"/>
    </row>
    <row r="242" customFormat="1" s="72">
      <c r="A242" s="66" t="inlineStr">
        <is>
          <t>0003140222AAD30</t>
        </is>
      </c>
      <c r="B242" s="67" t="inlineStr">
        <is>
          <t>Electricity</t>
        </is>
      </c>
      <c r="C242" s="67" t="inlineStr">
        <is>
          <t>New Zealand</t>
        </is>
      </c>
      <c r="D242" s="67" t="inlineStr">
        <is>
          <t>North Island</t>
        </is>
      </c>
      <c r="E242" s="67" t="inlineStr">
        <is>
          <t>NZ NTOU Electricity</t>
        </is>
      </c>
      <c r="F242" s="67" t="n"/>
      <c r="G242" s="67" t="inlineStr">
        <is>
          <t>68 Ihumatao Road,Mangere,Auckland,Auckland Region</t>
        </is>
      </c>
      <c r="H242" s="67" t="inlineStr">
        <is>
          <t>DOWNER NEW ZEALAND LIMITED (NZBN: 9429039194114)</t>
        </is>
      </c>
      <c r="I242" s="67" t="n"/>
      <c r="J242" s="67" t="inlineStr">
        <is>
          <t>kWh</t>
        </is>
      </c>
      <c r="K242" s="86" t="n">
        <v>16794.5625</v>
      </c>
      <c r="L242" s="67" t="inlineStr">
        <is>
          <t>Meridian</t>
        </is>
      </c>
      <c r="M242" s="87" t="inlineStr">
        <is>
          <t>Ecotricity</t>
        </is>
      </c>
      <c r="N242" s="87" t="n">
        <v>46388</v>
      </c>
      <c r="O242" s="87" t="n">
        <v>47483</v>
      </c>
      <c r="P242" s="67" t="inlineStr">
        <is>
          <t>36 months</t>
        </is>
      </c>
      <c r="Q242" s="88">
        <f t="array" ref="Q242:S242">IFERROR(ROUNDUP(_xlfn.XLOOKUP(A242,'Budget FY26-28'!A:A,'Budget FY26-28'!M:O)*(1+Summary!$C$2), -2), "")</f>
        <v/>
      </c>
      <c r="R242" s="88" t="n">
        <v>4000</v>
      </c>
      <c r="S242" s="88" t="n">
        <v>4000</v>
      </c>
      <c r="T242" s="67" t="inlineStr">
        <is>
          <t>Ready</t>
        </is>
      </c>
      <c r="U242" s="71" t="n"/>
      <c r="V242" s="84" t="inlineStr">
        <is>
          <t>0003140222AAD30</t>
        </is>
      </c>
      <c r="W242" s="84" t="inlineStr">
        <is>
          <t>Electricity – purchased from grid [kWh]</t>
        </is>
      </c>
      <c r="X242" s="84" t="inlineStr">
        <is>
          <t>Electricity [kWh]</t>
        </is>
      </c>
      <c r="Y242" s="84" t="inlineStr">
        <is>
          <t>Meridian</t>
        </is>
      </c>
      <c r="Z242" s="84" t="inlineStr">
        <is>
          <t>68 Ihumatao Road  Mangere</t>
        </is>
      </c>
      <c r="AA242" s="84" t="inlineStr">
        <is>
          <t>L9.DNZJ.91001</t>
        </is>
      </c>
      <c r="AB242" s="84" t="inlineStr">
        <is>
          <t>Active</t>
        </is>
      </c>
      <c r="AC242" s="84" t="inlineStr">
        <is>
          <t>Connection ID is the account number suffix</t>
        </is>
      </c>
      <c r="AD242" s="85" t="inlineStr">
        <is>
          <t>0003140222AAD30</t>
        </is>
      </c>
      <c r="AE242" s="85" t="inlineStr"/>
    </row>
    <row r="243" customFormat="1" s="72">
      <c r="A243" s="66" t="inlineStr">
        <is>
          <t>0003860192TP8AB</t>
        </is>
      </c>
      <c r="B243" s="67" t="inlineStr">
        <is>
          <t>Electricity</t>
        </is>
      </c>
      <c r="C243" s="67" t="inlineStr">
        <is>
          <t>New Zealand</t>
        </is>
      </c>
      <c r="D243" s="67" t="inlineStr">
        <is>
          <t>South Island</t>
        </is>
      </c>
      <c r="E243" s="67" t="inlineStr">
        <is>
          <t>NZ NTOU Electricity</t>
        </is>
      </c>
      <c r="F243" s="67" t="n"/>
      <c r="G243" s="67" t="inlineStr">
        <is>
          <t>401 Kakapo Road,Te Anau</t>
        </is>
      </c>
      <c r="H243" s="67" t="inlineStr">
        <is>
          <t>DOWNER NEW ZEALAND LIMITED (NZBN: 9429039194114)</t>
        </is>
      </c>
      <c r="I243" s="67" t="n"/>
      <c r="J243" s="67" t="inlineStr">
        <is>
          <t>kWh</t>
        </is>
      </c>
      <c r="K243" s="86" t="n">
        <v>3579.243498817967</v>
      </c>
      <c r="L243" s="67" t="inlineStr">
        <is>
          <t>Meridian</t>
        </is>
      </c>
      <c r="M243" s="87" t="inlineStr">
        <is>
          <t>Ecotricity</t>
        </is>
      </c>
      <c r="N243" s="87" t="n">
        <v>46388</v>
      </c>
      <c r="O243" s="87" t="n">
        <v>47483</v>
      </c>
      <c r="P243" s="67" t="inlineStr">
        <is>
          <t>36 months</t>
        </is>
      </c>
      <c r="Q243" s="88">
        <f t="array" ref="Q243:S243">IFERROR(ROUNDUP(_xlfn.XLOOKUP(A243,'Budget FY26-28'!A:A,'Budget FY26-28'!M:O)*(1+Summary!$C$2), -2), "")</f>
        <v/>
      </c>
      <c r="R243" s="88" t="n">
        <v>2300</v>
      </c>
      <c r="S243" s="88" t="n">
        <v>2300</v>
      </c>
      <c r="T243" s="67" t="inlineStr">
        <is>
          <t>Ready</t>
        </is>
      </c>
      <c r="U243" s="71" t="n"/>
      <c r="V243" s="84" t="inlineStr">
        <is>
          <t>5121_0003860192TP8AB</t>
        </is>
      </c>
      <c r="W243" s="84" t="inlineStr">
        <is>
          <t>Electricity – purchased from grid [kWh]</t>
        </is>
      </c>
      <c r="X243" s="84" t="inlineStr">
        <is>
          <t>Electricity [kWh]</t>
        </is>
      </c>
      <c r="Y243" s="84" t="inlineStr">
        <is>
          <t>Downer</t>
        </is>
      </c>
      <c r="Z243" s="84" t="inlineStr">
        <is>
          <t>_CLOSED_T_Southland / Central</t>
        </is>
      </c>
      <c r="AA243" s="84" t="inlineStr">
        <is>
          <t>5121</t>
        </is>
      </c>
      <c r="AB243" s="84" t="inlineStr">
        <is>
          <t>Replaced 30 Jun 2022</t>
        </is>
      </c>
      <c r="AC243" s="84" t="inlineStr">
        <is>
          <t>Connection ID is the account number suffix</t>
        </is>
      </c>
      <c r="AD243" s="85" t="inlineStr">
        <is>
          <t>5121_ICP_0003860192TP8AB; 556260_ICP_0003860192TP8AB</t>
        </is>
      </c>
      <c r="AE243" s="85" t="inlineStr"/>
    </row>
    <row r="244" customFormat="1" s="72">
      <c r="A244" s="66" t="inlineStr">
        <is>
          <t>0004067806HB1B8</t>
        </is>
      </c>
      <c r="B244" s="67" t="inlineStr">
        <is>
          <t>Electricity</t>
        </is>
      </c>
      <c r="C244" s="67" t="inlineStr">
        <is>
          <t>New Zealand</t>
        </is>
      </c>
      <c r="D244" s="67" t="inlineStr">
        <is>
          <t>North Island</t>
        </is>
      </c>
      <c r="E244" s="67" t="inlineStr">
        <is>
          <t>NZ NTOU Electricity</t>
        </is>
      </c>
      <c r="F244" s="67" t="n"/>
      <c r="G244" s="67" t="inlineStr">
        <is>
          <t>Pohokura Road,Tutira</t>
        </is>
      </c>
      <c r="H244" s="67" t="inlineStr">
        <is>
          <t>DOWNER NEW ZEALAND LIMITED (NZBN: 9429039194114)</t>
        </is>
      </c>
      <c r="I244" s="67" t="n"/>
      <c r="J244" s="67" t="inlineStr">
        <is>
          <t>kWh</t>
        </is>
      </c>
      <c r="K244" s="86" t="n">
        <v>5496.253164556962</v>
      </c>
      <c r="L244" s="67" t="inlineStr">
        <is>
          <t>Meridian</t>
        </is>
      </c>
      <c r="M244" s="87" t="inlineStr">
        <is>
          <t>Ecotricity</t>
        </is>
      </c>
      <c r="N244" s="87" t="n">
        <v>46388</v>
      </c>
      <c r="O244" s="87" t="n">
        <v>47483</v>
      </c>
      <c r="P244" s="67" t="inlineStr">
        <is>
          <t>36 months</t>
        </is>
      </c>
      <c r="Q244" s="88">
        <f t="array" ref="Q244:S244">IFERROR(ROUNDUP(_xlfn.XLOOKUP(A244,'Budget FY26-28'!A:A,'Budget FY26-28'!M:O)*(1+Summary!$C$2), -2), "")</f>
        <v/>
      </c>
      <c r="R244" s="88" t="n">
        <v>3100</v>
      </c>
      <c r="S244" s="88" t="n">
        <v>3100</v>
      </c>
      <c r="T244" s="67" t="inlineStr">
        <is>
          <t>Ready</t>
        </is>
      </c>
      <c r="U244" s="71" t="n"/>
      <c r="V244" s="84" t="inlineStr">
        <is>
          <t>5116_ICP_0004067806HB1B8</t>
        </is>
      </c>
      <c r="W244" s="84" t="inlineStr">
        <is>
          <t>Electricity – purchased from grid [kWh]</t>
        </is>
      </c>
      <c r="X244" s="84" t="inlineStr">
        <is>
          <t>Electricity [kWh]</t>
        </is>
      </c>
      <c r="Y244" s="84" t="inlineStr">
        <is>
          <t>Downer</t>
        </is>
      </c>
      <c r="Z244" s="84" t="inlineStr">
        <is>
          <t>_CLOSED_T_Central North</t>
        </is>
      </c>
      <c r="AA244" s="84" t="inlineStr">
        <is>
          <t>5116</t>
        </is>
      </c>
      <c r="AB244" s="84" t="inlineStr">
        <is>
          <t>Replaced 30 Jun 2022</t>
        </is>
      </c>
      <c r="AC244" s="84" t="inlineStr">
        <is>
          <t>Connection ID is the account number suffix</t>
        </is>
      </c>
      <c r="AD244" s="85" t="inlineStr">
        <is>
          <t>550774_ICP_0004067806HB1B8</t>
        </is>
      </c>
      <c r="AE244" s="85" t="inlineStr"/>
    </row>
    <row r="245" customFormat="1" s="72">
      <c r="A245" s="66" t="inlineStr">
        <is>
          <t>0004620439TP3C6</t>
        </is>
      </c>
      <c r="B245" s="67" t="inlineStr">
        <is>
          <t>Electricity</t>
        </is>
      </c>
      <c r="C245" s="67" t="inlineStr">
        <is>
          <t>New Zealand</t>
        </is>
      </c>
      <c r="D245" s="67" t="inlineStr">
        <is>
          <t>South Island</t>
        </is>
      </c>
      <c r="E245" s="67" t="inlineStr">
        <is>
          <t>NZ NTOU Electricity</t>
        </is>
      </c>
      <c r="F245" s="67" t="n"/>
      <c r="G245" s="67" t="inlineStr">
        <is>
          <t>136 Marama Avenue South,Otatara,Invercargill</t>
        </is>
      </c>
      <c r="H245" s="67" t="inlineStr">
        <is>
          <t>DOWNER NEW ZEALAND LIMITED (NZBN: 9429039194114)</t>
        </is>
      </c>
      <c r="I245" s="67" t="n"/>
      <c r="J245" s="67" t="inlineStr">
        <is>
          <t>kWh</t>
        </is>
      </c>
      <c r="K245" s="86" t="n">
        <v>6594.713541666666</v>
      </c>
      <c r="L245" s="67" t="inlineStr">
        <is>
          <t>Meridian</t>
        </is>
      </c>
      <c r="M245" s="87" t="inlineStr">
        <is>
          <t>Ecotricity</t>
        </is>
      </c>
      <c r="N245" s="87" t="n">
        <v>46388</v>
      </c>
      <c r="O245" s="87" t="n">
        <v>47483</v>
      </c>
      <c r="P245" s="67" t="inlineStr">
        <is>
          <t>36 months</t>
        </is>
      </c>
      <c r="Q245" s="88">
        <f t="array" ref="Q245:S245">IFERROR(ROUNDUP(_xlfn.XLOOKUP(A245,'Budget FY26-28'!A:A,'Budget FY26-28'!M:O)*(1+Summary!$C$2), -2), "")</f>
        <v/>
      </c>
      <c r="R245" s="88" t="n">
        <v>3200</v>
      </c>
      <c r="S245" s="88" t="n">
        <v>3200</v>
      </c>
      <c r="T245" s="67" t="inlineStr">
        <is>
          <t>Ready</t>
        </is>
      </c>
      <c r="U245" s="71" t="n"/>
      <c r="V245" s="84" t="inlineStr">
        <is>
          <t>Not found</t>
        </is>
      </c>
      <c r="W245" s="84" t="inlineStr"/>
      <c r="X245" s="84" t="inlineStr"/>
      <c r="Y245" s="84" t="inlineStr"/>
      <c r="Z245" s="84" t="inlineStr"/>
      <c r="AA245" s="84" t="inlineStr"/>
      <c r="AB245" s="84" t="inlineStr"/>
      <c r="AC245" s="84" t="inlineStr">
        <is>
          <t>No Envizi account ends in this Connection ID</t>
        </is>
      </c>
      <c r="AD245" s="85" t="inlineStr"/>
      <c r="AE245" s="85" t="inlineStr"/>
    </row>
    <row r="246" customFormat="1" s="72">
      <c r="A246" s="66" t="inlineStr">
        <is>
          <t>0004670663ALAA1</t>
        </is>
      </c>
      <c r="B246" s="67" t="inlineStr">
        <is>
          <t>Electricity</t>
        </is>
      </c>
      <c r="C246" s="67" t="inlineStr">
        <is>
          <t>New Zealand</t>
        </is>
      </c>
      <c r="D246" s="67" t="inlineStr">
        <is>
          <t>South Island</t>
        </is>
      </c>
      <c r="E246" s="67" t="inlineStr">
        <is>
          <t>NZ NTOU Electricity</t>
        </is>
      </c>
      <c r="F246" s="67" t="n"/>
      <c r="G246" s="67" t="inlineStr">
        <is>
          <t>86 Meadows Road,Washdyke,Timaru,Canterbury Region</t>
        </is>
      </c>
      <c r="H246" s="67" t="inlineStr">
        <is>
          <t>DOWNER NEW ZEALAND LIMITED (NZBN: 9429039194114)</t>
        </is>
      </c>
      <c r="I246" s="67" t="n"/>
      <c r="J246" s="67" t="inlineStr">
        <is>
          <t>kWh</t>
        </is>
      </c>
      <c r="K246" s="86" t="n">
        <v>66562.80722891566</v>
      </c>
      <c r="L246" s="67" t="inlineStr">
        <is>
          <t>Meridian</t>
        </is>
      </c>
      <c r="M246" s="87" t="inlineStr">
        <is>
          <t>Ecotricity</t>
        </is>
      </c>
      <c r="N246" s="87" t="n">
        <v>46388</v>
      </c>
      <c r="O246" s="87" t="n">
        <v>47483</v>
      </c>
      <c r="P246" s="67" t="inlineStr">
        <is>
          <t>36 months</t>
        </is>
      </c>
      <c r="Q246" s="88">
        <f t="array" ref="Q246:S246">IFERROR(ROUNDUP(_xlfn.XLOOKUP(A246,'Budget FY26-28'!A:A,'Budget FY26-28'!M:O)*(1+Summary!$C$2), -2), "")</f>
        <v/>
      </c>
      <c r="R246" s="88" t="n">
        <v>20000</v>
      </c>
      <c r="S246" s="88" t="n">
        <v>20000</v>
      </c>
      <c r="T246" s="67" t="inlineStr">
        <is>
          <t>Ready</t>
        </is>
      </c>
      <c r="U246" s="71" t="n"/>
      <c r="V246" s="84" t="inlineStr">
        <is>
          <t>5063_ICP_0004670663ALAA1</t>
        </is>
      </c>
      <c r="W246" s="84" t="inlineStr">
        <is>
          <t>Electricity – purchased from grid [kWh]</t>
        </is>
      </c>
      <c r="X246" s="84" t="inlineStr">
        <is>
          <t>Electricity [kWh]</t>
        </is>
      </c>
      <c r="Y246" s="84" t="inlineStr">
        <is>
          <t>Downer</t>
        </is>
      </c>
      <c r="Z246" s="84" t="inlineStr">
        <is>
          <t>_CLOSED_Depot_T_Timaru</t>
        </is>
      </c>
      <c r="AA246" s="84" t="inlineStr">
        <is>
          <t>5063</t>
        </is>
      </c>
      <c r="AB246" s="84" t="inlineStr">
        <is>
          <t>Replaced 30 Jun 2022</t>
        </is>
      </c>
      <c r="AC246" s="84" t="inlineStr">
        <is>
          <t>Connection ID is the account number suffix</t>
        </is>
      </c>
      <c r="AD246" s="85" t="inlineStr">
        <is>
          <t>55652_ICP_0004670663ALAA1</t>
        </is>
      </c>
      <c r="AE246" s="85" t="inlineStr"/>
    </row>
    <row r="247" customFormat="1" s="72">
      <c r="A247" s="66" t="inlineStr">
        <is>
          <t>0005302990ENBEF</t>
        </is>
      </c>
      <c r="B247" s="67" t="inlineStr">
        <is>
          <t>Electricity</t>
        </is>
      </c>
      <c r="C247" s="67" t="inlineStr">
        <is>
          <t>New Zealand</t>
        </is>
      </c>
      <c r="D247" s="67" t="inlineStr">
        <is>
          <t>North Island</t>
        </is>
      </c>
      <c r="E247" s="67" t="inlineStr">
        <is>
          <t>NZ NTOU Electricity</t>
        </is>
      </c>
      <c r="F247" s="67" t="n"/>
      <c r="G247" s="67" t="inlineStr">
        <is>
          <t>2005 TINIROTO ROAD,PATUTAHI,GISBORNE</t>
        </is>
      </c>
      <c r="H247" s="67" t="inlineStr">
        <is>
          <t>DOWNER NEW ZEALAND LIMITED (NZBN: 9429039194114)</t>
        </is>
      </c>
      <c r="I247" s="67" t="n"/>
      <c r="J247" s="67" t="inlineStr">
        <is>
          <t>kWh</t>
        </is>
      </c>
      <c r="K247" s="86" t="n">
        <v>4999.228855721393</v>
      </c>
      <c r="L247" s="67" t="inlineStr">
        <is>
          <t>Meridian</t>
        </is>
      </c>
      <c r="M247" s="87" t="inlineStr">
        <is>
          <t>Ecotricity</t>
        </is>
      </c>
      <c r="N247" s="87" t="n">
        <v>46388</v>
      </c>
      <c r="O247" s="87" t="n">
        <v>47483</v>
      </c>
      <c r="P247" s="67" t="inlineStr">
        <is>
          <t>36 months</t>
        </is>
      </c>
      <c r="Q247" s="88">
        <f t="array" ref="Q247:S247">IFERROR(ROUNDUP(_xlfn.XLOOKUP(A247,'Budget FY26-28'!A:A,'Budget FY26-28'!M:O)*(1+Summary!$C$2), -2), "")</f>
        <v/>
      </c>
      <c r="R247" s="88" t="n">
        <v>3100</v>
      </c>
      <c r="S247" s="88" t="n">
        <v>3100</v>
      </c>
      <c r="T247" s="67" t="inlineStr">
        <is>
          <t>Ready</t>
        </is>
      </c>
      <c r="U247" s="71" t="n"/>
      <c r="V247" s="84" t="inlineStr">
        <is>
          <t>5095_ICP_0005302990ENBEF</t>
        </is>
      </c>
      <c r="W247" s="84" t="inlineStr">
        <is>
          <t>Electricity – purchased from grid [kWh]</t>
        </is>
      </c>
      <c r="X247" s="84" t="inlineStr">
        <is>
          <t>Electricity [kWh]</t>
        </is>
      </c>
      <c r="Y247" s="84" t="inlineStr">
        <is>
          <t>Downer</t>
        </is>
      </c>
      <c r="Z247" s="84" t="inlineStr">
        <is>
          <t>_CLOSED_Quarry_WOK</t>
        </is>
      </c>
      <c r="AA247" s="84" t="inlineStr">
        <is>
          <t>5095</t>
        </is>
      </c>
      <c r="AB247" s="84" t="inlineStr">
        <is>
          <t>Replaced 30 Jun 2022</t>
        </is>
      </c>
      <c r="AC247" s="84" t="inlineStr">
        <is>
          <t>Connection ID is the account number suffix</t>
        </is>
      </c>
      <c r="AD247" s="85" t="inlineStr">
        <is>
          <t>55192_ICP_0005302990ENBEF</t>
        </is>
      </c>
      <c r="AE247" s="85" t="inlineStr"/>
    </row>
    <row r="248" customFormat="1" s="72">
      <c r="A248" s="66" t="inlineStr">
        <is>
          <t>0006725275TUA67</t>
        </is>
      </c>
      <c r="B248" s="67" t="inlineStr">
        <is>
          <t>Electricity</t>
        </is>
      </c>
      <c r="C248" s="67" t="inlineStr">
        <is>
          <t>New Zealand</t>
        </is>
      </c>
      <c r="D248" s="67" t="inlineStr">
        <is>
          <t>North Island</t>
        </is>
      </c>
      <c r="E248" s="67" t="inlineStr">
        <is>
          <t>NZ NTOU Electricity</t>
        </is>
      </c>
      <c r="F248" s="67" t="n"/>
      <c r="G248" s="67" t="inlineStr">
        <is>
          <t>32-34 Monokia Street,Fairy Springs,Rotorua</t>
        </is>
      </c>
      <c r="H248" s="67" t="inlineStr">
        <is>
          <t>DOWNER NEW ZEALAND LIMITED (NZBN: 9429039194114)</t>
        </is>
      </c>
      <c r="I248" s="67" t="n"/>
      <c r="J248" s="67" t="inlineStr">
        <is>
          <t>kWh</t>
        </is>
      </c>
      <c r="K248" s="86" t="n">
        <v>1801.138014527845</v>
      </c>
      <c r="L248" s="67" t="inlineStr">
        <is>
          <t>Meridian</t>
        </is>
      </c>
      <c r="M248" s="87" t="inlineStr">
        <is>
          <t>Ecotricity</t>
        </is>
      </c>
      <c r="N248" s="87" t="n">
        <v>46388</v>
      </c>
      <c r="O248" s="87" t="n">
        <v>47483</v>
      </c>
      <c r="P248" s="67" t="inlineStr">
        <is>
          <t>36 months</t>
        </is>
      </c>
      <c r="Q248" s="88">
        <f t="array" ref="Q248:S248">IFERROR(ROUNDUP(_xlfn.XLOOKUP(A248,'Budget FY26-28'!A:A,'Budget FY26-28'!M:O)*(1+Summary!$C$2), -2), "")</f>
        <v/>
      </c>
      <c r="R248" s="88" t="n">
        <v>4200</v>
      </c>
      <c r="S248" s="88" t="n">
        <v>4200</v>
      </c>
      <c r="T248" s="67" t="inlineStr">
        <is>
          <t>Ready</t>
        </is>
      </c>
      <c r="U248" s="71" t="n"/>
      <c r="V248" s="84" t="inlineStr">
        <is>
          <t>5142_ICP_0006725275TUA67</t>
        </is>
      </c>
      <c r="W248" s="84" t="inlineStr">
        <is>
          <t>Electricity – purchased from grid [kWh]</t>
        </is>
      </c>
      <c r="X248" s="84" t="inlineStr">
        <is>
          <t>Electricity [kWh]</t>
        </is>
      </c>
      <c r="Y248" s="84" t="inlineStr">
        <is>
          <t>Downer</t>
        </is>
      </c>
      <c r="Z248" s="84" t="inlineStr">
        <is>
          <t>_CLOSED_Support_U_P&amp;G_Electricity</t>
        </is>
      </c>
      <c r="AA248" s="84" t="inlineStr">
        <is>
          <t>L9.DNZJ.561671</t>
        </is>
      </c>
      <c r="AB248" s="84" t="inlineStr">
        <is>
          <t>Replaced 30 Jun 2022</t>
        </is>
      </c>
      <c r="AC248" s="84" t="inlineStr">
        <is>
          <t>Connection ID is the account number suffix</t>
        </is>
      </c>
      <c r="AD248" s="85" t="inlineStr">
        <is>
          <t>63990_ICP_0006725275TUA67</t>
        </is>
      </c>
      <c r="AE248" s="85" t="inlineStr"/>
    </row>
    <row r="249" customFormat="1" s="72">
      <c r="A249" s="66" t="inlineStr">
        <is>
          <t>0007109860WM4E3</t>
        </is>
      </c>
      <c r="B249" s="67" t="inlineStr">
        <is>
          <t>Electricity</t>
        </is>
      </c>
      <c r="C249" s="67" t="inlineStr">
        <is>
          <t>New Zealand</t>
        </is>
      </c>
      <c r="D249" s="67" t="inlineStr">
        <is>
          <t>North Island</t>
        </is>
      </c>
      <c r="E249" s="67" t="inlineStr">
        <is>
          <t>NZ NTOU Electricity</t>
        </is>
      </c>
      <c r="F249" s="67" t="n"/>
      <c r="G249" s="67" t="inlineStr">
        <is>
          <t>56 KURURAU ROAD,TAUMARUNUI</t>
        </is>
      </c>
      <c r="H249" s="67" t="inlineStr">
        <is>
          <t>DOWNER NEW ZEALAND LIMITED (NZBN: 9429039194114)</t>
        </is>
      </c>
      <c r="I249" s="67" t="n"/>
      <c r="J249" s="67" t="inlineStr">
        <is>
          <t>kWh</t>
        </is>
      </c>
      <c r="K249" s="86" t="n">
        <v>56751.02836879432</v>
      </c>
      <c r="L249" s="67" t="inlineStr">
        <is>
          <t>Meridian</t>
        </is>
      </c>
      <c r="M249" s="87" t="inlineStr">
        <is>
          <t>Ecotricity</t>
        </is>
      </c>
      <c r="N249" s="87" t="n">
        <v>46388</v>
      </c>
      <c r="O249" s="87" t="n">
        <v>47483</v>
      </c>
      <c r="P249" s="67" t="inlineStr">
        <is>
          <t>36 months</t>
        </is>
      </c>
      <c r="Q249" s="88">
        <f t="array" ref="Q249:S249">IFERROR(ROUNDUP(_xlfn.XLOOKUP(A249,'Budget FY26-28'!A:A,'Budget FY26-28'!M:O)*(1+Summary!$C$2), -2), "")</f>
        <v/>
      </c>
      <c r="R249" s="88" t="n">
        <v>19500</v>
      </c>
      <c r="S249" s="88" t="n">
        <v>19500</v>
      </c>
      <c r="T249" s="67" t="inlineStr">
        <is>
          <t>Ready</t>
        </is>
      </c>
      <c r="U249" s="71" t="n"/>
      <c r="V249" s="84" t="inlineStr">
        <is>
          <t>5056_ICP_0007109860WM4E3</t>
        </is>
      </c>
      <c r="W249" s="84" t="inlineStr">
        <is>
          <t>Electricity – purchased from grid [kWh]</t>
        </is>
      </c>
      <c r="X249" s="84" t="inlineStr">
        <is>
          <t>Electricity [kWh]</t>
        </is>
      </c>
      <c r="Y249" s="84" t="inlineStr">
        <is>
          <t>Downer</t>
        </is>
      </c>
      <c r="Z249" s="84" t="inlineStr">
        <is>
          <t>_CLOSED_Depot_T_Taumarunui</t>
        </is>
      </c>
      <c r="AA249" s="84" t="inlineStr">
        <is>
          <t>5056</t>
        </is>
      </c>
      <c r="AB249" s="84" t="inlineStr">
        <is>
          <t>Replaced 30 Jun 2022</t>
        </is>
      </c>
      <c r="AC249" s="84" t="inlineStr">
        <is>
          <t>Connection ID is the account number suffix</t>
        </is>
      </c>
      <c r="AD249" s="85" t="inlineStr">
        <is>
          <t>55563_ICP_0007109860WM4E3</t>
        </is>
      </c>
      <c r="AE249" s="85" t="inlineStr"/>
    </row>
    <row r="250" customFormat="1" s="72">
      <c r="A250" s="66" t="inlineStr">
        <is>
          <t>0007114916TUD0B</t>
        </is>
      </c>
      <c r="B250" s="67" t="inlineStr">
        <is>
          <t>Electricity</t>
        </is>
      </c>
      <c r="C250" s="67" t="inlineStr">
        <is>
          <t>New Zealand</t>
        </is>
      </c>
      <c r="D250" s="67" t="inlineStr">
        <is>
          <t>North Island</t>
        </is>
      </c>
      <c r="E250" s="67" t="inlineStr">
        <is>
          <t>NZ NTOU Electricity</t>
        </is>
      </c>
      <c r="F250" s="67" t="n"/>
      <c r="G250" s="67" t="inlineStr">
        <is>
          <t>81 Riri Street,Mangakakahi,Rotorua,Bay of Plenty Region</t>
        </is>
      </c>
      <c r="H250" s="67" t="inlineStr">
        <is>
          <t>DOWNER NEW ZEALAND LIMITED (NZBN: 9429039194114)</t>
        </is>
      </c>
      <c r="I250" s="67" t="n"/>
      <c r="J250" s="67" t="inlineStr">
        <is>
          <t>kWh</t>
        </is>
      </c>
      <c r="K250" s="86" t="n">
        <v>6357.730496453901</v>
      </c>
      <c r="L250" s="67" t="inlineStr">
        <is>
          <t>Meridian</t>
        </is>
      </c>
      <c r="M250" s="87" t="inlineStr">
        <is>
          <t>Ecotricity</t>
        </is>
      </c>
      <c r="N250" s="87" t="n">
        <v>46388</v>
      </c>
      <c r="O250" s="87" t="n">
        <v>47483</v>
      </c>
      <c r="P250" s="67" t="inlineStr">
        <is>
          <t>36 months</t>
        </is>
      </c>
      <c r="Q250" s="88">
        <f t="array" ref="Q250:S250">IFERROR(ROUNDUP(_xlfn.XLOOKUP(A250,'Budget FY26-28'!A:A,'Budget FY26-28'!M:O)*(1+Summary!$C$2), -2), "")</f>
        <v/>
      </c>
      <c r="R250" s="88" t="n">
        <v>3300</v>
      </c>
      <c r="S250" s="88" t="n">
        <v>3300</v>
      </c>
      <c r="T250" s="67" t="inlineStr">
        <is>
          <t>Ready</t>
        </is>
      </c>
      <c r="U250" s="71" t="n"/>
      <c r="V250" s="84" t="inlineStr">
        <is>
          <t>5003_ICP_0007114916TUD0B</t>
        </is>
      </c>
      <c r="W250" s="84" t="inlineStr">
        <is>
          <t>Electricity – purchased from grid [kWh]</t>
        </is>
      </c>
      <c r="X250" s="84" t="inlineStr">
        <is>
          <t>Electricity [kWh]</t>
        </is>
      </c>
      <c r="Y250" s="84" t="inlineStr">
        <is>
          <t>Downer</t>
        </is>
      </c>
      <c r="Z250" s="84" t="inlineStr">
        <is>
          <t>_CLOSED_Recharges_BP</t>
        </is>
      </c>
      <c r="AA250" s="84" t="inlineStr">
        <is>
          <t>L9.J.17031978</t>
        </is>
      </c>
      <c r="AB250" s="84" t="inlineStr">
        <is>
          <t>Replaced 30 Jun 2022</t>
        </is>
      </c>
      <c r="AC250" s="84" t="inlineStr">
        <is>
          <t>Connection ID is the account number suffix</t>
        </is>
      </c>
      <c r="AD250" s="85" t="inlineStr">
        <is>
          <t>9010_ICP_0007114916TUD0B</t>
        </is>
      </c>
      <c r="AE250" s="85" t="inlineStr"/>
    </row>
    <row r="251" customFormat="1" s="72">
      <c r="A251" s="66" t="inlineStr">
        <is>
          <t>0007118408RN645</t>
        </is>
      </c>
      <c r="B251" s="67" t="inlineStr">
        <is>
          <t>Electricity</t>
        </is>
      </c>
      <c r="C251" s="67" t="inlineStr">
        <is>
          <t>New Zealand</t>
        </is>
      </c>
      <c r="D251" s="67" t="inlineStr">
        <is>
          <t>South Island</t>
        </is>
      </c>
      <c r="E251" s="67" t="inlineStr">
        <is>
          <t>NZ NTOU Electricity</t>
        </is>
      </c>
      <c r="F251" s="67" t="n"/>
      <c r="G251" s="67" t="inlineStr">
        <is>
          <t>397 McLeans Island Road,McLeans Island,Christchurch,Canterbury Region</t>
        </is>
      </c>
      <c r="H251" s="67" t="inlineStr">
        <is>
          <t>DOWNER NEW ZEALAND LIMITED (NZBN: 9429039194114)</t>
        </is>
      </c>
      <c r="I251" s="67" t="n"/>
      <c r="J251" s="67" t="inlineStr">
        <is>
          <t>kWh</t>
        </is>
      </c>
      <c r="K251" s="86" t="n">
        <v>281187.1985815603</v>
      </c>
      <c r="L251" s="67" t="inlineStr">
        <is>
          <t>Meridian</t>
        </is>
      </c>
      <c r="M251" s="87" t="inlineStr">
        <is>
          <t>Ecotricity</t>
        </is>
      </c>
      <c r="N251" s="87" t="n">
        <v>46388</v>
      </c>
      <c r="O251" s="87" t="n">
        <v>47483</v>
      </c>
      <c r="P251" s="67" t="inlineStr">
        <is>
          <t>36 months</t>
        </is>
      </c>
      <c r="Q251" s="88">
        <f t="array" ref="Q251:S251">IFERROR(ROUNDUP(_xlfn.XLOOKUP(A251,'Budget FY26-28'!A:A,'Budget FY26-28'!M:O)*(1+Summary!$C$2), -2), "")</f>
        <v/>
      </c>
      <c r="R251" s="88" t="n">
        <v>76800</v>
      </c>
      <c r="S251" s="88" t="n">
        <v>76800</v>
      </c>
      <c r="T251" s="67" t="inlineStr">
        <is>
          <t>Ready</t>
        </is>
      </c>
      <c r="U251" s="71" t="n"/>
      <c r="V251" s="84" t="inlineStr">
        <is>
          <t>5024_ICP_0007118408RN645</t>
        </is>
      </c>
      <c r="W251" s="84" t="inlineStr">
        <is>
          <t>Electricity – purchased from grid [kWh]</t>
        </is>
      </c>
      <c r="X251" s="84" t="inlineStr">
        <is>
          <t>Electricity [kWh]</t>
        </is>
      </c>
      <c r="Y251" s="84" t="inlineStr">
        <is>
          <t>Downer</t>
        </is>
      </c>
      <c r="Z251" s="84" t="inlineStr">
        <is>
          <t>_CLOSED_Depot_T_Christchurch (McLeans Is)</t>
        </is>
      </c>
      <c r="AA251" s="84" t="inlineStr">
        <is>
          <t>5024</t>
        </is>
      </c>
      <c r="AB251" s="84" t="inlineStr">
        <is>
          <t>Replaced 30 Jun 2022</t>
        </is>
      </c>
      <c r="AC251" s="84" t="inlineStr">
        <is>
          <t>Connection ID is the account number suffix</t>
        </is>
      </c>
      <c r="AD251" s="85" t="inlineStr">
        <is>
          <t>55650_ICP_0007118408RN645</t>
        </is>
      </c>
      <c r="AE251" s="85" t="inlineStr"/>
    </row>
    <row r="252" customFormat="1" s="72">
      <c r="A252" s="66" t="inlineStr">
        <is>
          <t>0007131142RN619</t>
        </is>
      </c>
      <c r="B252" s="67" t="inlineStr">
        <is>
          <t>Electricity</t>
        </is>
      </c>
      <c r="C252" s="67" t="inlineStr">
        <is>
          <t>New Zealand</t>
        </is>
      </c>
      <c r="D252" s="67" t="inlineStr">
        <is>
          <t>South Island</t>
        </is>
      </c>
      <c r="E252" s="67" t="inlineStr">
        <is>
          <t>NZ NTOU Electricity</t>
        </is>
      </c>
      <c r="F252" s="67" t="n"/>
      <c r="G252" s="67" t="inlineStr">
        <is>
          <t>40 Ballarat Way,Wigram,Christchurch,Canterbury Region</t>
        </is>
      </c>
      <c r="H252" s="67" t="inlineStr">
        <is>
          <t>DOWNER NEW ZEALAND LIMITED (NZBN: 9429039194114)</t>
        </is>
      </c>
      <c r="I252" s="67" t="n"/>
      <c r="J252" s="67" t="inlineStr">
        <is>
          <t>kWh</t>
        </is>
      </c>
      <c r="K252" s="86" t="n">
        <v>14387.7304964539</v>
      </c>
      <c r="L252" s="67" t="inlineStr">
        <is>
          <t>Meridian</t>
        </is>
      </c>
      <c r="M252" s="87" t="inlineStr">
        <is>
          <t>Ecotricity</t>
        </is>
      </c>
      <c r="N252" s="87" t="n">
        <v>46388</v>
      </c>
      <c r="O252" s="87" t="n">
        <v>47483</v>
      </c>
      <c r="P252" s="67" t="inlineStr">
        <is>
          <t>36 months</t>
        </is>
      </c>
      <c r="Q252" s="88">
        <f t="array" ref="Q252:S252">IFERROR(ROUNDUP(_xlfn.XLOOKUP(A252,'Budget FY26-28'!A:A,'Budget FY26-28'!M:O)*(1+Summary!$C$2), -2), "")</f>
        <v/>
      </c>
      <c r="R252" s="88" t="n">
        <v>5500</v>
      </c>
      <c r="S252" s="88" t="n">
        <v>5500</v>
      </c>
      <c r="T252" s="67" t="inlineStr">
        <is>
          <t>Ready</t>
        </is>
      </c>
      <c r="U252" s="71" t="n"/>
      <c r="V252" s="84" t="inlineStr">
        <is>
          <t>Not found</t>
        </is>
      </c>
      <c r="W252" s="84" t="inlineStr"/>
      <c r="X252" s="84" t="inlineStr"/>
      <c r="Y252" s="84" t="inlineStr"/>
      <c r="Z252" s="84" t="inlineStr"/>
      <c r="AA252" s="84" t="inlineStr"/>
      <c r="AB252" s="84" t="inlineStr"/>
      <c r="AC252" s="84" t="inlineStr">
        <is>
          <t>No Envizi account ends in this Connection ID</t>
        </is>
      </c>
      <c r="AD252" s="85" t="inlineStr"/>
      <c r="AE252" s="85" t="inlineStr"/>
    </row>
    <row r="253" customFormat="1" s="72">
      <c r="A253" s="66" t="inlineStr">
        <is>
          <t>0007143106RNC4F</t>
        </is>
      </c>
      <c r="B253" s="67" t="inlineStr">
        <is>
          <t>Electricity</t>
        </is>
      </c>
      <c r="C253" s="67" t="inlineStr">
        <is>
          <t>New Zealand</t>
        </is>
      </c>
      <c r="D253" s="67" t="inlineStr">
        <is>
          <t>South Island</t>
        </is>
      </c>
      <c r="E253" s="67" t="inlineStr">
        <is>
          <t>NZ NTOU Electricity</t>
        </is>
      </c>
      <c r="F253" s="67" t="n"/>
      <c r="G253" s="67" t="inlineStr">
        <is>
          <t>55 Shands Road,Hornby,Christchurch,Canterbury Region</t>
        </is>
      </c>
      <c r="H253" s="67" t="inlineStr">
        <is>
          <t>DOWNER NEW ZEALAND LIMITED (NZBN: 9429039194114)</t>
        </is>
      </c>
      <c r="I253" s="67" t="n"/>
      <c r="J253" s="67" t="inlineStr">
        <is>
          <t>kWh</t>
        </is>
      </c>
      <c r="K253" s="86" t="n">
        <v>192285.9692671395</v>
      </c>
      <c r="L253" s="67" t="inlineStr">
        <is>
          <t>Meridian</t>
        </is>
      </c>
      <c r="M253" s="87" t="inlineStr">
        <is>
          <t>Ecotricity</t>
        </is>
      </c>
      <c r="N253" s="87" t="n">
        <v>46388</v>
      </c>
      <c r="O253" s="87" t="n">
        <v>47483</v>
      </c>
      <c r="P253" s="67" t="inlineStr">
        <is>
          <t>36 months</t>
        </is>
      </c>
      <c r="Q253" s="88">
        <f t="array" ref="Q253:S253">IFERROR(ROUNDUP(_xlfn.XLOOKUP(A253,'Budget FY26-28'!A:A,'Budget FY26-28'!M:O)*(1+Summary!$C$2), -2), "")</f>
        <v/>
      </c>
      <c r="R253" s="88" t="n">
        <v>54300</v>
      </c>
      <c r="S253" s="88" t="n">
        <v>54300</v>
      </c>
      <c r="T253" s="67" t="inlineStr">
        <is>
          <t>Ready</t>
        </is>
      </c>
      <c r="U253" s="71" t="n"/>
      <c r="V253" s="84" t="inlineStr">
        <is>
          <t>10150_ICP_0007143106RNC4F</t>
        </is>
      </c>
      <c r="W253" s="84" t="inlineStr">
        <is>
          <t>Electricity – purchased from grid [kWh]</t>
        </is>
      </c>
      <c r="X253" s="84" t="inlineStr">
        <is>
          <t>Electricity [kWh]</t>
        </is>
      </c>
      <c r="Y253" s="84" t="inlineStr">
        <is>
          <t>Downer</t>
        </is>
      </c>
      <c r="Z253" s="84" t="inlineStr">
        <is>
          <t>Shands Rd Occupancy Site Dept</t>
        </is>
      </c>
      <c r="AA253" s="84" t="inlineStr">
        <is>
          <t>10150</t>
        </is>
      </c>
      <c r="AB253" s="84" t="inlineStr">
        <is>
          <t>Replaced 31 May 2023</t>
        </is>
      </c>
      <c r="AC253" s="84" t="inlineStr">
        <is>
          <t>Connection ID is the account number suffix</t>
        </is>
      </c>
      <c r="AD253" s="85" t="inlineStr">
        <is>
          <t>5126_ICP_0007143106RNC4F</t>
        </is>
      </c>
      <c r="AE253" s="85" t="inlineStr"/>
    </row>
    <row r="254" customFormat="1" s="72">
      <c r="A254" s="66" t="inlineStr">
        <is>
          <t>0007194919RN100</t>
        </is>
      </c>
      <c r="B254" s="67" t="inlineStr">
        <is>
          <t>Electricity</t>
        </is>
      </c>
      <c r="C254" s="67" t="inlineStr">
        <is>
          <t>New Zealand</t>
        </is>
      </c>
      <c r="D254" s="67" t="inlineStr">
        <is>
          <t>South Island</t>
        </is>
      </c>
      <c r="E254" s="67" t="inlineStr">
        <is>
          <t>NZ NTOU Electricity</t>
        </is>
      </c>
      <c r="F254" s="67" t="n"/>
      <c r="G254" s="67" t="inlineStr">
        <is>
          <t>Unit 216 118 Salisbury Street,Christchurch Central,Christchurch</t>
        </is>
      </c>
      <c r="H254" s="67" t="inlineStr">
        <is>
          <t>DOWNER NEW ZEALAND LIMITED (NZBN: 9429039194114)</t>
        </is>
      </c>
      <c r="I254" s="67" t="n"/>
      <c r="J254" s="67" t="inlineStr">
        <is>
          <t>kWh</t>
        </is>
      </c>
      <c r="K254" s="86" t="n">
        <v>1787.895981087471</v>
      </c>
      <c r="L254" s="67" t="inlineStr">
        <is>
          <t>Meridian</t>
        </is>
      </c>
      <c r="M254" s="87" t="inlineStr">
        <is>
          <t>Ecotricity</t>
        </is>
      </c>
      <c r="N254" s="87" t="n">
        <v>46388</v>
      </c>
      <c r="O254" s="87" t="n">
        <v>47483</v>
      </c>
      <c r="P254" s="67" t="inlineStr">
        <is>
          <t>36 months</t>
        </is>
      </c>
      <c r="Q254" s="88">
        <f t="array" ref="Q254:S254">IFERROR(ROUNDUP(_xlfn.XLOOKUP(A254,'Budget FY26-28'!A:A,'Budget FY26-28'!M:O)*(1+Summary!$C$2), -2), "")</f>
        <v/>
      </c>
      <c r="R254" s="88" t="n">
        <v>1400</v>
      </c>
      <c r="S254" s="88" t="n">
        <v>1400</v>
      </c>
      <c r="T254" s="67" t="inlineStr">
        <is>
          <t>Ready</t>
        </is>
      </c>
      <c r="U254" s="71" t="n"/>
      <c r="V254" s="84" t="inlineStr">
        <is>
          <t>Not found</t>
        </is>
      </c>
      <c r="W254" s="84" t="inlineStr"/>
      <c r="X254" s="84" t="inlineStr"/>
      <c r="Y254" s="84" t="inlineStr"/>
      <c r="Z254" s="84" t="inlineStr"/>
      <c r="AA254" s="84" t="inlineStr"/>
      <c r="AB254" s="84" t="inlineStr"/>
      <c r="AC254" s="84" t="inlineStr">
        <is>
          <t>No Envizi account ends in this Connection ID</t>
        </is>
      </c>
      <c r="AD254" s="85" t="inlineStr"/>
      <c r="AE254" s="85" t="inlineStr"/>
    </row>
    <row r="255" customFormat="1" s="72">
      <c r="A255" s="66" t="inlineStr">
        <is>
          <t>0007392206ALC3A</t>
        </is>
      </c>
      <c r="B255" s="67" t="inlineStr">
        <is>
          <t>Electricity</t>
        </is>
      </c>
      <c r="C255" s="67" t="inlineStr">
        <is>
          <t>New Zealand</t>
        </is>
      </c>
      <c r="D255" s="67" t="inlineStr">
        <is>
          <t>South Island</t>
        </is>
      </c>
      <c r="E255" s="67" t="inlineStr">
        <is>
          <t>NZ NTOU Electricity</t>
        </is>
      </c>
      <c r="F255" s="67" t="n"/>
      <c r="G255" s="67" t="inlineStr">
        <is>
          <t>23 Hooker Crescent,Twizel,Canterbury Region</t>
        </is>
      </c>
      <c r="H255" s="67" t="inlineStr">
        <is>
          <t>DOWNER NEW ZEALAND LIMITED (NZBN: 9429039194114)</t>
        </is>
      </c>
      <c r="I255" s="67" t="n"/>
      <c r="J255" s="67" t="inlineStr">
        <is>
          <t>kWh</t>
        </is>
      </c>
      <c r="K255" s="86" t="n">
        <v>13291.86761229314</v>
      </c>
      <c r="L255" s="67" t="inlineStr">
        <is>
          <t>Meridian</t>
        </is>
      </c>
      <c r="M255" s="87" t="inlineStr">
        <is>
          <t>Ecotricity</t>
        </is>
      </c>
      <c r="N255" s="87" t="n">
        <v>46388</v>
      </c>
      <c r="O255" s="87" t="n">
        <v>47483</v>
      </c>
      <c r="P255" s="67" t="inlineStr">
        <is>
          <t>36 months</t>
        </is>
      </c>
      <c r="Q255" s="88">
        <f t="array" ref="Q255:S255">IFERROR(ROUNDUP(_xlfn.XLOOKUP(A255,'Budget FY26-28'!A:A,'Budget FY26-28'!M:O)*(1+Summary!$C$2), -2), "")</f>
        <v/>
      </c>
      <c r="R255" s="88" t="n">
        <v>8300</v>
      </c>
      <c r="S255" s="88" t="n">
        <v>8300</v>
      </c>
      <c r="T255" s="67" t="inlineStr">
        <is>
          <t>Ready</t>
        </is>
      </c>
      <c r="U255" s="71" t="n"/>
      <c r="V255" s="84" t="inlineStr">
        <is>
          <t>5065_ICP_0007392206ALC3A</t>
        </is>
      </c>
      <c r="W255" s="84" t="inlineStr">
        <is>
          <t>Electricity – purchased from grid [kWh]</t>
        </is>
      </c>
      <c r="X255" s="84" t="inlineStr">
        <is>
          <t>Electricity [kWh]</t>
        </is>
      </c>
      <c r="Y255" s="84" t="inlineStr">
        <is>
          <t>Downer</t>
        </is>
      </c>
      <c r="Z255" s="84" t="inlineStr">
        <is>
          <t>_CLOSED_Depot_T_Twizel</t>
        </is>
      </c>
      <c r="AA255" s="84" t="inlineStr">
        <is>
          <t>5065</t>
        </is>
      </c>
      <c r="AB255" s="84" t="inlineStr">
        <is>
          <t>Replaced 30 Jun 2022</t>
        </is>
      </c>
      <c r="AC255" s="84" t="inlineStr">
        <is>
          <t>Connection ID is the account number suffix</t>
        </is>
      </c>
      <c r="AD255" s="85" t="inlineStr">
        <is>
          <t>55654_ICP_0007392206ALC3A</t>
        </is>
      </c>
      <c r="AE255" s="85" t="inlineStr"/>
    </row>
    <row r="256" customFormat="1" s="72">
      <c r="A256" s="66" t="inlineStr">
        <is>
          <t>0007731600WM053</t>
        </is>
      </c>
      <c r="B256" s="67" t="inlineStr">
        <is>
          <t>Electricity</t>
        </is>
      </c>
      <c r="C256" s="67" t="inlineStr">
        <is>
          <t>New Zealand</t>
        </is>
      </c>
      <c r="D256" s="67" t="inlineStr">
        <is>
          <t>North Island</t>
        </is>
      </c>
      <c r="E256" s="67" t="inlineStr">
        <is>
          <t>NZ NTOU Electricity</t>
        </is>
      </c>
      <c r="F256" s="67" t="n"/>
      <c r="G256" s="67" t="inlineStr">
        <is>
          <t>73 North Street,Mokau,Waikato Region</t>
        </is>
      </c>
      <c r="H256" s="67" t="inlineStr">
        <is>
          <t>DOWNER NEW ZEALAND LIMITED (NZBN: 9429039194114)</t>
        </is>
      </c>
      <c r="I256" s="67" t="n"/>
      <c r="J256" s="67" t="inlineStr">
        <is>
          <t>kWh</t>
        </is>
      </c>
      <c r="K256" s="86" t="n">
        <v>3121.052009456265</v>
      </c>
      <c r="L256" s="67" t="inlineStr">
        <is>
          <t>Meridian</t>
        </is>
      </c>
      <c r="M256" s="87" t="inlineStr">
        <is>
          <t>Ecotricity</t>
        </is>
      </c>
      <c r="N256" s="87" t="n">
        <v>46388</v>
      </c>
      <c r="O256" s="87" t="n">
        <v>47483</v>
      </c>
      <c r="P256" s="67" t="inlineStr">
        <is>
          <t>36 months</t>
        </is>
      </c>
      <c r="Q256" s="88">
        <f t="array" ref="Q256:S256">IFERROR(ROUNDUP(_xlfn.XLOOKUP(A256,'Budget FY26-28'!A:A,'Budget FY26-28'!M:O)*(1+Summary!$C$2), -2), "")</f>
        <v/>
      </c>
      <c r="R256" s="88" t="n">
        <v>3400</v>
      </c>
      <c r="S256" s="88" t="n">
        <v>3400</v>
      </c>
      <c r="T256" s="67" t="inlineStr">
        <is>
          <t>Ready</t>
        </is>
      </c>
      <c r="U256" s="71" t="n"/>
      <c r="V256" s="84" t="inlineStr">
        <is>
          <t>Not found</t>
        </is>
      </c>
      <c r="W256" s="84" t="inlineStr"/>
      <c r="X256" s="84" t="inlineStr"/>
      <c r="Y256" s="84" t="inlineStr"/>
      <c r="Z256" s="84" t="inlineStr"/>
      <c r="AA256" s="84" t="inlineStr"/>
      <c r="AB256" s="84" t="inlineStr"/>
      <c r="AC256" s="84" t="inlineStr">
        <is>
          <t>No Envizi account ends in this Connection ID</t>
        </is>
      </c>
      <c r="AD256" s="85" t="inlineStr"/>
      <c r="AE256" s="85" t="inlineStr"/>
    </row>
    <row r="257" customFormat="1" s="72">
      <c r="A257" s="66" t="inlineStr">
        <is>
          <t>0007821200WMAC9</t>
        </is>
      </c>
      <c r="B257" s="67" t="inlineStr">
        <is>
          <t>Electricity</t>
        </is>
      </c>
      <c r="C257" s="67" t="inlineStr">
        <is>
          <t>New Zealand</t>
        </is>
      </c>
      <c r="D257" s="67" t="inlineStr">
        <is>
          <t>North Island</t>
        </is>
      </c>
      <c r="E257" s="67" t="inlineStr">
        <is>
          <t>NZ NTOU Electricity</t>
        </is>
      </c>
      <c r="F257" s="67" t="n"/>
      <c r="G257" s="67" t="inlineStr">
        <is>
          <t>1259 Okau Road,Ahititi,Urenui,Taranaki Region</t>
        </is>
      </c>
      <c r="H257" s="67" t="inlineStr">
        <is>
          <t>DOWNER NEW ZEALAND LIMITED (NZBN: 9429039194114)</t>
        </is>
      </c>
      <c r="I257" s="67" t="n"/>
      <c r="J257" s="67" t="inlineStr">
        <is>
          <t>kWh</t>
        </is>
      </c>
      <c r="K257" s="86" t="n">
        <v>5713.514851485149</v>
      </c>
      <c r="L257" s="67" t="inlineStr">
        <is>
          <t>Meridian</t>
        </is>
      </c>
      <c r="M257" s="87" t="inlineStr">
        <is>
          <t>Ecotricity</t>
        </is>
      </c>
      <c r="N257" s="87" t="n">
        <v>46388</v>
      </c>
      <c r="O257" s="87" t="n">
        <v>47483</v>
      </c>
      <c r="P257" s="67" t="inlineStr">
        <is>
          <t>36 months</t>
        </is>
      </c>
      <c r="Q257" s="88">
        <f t="array" ref="Q257:S257">IFERROR(ROUNDUP(_xlfn.XLOOKUP(A257,'Budget FY26-28'!A:A,'Budget FY26-28'!M:O)*(1+Summary!$C$2), -2), "")</f>
        <v/>
      </c>
      <c r="R257" s="88" t="n">
        <v>3600</v>
      </c>
      <c r="S257" s="88" t="n">
        <v>3600</v>
      </c>
      <c r="T257" s="67" t="inlineStr">
        <is>
          <t>Ready</t>
        </is>
      </c>
      <c r="U257" s="71" t="n"/>
      <c r="V257" s="84" t="inlineStr">
        <is>
          <t>0007821200WMAC9</t>
        </is>
      </c>
      <c r="W257" s="84" t="inlineStr">
        <is>
          <t>Electricity – purchased from grid [kWh]</t>
        </is>
      </c>
      <c r="X257" s="84" t="inlineStr">
        <is>
          <t>Electricity [kWh]</t>
        </is>
      </c>
      <c r="Y257" s="84" t="inlineStr">
        <is>
          <t>Meridian</t>
        </is>
      </c>
      <c r="Z257" s="84" t="inlineStr">
        <is>
          <t>1259 Okau Road  Ahititi</t>
        </is>
      </c>
      <c r="AA257" s="84" t="inlineStr">
        <is>
          <t>55173</t>
        </is>
      </c>
      <c r="AB257" s="84" t="inlineStr">
        <is>
          <t>Active</t>
        </is>
      </c>
      <c r="AC257" s="84" t="inlineStr">
        <is>
          <t>Connection ID is the account number suffix</t>
        </is>
      </c>
      <c r="AD257" s="85" t="inlineStr"/>
      <c r="AE257" s="85" t="inlineStr"/>
    </row>
    <row r="258" customFormat="1" s="72">
      <c r="A258" s="66" t="inlineStr">
        <is>
          <t>0008803763NV80A</t>
        </is>
      </c>
      <c r="B258" s="67" t="inlineStr">
        <is>
          <t>Electricity</t>
        </is>
      </c>
      <c r="C258" s="67" t="inlineStr">
        <is>
          <t>New Zealand</t>
        </is>
      </c>
      <c r="D258" s="67" t="inlineStr">
        <is>
          <t>South Island</t>
        </is>
      </c>
      <c r="E258" s="67" t="inlineStr">
        <is>
          <t>NZ NTOU Electricity</t>
        </is>
      </c>
      <c r="F258" s="67" t="n"/>
      <c r="G258" s="67" t="inlineStr">
        <is>
          <t>159 Liddel Street,West Invercargill,Invercargill,Southland Region</t>
        </is>
      </c>
      <c r="H258" s="67" t="inlineStr">
        <is>
          <t>DOWNER NEW ZEALAND LIMITED (NZBN: 9429039194114)</t>
        </is>
      </c>
      <c r="I258" s="67" t="n"/>
      <c r="J258" s="67" t="inlineStr">
        <is>
          <t>kWh</t>
        </is>
      </c>
      <c r="K258" s="86" t="n">
        <v>148068.3333333333</v>
      </c>
      <c r="L258" s="67" t="inlineStr">
        <is>
          <t>Meridian</t>
        </is>
      </c>
      <c r="M258" s="87" t="inlineStr">
        <is>
          <t>Ecotricity</t>
        </is>
      </c>
      <c r="N258" s="87" t="n">
        <v>46388</v>
      </c>
      <c r="O258" s="87" t="n">
        <v>47483</v>
      </c>
      <c r="P258" s="67" t="inlineStr">
        <is>
          <t>36 months</t>
        </is>
      </c>
      <c r="Q258" s="88">
        <f t="array" ref="Q258:S258">IFERROR(ROUNDUP(_xlfn.XLOOKUP(A258,'Budget FY26-28'!A:A,'Budget FY26-28'!M:O)*(1+Summary!$C$2), -2), "")</f>
        <v/>
      </c>
      <c r="R258" s="88" t="n">
        <v>41900</v>
      </c>
      <c r="S258" s="88" t="n">
        <v>41900</v>
      </c>
      <c r="T258" s="67" t="inlineStr">
        <is>
          <t>Ready</t>
        </is>
      </c>
      <c r="U258" s="71" t="n"/>
      <c r="V258" s="84" t="inlineStr">
        <is>
          <t>5035_ICP_0008803763NV80A</t>
        </is>
      </c>
      <c r="W258" s="84" t="inlineStr">
        <is>
          <t>Electricity – purchased from grid [kWh]</t>
        </is>
      </c>
      <c r="X258" s="84" t="inlineStr">
        <is>
          <t>Electricity [kWh]</t>
        </is>
      </c>
      <c r="Y258" s="84" t="inlineStr">
        <is>
          <t>Downer</t>
        </is>
      </c>
      <c r="Z258" s="84" t="inlineStr">
        <is>
          <t>_CLOSED_Depot_T_Invercargill</t>
        </is>
      </c>
      <c r="AA258" s="84" t="inlineStr">
        <is>
          <t>5035</t>
        </is>
      </c>
      <c r="AB258" s="84" t="inlineStr">
        <is>
          <t>Replaced 30 Jun 2022</t>
        </is>
      </c>
      <c r="AC258" s="84" t="inlineStr">
        <is>
          <t>Connection ID is the account number suffix</t>
        </is>
      </c>
      <c r="AD258" s="85" t="inlineStr">
        <is>
          <t>55670_ICP_0008803763NV80A</t>
        </is>
      </c>
      <c r="AE258" s="85" t="inlineStr"/>
    </row>
    <row r="259" customFormat="1" s="72">
      <c r="A259" s="66" t="inlineStr">
        <is>
          <t>0011001339PC3B8</t>
        </is>
      </c>
      <c r="B259" s="67" t="inlineStr">
        <is>
          <t>Electricity</t>
        </is>
      </c>
      <c r="C259" s="67" t="inlineStr">
        <is>
          <t>New Zealand</t>
        </is>
      </c>
      <c r="D259" s="67" t="inlineStr">
        <is>
          <t>North Island</t>
        </is>
      </c>
      <c r="E259" s="67" t="inlineStr">
        <is>
          <t>NZ NTOU Electricity</t>
        </is>
      </c>
      <c r="F259" s="67" t="n"/>
      <c r="G259" s="67" t="inlineStr">
        <is>
          <t>44B Victoria Road,New Plymouth,Taranaki Region</t>
        </is>
      </c>
      <c r="H259" s="67" t="inlineStr">
        <is>
          <t>DOWNER NEW ZEALAND LIMITED (NZBN: 9429039194114)</t>
        </is>
      </c>
      <c r="I259" s="67" t="n"/>
      <c r="J259" s="67" t="inlineStr">
        <is>
          <t>kWh</t>
        </is>
      </c>
      <c r="K259" s="86" t="n">
        <v>11327.47863247863</v>
      </c>
      <c r="L259" s="67" t="inlineStr">
        <is>
          <t>Meridian</t>
        </is>
      </c>
      <c r="M259" s="87" t="inlineStr">
        <is>
          <t>Ecotricity</t>
        </is>
      </c>
      <c r="N259" s="87" t="n">
        <v>46388</v>
      </c>
      <c r="O259" s="87" t="n">
        <v>47483</v>
      </c>
      <c r="P259" s="67" t="inlineStr">
        <is>
          <t>36 months</t>
        </is>
      </c>
      <c r="Q259" s="88">
        <f t="array" ref="Q259:S259">IFERROR(ROUNDUP(_xlfn.XLOOKUP(A259,'Budget FY26-28'!A:A,'Budget FY26-28'!M:O)*(1+Summary!$C$2), -2), "")</f>
        <v/>
      </c>
      <c r="R259" s="88" t="n">
        <v>4700</v>
      </c>
      <c r="S259" s="88" t="n">
        <v>4700</v>
      </c>
      <c r="T259" s="67" t="inlineStr">
        <is>
          <t>Ready</t>
        </is>
      </c>
      <c r="U259" s="71" t="n"/>
      <c r="V259" s="84" t="inlineStr">
        <is>
          <t>Not found</t>
        </is>
      </c>
      <c r="W259" s="84" t="inlineStr"/>
      <c r="X259" s="84" t="inlineStr"/>
      <c r="Y259" s="84" t="inlineStr"/>
      <c r="Z259" s="84" t="inlineStr"/>
      <c r="AA259" s="84" t="inlineStr"/>
      <c r="AB259" s="84" t="inlineStr"/>
      <c r="AC259" s="84" t="inlineStr">
        <is>
          <t>No Envizi account ends in this Connection ID</t>
        </is>
      </c>
      <c r="AD259" s="85" t="inlineStr"/>
      <c r="AE259" s="85" t="inlineStr"/>
    </row>
    <row r="260" customFormat="1" s="72">
      <c r="A260" s="66" t="inlineStr">
        <is>
          <t>0011006140PC6D3</t>
        </is>
      </c>
      <c r="B260" s="67" t="inlineStr">
        <is>
          <t>Electricity</t>
        </is>
      </c>
      <c r="C260" s="67" t="inlineStr">
        <is>
          <t>New Zealand</t>
        </is>
      </c>
      <c r="D260" s="67" t="inlineStr">
        <is>
          <t>North Island</t>
        </is>
      </c>
      <c r="E260" s="67" t="inlineStr">
        <is>
          <t>NZ NTOU Electricity</t>
        </is>
      </c>
      <c r="F260" s="67" t="n"/>
      <c r="G260" s="67" t="inlineStr">
        <is>
          <t>50 Dillon Drive,Bell Block,New Plymouth,Taranaki Region</t>
        </is>
      </c>
      <c r="H260" s="67" t="inlineStr">
        <is>
          <t>DOWNER NEW ZEALAND LIMITED (NZBN: 9429039194114)</t>
        </is>
      </c>
      <c r="I260" s="67" t="n"/>
      <c r="J260" s="67" t="inlineStr">
        <is>
          <t>kWh</t>
        </is>
      </c>
      <c r="K260" s="86" t="n">
        <v>14493.86524822695</v>
      </c>
      <c r="L260" s="67" t="inlineStr">
        <is>
          <t>Meridian</t>
        </is>
      </c>
      <c r="M260" s="87" t="inlineStr">
        <is>
          <t>Ecotricity</t>
        </is>
      </c>
      <c r="N260" s="87" t="n">
        <v>46388</v>
      </c>
      <c r="O260" s="87" t="n">
        <v>47483</v>
      </c>
      <c r="P260" s="67" t="inlineStr">
        <is>
          <t>36 months</t>
        </is>
      </c>
      <c r="Q260" s="88">
        <f t="array" ref="Q260:S260">IFERROR(ROUNDUP(_xlfn.XLOOKUP(A260,'Budget FY26-28'!A:A,'Budget FY26-28'!M:O)*(1+Summary!$C$2), -2), "")</f>
        <v/>
      </c>
      <c r="R260" s="88" t="n">
        <v>5700</v>
      </c>
      <c r="S260" s="88" t="n">
        <v>5700</v>
      </c>
      <c r="T260" s="67" t="inlineStr">
        <is>
          <t>Ready</t>
        </is>
      </c>
      <c r="U260" s="71" t="n"/>
      <c r="V260" s="84" t="inlineStr">
        <is>
          <t>Not found</t>
        </is>
      </c>
      <c r="W260" s="84" t="inlineStr"/>
      <c r="X260" s="84" t="inlineStr"/>
      <c r="Y260" s="84" t="inlineStr"/>
      <c r="Z260" s="84" t="inlineStr"/>
      <c r="AA260" s="84" t="inlineStr"/>
      <c r="AB260" s="84" t="inlineStr"/>
      <c r="AC260" s="84" t="inlineStr">
        <is>
          <t>No Envizi account ends in this Connection ID</t>
        </is>
      </c>
      <c r="AD260" s="85" t="inlineStr"/>
      <c r="AE260" s="85" t="inlineStr"/>
    </row>
    <row r="261" customFormat="1" s="72">
      <c r="A261" s="66" t="inlineStr">
        <is>
          <t>0011006852PC5F2</t>
        </is>
      </c>
      <c r="B261" s="67" t="inlineStr">
        <is>
          <t>Electricity</t>
        </is>
      </c>
      <c r="C261" s="67" t="inlineStr">
        <is>
          <t>New Zealand</t>
        </is>
      </c>
      <c r="D261" s="67" t="inlineStr">
        <is>
          <t>North Island</t>
        </is>
      </c>
      <c r="E261" s="67" t="inlineStr">
        <is>
          <t>NZ NTOU Electricity</t>
        </is>
      </c>
      <c r="F261" s="67" t="n"/>
      <c r="G261" s="67" t="inlineStr">
        <is>
          <t>32A Bulteel Street,New Plymouth,Taranaki Region</t>
        </is>
      </c>
      <c r="H261" s="67" t="inlineStr">
        <is>
          <t>DOWNER NEW ZEALAND LIMITED (NZBN: 9429039194114)</t>
        </is>
      </c>
      <c r="I261" s="67" t="n"/>
      <c r="J261" s="67" t="inlineStr">
        <is>
          <t>kWh</t>
        </is>
      </c>
      <c r="K261" s="86" t="n">
        <v>4443.853427895981</v>
      </c>
      <c r="L261" s="67" t="inlineStr">
        <is>
          <t>Meridian</t>
        </is>
      </c>
      <c r="M261" s="87" t="inlineStr">
        <is>
          <t>Ecotricity</t>
        </is>
      </c>
      <c r="N261" s="87" t="n">
        <v>46388</v>
      </c>
      <c r="O261" s="87" t="n">
        <v>47483</v>
      </c>
      <c r="P261" s="67" t="inlineStr">
        <is>
          <t>36 months</t>
        </is>
      </c>
      <c r="Q261" s="88">
        <f t="array" ref="Q261:S261">IFERROR(ROUNDUP(_xlfn.XLOOKUP(A261,'Budget FY26-28'!A:A,'Budget FY26-28'!M:O)*(1+Summary!$C$2), -2), "")</f>
        <v/>
      </c>
      <c r="R261" s="88" t="n">
        <v>2600</v>
      </c>
      <c r="S261" s="88" t="n">
        <v>2600</v>
      </c>
      <c r="T261" s="67" t="inlineStr">
        <is>
          <t>Ready</t>
        </is>
      </c>
      <c r="U261" s="71" t="n"/>
      <c r="V261" s="84" t="inlineStr">
        <is>
          <t>Not found</t>
        </is>
      </c>
      <c r="W261" s="84" t="inlineStr"/>
      <c r="X261" s="84" t="inlineStr"/>
      <c r="Y261" s="84" t="inlineStr"/>
      <c r="Z261" s="84" t="inlineStr"/>
      <c r="AA261" s="84" t="inlineStr"/>
      <c r="AB261" s="84" t="inlineStr"/>
      <c r="AC261" s="84" t="inlineStr">
        <is>
          <t>No Envizi account ends in this Connection ID</t>
        </is>
      </c>
      <c r="AD261" s="85" t="inlineStr"/>
      <c r="AE261" s="85" t="inlineStr"/>
    </row>
    <row r="262" customFormat="1" s="72">
      <c r="A262" s="66" t="inlineStr">
        <is>
          <t>0011007482PC51C</t>
        </is>
      </c>
      <c r="B262" s="67" t="inlineStr">
        <is>
          <t>Electricity</t>
        </is>
      </c>
      <c r="C262" s="67" t="inlineStr">
        <is>
          <t>New Zealand</t>
        </is>
      </c>
      <c r="D262" s="67" t="inlineStr">
        <is>
          <t>North Island</t>
        </is>
      </c>
      <c r="E262" s="67" t="inlineStr">
        <is>
          <t>NZ NTOU Electricity</t>
        </is>
      </c>
      <c r="F262" s="67" t="n"/>
      <c r="G262" s="67" t="inlineStr">
        <is>
          <t>138 Molesworth Street,New Plymouth,Taranaki Region</t>
        </is>
      </c>
      <c r="H262" s="67" t="inlineStr">
        <is>
          <t>DOWNER NEW ZEALAND LIMITED (NZBN: 9429039194114)</t>
        </is>
      </c>
      <c r="I262" s="67" t="n"/>
      <c r="J262" s="67" t="inlineStr">
        <is>
          <t>kWh</t>
        </is>
      </c>
      <c r="K262" s="86" t="n">
        <v>1429.799054373522</v>
      </c>
      <c r="L262" s="67" t="inlineStr">
        <is>
          <t>Meridian</t>
        </is>
      </c>
      <c r="M262" s="87" t="inlineStr">
        <is>
          <t>Ecotricity</t>
        </is>
      </c>
      <c r="N262" s="87" t="n">
        <v>46388</v>
      </c>
      <c r="O262" s="87" t="n">
        <v>47483</v>
      </c>
      <c r="P262" s="67" t="inlineStr">
        <is>
          <t>36 months</t>
        </is>
      </c>
      <c r="Q262" s="88">
        <f t="array" ref="Q262:S262">IFERROR(ROUNDUP(_xlfn.XLOOKUP(A262,'Budget FY26-28'!A:A,'Budget FY26-28'!M:O)*(1+Summary!$C$2), -2), "")</f>
        <v/>
      </c>
      <c r="R262" s="88" t="n">
        <v>1600</v>
      </c>
      <c r="S262" s="88" t="n">
        <v>1600</v>
      </c>
      <c r="T262" s="67" t="inlineStr">
        <is>
          <t>Ready</t>
        </is>
      </c>
      <c r="U262" s="71" t="n"/>
      <c r="V262" s="84" t="inlineStr">
        <is>
          <t>Not found</t>
        </is>
      </c>
      <c r="W262" s="84" t="inlineStr"/>
      <c r="X262" s="84" t="inlineStr"/>
      <c r="Y262" s="84" t="inlineStr"/>
      <c r="Z262" s="84" t="inlineStr"/>
      <c r="AA262" s="84" t="inlineStr"/>
      <c r="AB262" s="84" t="inlineStr"/>
      <c r="AC262" s="84" t="inlineStr">
        <is>
          <t>No Envizi account ends in this Connection ID</t>
        </is>
      </c>
      <c r="AD262" s="85" t="inlineStr"/>
      <c r="AE262" s="85" t="inlineStr"/>
    </row>
    <row r="263" customFormat="1" s="72">
      <c r="A263" s="66" t="inlineStr">
        <is>
          <t>0030306524PCB33</t>
        </is>
      </c>
      <c r="B263" s="67" t="inlineStr">
        <is>
          <t>Electricity</t>
        </is>
      </c>
      <c r="C263" s="67" t="inlineStr">
        <is>
          <t>New Zealand</t>
        </is>
      </c>
      <c r="D263" s="67" t="inlineStr">
        <is>
          <t>North Island</t>
        </is>
      </c>
      <c r="E263" s="67" t="inlineStr">
        <is>
          <t>NZ NTOU Electricity</t>
        </is>
      </c>
      <c r="F263" s="67" t="n"/>
      <c r="G263" s="67" t="inlineStr">
        <is>
          <t>34 Bedford Avenue,Gonville,Whanganui,Manawatu-Wanganui Region</t>
        </is>
      </c>
      <c r="H263" s="67" t="inlineStr">
        <is>
          <t>DOWNER NEW ZEALAND LIMITED (NZBN: 9429039194114)</t>
        </is>
      </c>
      <c r="I263" s="67" t="n"/>
      <c r="J263" s="67" t="inlineStr">
        <is>
          <t>kWh</t>
        </is>
      </c>
      <c r="K263" s="86" t="n">
        <v>106100.2364066194</v>
      </c>
      <c r="L263" s="67" t="inlineStr">
        <is>
          <t>Meridian</t>
        </is>
      </c>
      <c r="M263" s="87" t="inlineStr">
        <is>
          <t>Ecotricity</t>
        </is>
      </c>
      <c r="N263" s="87" t="n">
        <v>46388</v>
      </c>
      <c r="O263" s="87" t="n">
        <v>47483</v>
      </c>
      <c r="P263" s="67" t="inlineStr">
        <is>
          <t>36 months</t>
        </is>
      </c>
      <c r="Q263" s="88">
        <f t="array" ref="Q263:S263">IFERROR(ROUNDUP(_xlfn.XLOOKUP(A263,'Budget FY26-28'!A:A,'Budget FY26-28'!M:O)*(1+Summary!$C$2), -2), "")</f>
        <v/>
      </c>
      <c r="R263" s="88" t="n">
        <v>34600</v>
      </c>
      <c r="S263" s="88" t="n">
        <v>34600</v>
      </c>
      <c r="T263" s="67" t="inlineStr">
        <is>
          <t>Ready</t>
        </is>
      </c>
      <c r="U263" s="71" t="n"/>
      <c r="V263" s="84" t="inlineStr">
        <is>
          <t>5002_ICP_0030306524PCB33</t>
        </is>
      </c>
      <c r="W263" s="84" t="inlineStr">
        <is>
          <t>Electricity – purchased from grid [kWh]</t>
        </is>
      </c>
      <c r="X263" s="84" t="inlineStr">
        <is>
          <t>Electricity [kWh]</t>
        </is>
      </c>
      <c r="Y263" s="84" t="inlineStr">
        <is>
          <t>Downer</t>
        </is>
      </c>
      <c r="Z263" s="84" t="inlineStr">
        <is>
          <t>_CLOSED_Recharges_HO_P&amp;G</t>
        </is>
      </c>
      <c r="AA263" s="84" t="inlineStr">
        <is>
          <t>5002</t>
        </is>
      </c>
      <c r="AB263" s="84" t="inlineStr">
        <is>
          <t>Replaced 30 Jun 2022</t>
        </is>
      </c>
      <c r="AC263" s="84" t="inlineStr">
        <is>
          <t>Connection ID is the account number suffix</t>
        </is>
      </c>
      <c r="AD263" s="85" t="inlineStr">
        <is>
          <t>9009_ICP_0030306524PCB33</t>
        </is>
      </c>
      <c r="AE263" s="85" t="inlineStr"/>
    </row>
    <row r="264" customFormat="1" s="72">
      <c r="A264" s="66" t="inlineStr">
        <is>
          <t>0030530098PCA11</t>
        </is>
      </c>
      <c r="B264" s="67" t="inlineStr">
        <is>
          <t>Electricity</t>
        </is>
      </c>
      <c r="C264" s="67" t="inlineStr">
        <is>
          <t>New Zealand</t>
        </is>
      </c>
      <c r="D264" s="67" t="inlineStr">
        <is>
          <t>North Island</t>
        </is>
      </c>
      <c r="E264" s="67" t="inlineStr">
        <is>
          <t>NZ NTOU Electricity</t>
        </is>
      </c>
      <c r="F264" s="67" t="n"/>
      <c r="G264" s="67" t="inlineStr">
        <is>
          <t>501 Heads Road,Castlecliff,Whanganui,Manawatu-Wanganui Region</t>
        </is>
      </c>
      <c r="H264" s="67" t="inlineStr">
        <is>
          <t>DOWNER NEW ZEALAND LIMITED (NZBN: 9429039194114)</t>
        </is>
      </c>
      <c r="I264" s="67" t="n"/>
      <c r="J264" s="67" t="inlineStr">
        <is>
          <t>kWh</t>
        </is>
      </c>
      <c r="K264" s="86" t="n">
        <v>44466.14657210401</v>
      </c>
      <c r="L264" s="67" t="inlineStr">
        <is>
          <t>Meridian</t>
        </is>
      </c>
      <c r="M264" s="87" t="inlineStr">
        <is>
          <t>Ecotricity</t>
        </is>
      </c>
      <c r="N264" s="87" t="n">
        <v>46388</v>
      </c>
      <c r="O264" s="87" t="n">
        <v>47483</v>
      </c>
      <c r="P264" s="67" t="inlineStr">
        <is>
          <t>36 months</t>
        </is>
      </c>
      <c r="Q264" s="88">
        <f t="array" ref="Q264:S264">IFERROR(ROUNDUP(_xlfn.XLOOKUP(A264,'Budget FY26-28'!A:A,'Budget FY26-28'!M:O)*(1+Summary!$C$2), -2), "")</f>
        <v/>
      </c>
      <c r="R264" s="88" t="n">
        <v>15100</v>
      </c>
      <c r="S264" s="88" t="n">
        <v>15100</v>
      </c>
      <c r="T264" s="67" t="inlineStr">
        <is>
          <t>Ready</t>
        </is>
      </c>
      <c r="U264" s="71" t="n"/>
      <c r="V264" s="84" t="inlineStr">
        <is>
          <t>5069_ICP_0030530098PCA11</t>
        </is>
      </c>
      <c r="W264" s="84" t="inlineStr">
        <is>
          <t>Electricity – purchased from grid [kWh]</t>
        </is>
      </c>
      <c r="X264" s="84" t="inlineStr">
        <is>
          <t>Electricity [kWh]</t>
        </is>
      </c>
      <c r="Y264" s="84" t="inlineStr">
        <is>
          <t>Downer</t>
        </is>
      </c>
      <c r="Z264" s="84" t="inlineStr">
        <is>
          <t>_CLOSED_Depot_T_Wanganui</t>
        </is>
      </c>
      <c r="AA264" s="84" t="inlineStr">
        <is>
          <t>5069</t>
        </is>
      </c>
      <c r="AB264" s="84" t="inlineStr">
        <is>
          <t>Replaced 30 Jun 2022</t>
        </is>
      </c>
      <c r="AC264" s="84" t="inlineStr">
        <is>
          <t>Connection ID is the account number suffix</t>
        </is>
      </c>
      <c r="AD264" s="85" t="inlineStr">
        <is>
          <t>55596_ICP_0030530098PCA11</t>
        </is>
      </c>
      <c r="AE264" s="85" t="inlineStr"/>
    </row>
    <row r="265" customFormat="1" s="72">
      <c r="A265" s="66" t="inlineStr">
        <is>
          <t>0035529024PCBAE</t>
        </is>
      </c>
      <c r="B265" s="67" t="inlineStr">
        <is>
          <t>Electricity</t>
        </is>
      </c>
      <c r="C265" s="67" t="inlineStr">
        <is>
          <t>New Zealand</t>
        </is>
      </c>
      <c r="D265" s="67" t="inlineStr">
        <is>
          <t>North Island</t>
        </is>
      </c>
      <c r="E265" s="67" t="inlineStr">
        <is>
          <t>NZ NTOU Electricity</t>
        </is>
      </c>
      <c r="F265" s="67" t="n"/>
      <c r="G265" s="67" t="inlineStr">
        <is>
          <t>Line Depot 5131 ABATTOIR ROAD,TAIHAPE</t>
        </is>
      </c>
      <c r="H265" s="67" t="inlineStr">
        <is>
          <t>DOWNER NEW ZEALAND LIMITED (NZBN: 9429039194114)</t>
        </is>
      </c>
      <c r="I265" s="67" t="n"/>
      <c r="J265" s="67" t="inlineStr">
        <is>
          <t>kWh</t>
        </is>
      </c>
      <c r="K265" s="86" t="n">
        <v>29600.37825059102</v>
      </c>
      <c r="L265" s="67" t="inlineStr">
        <is>
          <t>Meridian</t>
        </is>
      </c>
      <c r="M265" s="87" t="inlineStr">
        <is>
          <t>Ecotricity</t>
        </is>
      </c>
      <c r="N265" s="87" t="n">
        <v>46388</v>
      </c>
      <c r="O265" s="87" t="n">
        <v>47483</v>
      </c>
      <c r="P265" s="67" t="inlineStr">
        <is>
          <t>36 months</t>
        </is>
      </c>
      <c r="Q265" s="88">
        <f t="array" ref="Q265:S265">IFERROR(ROUNDUP(_xlfn.XLOOKUP(A265,'Budget FY26-28'!A:A,'Budget FY26-28'!M:O)*(1+Summary!$C$2), -2), "")</f>
        <v/>
      </c>
      <c r="R265" s="88" t="n">
        <v>11400</v>
      </c>
      <c r="S265" s="88" t="n">
        <v>11400</v>
      </c>
      <c r="T265" s="67" t="inlineStr">
        <is>
          <t>Ready</t>
        </is>
      </c>
      <c r="U265" s="71" t="n"/>
      <c r="V265" s="84" t="inlineStr">
        <is>
          <t>5163_ICP_0035529024PCBAE</t>
        </is>
      </c>
      <c r="W265" s="84" t="inlineStr">
        <is>
          <t>Electricity – purchased from grid [kWh]</t>
        </is>
      </c>
      <c r="X265" s="84" t="inlineStr">
        <is>
          <t>Electricity [kWh]</t>
        </is>
      </c>
      <c r="Y265" s="84" t="inlineStr">
        <is>
          <t>Downer</t>
        </is>
      </c>
      <c r="Z265" s="84" t="inlineStr">
        <is>
          <t>_CLOSED_Depot_U_P&amp;G_Elec_Taihape-Raetihi</t>
        </is>
      </c>
      <c r="AA265" s="84" t="inlineStr">
        <is>
          <t>5163</t>
        </is>
      </c>
      <c r="AB265" s="84" t="inlineStr">
        <is>
          <t>Replaced 30 Jun 2022</t>
        </is>
      </c>
      <c r="AC265" s="84" t="inlineStr">
        <is>
          <t>Connection ID is the account number suffix</t>
        </is>
      </c>
      <c r="AD265" s="85" t="inlineStr">
        <is>
          <t>PG60224_ICP_0035529024PCBAE</t>
        </is>
      </c>
      <c r="AE265" s="85" t="inlineStr"/>
    </row>
    <row r="266" customFormat="1" s="72">
      <c r="A266" s="66" t="inlineStr">
        <is>
          <t>0035880213PC771</t>
        </is>
      </c>
      <c r="B266" s="67" t="inlineStr">
        <is>
          <t>Electricity</t>
        </is>
      </c>
      <c r="C266" s="67" t="inlineStr">
        <is>
          <t>New Zealand</t>
        </is>
      </c>
      <c r="D266" s="67" t="inlineStr">
        <is>
          <t>North Island</t>
        </is>
      </c>
      <c r="E266" s="67" t="inlineStr">
        <is>
          <t>NZ NTOU Electricity</t>
        </is>
      </c>
      <c r="F266" s="67" t="n"/>
      <c r="G266" s="67" t="inlineStr">
        <is>
          <t>Spotless, Site Hut 9A 9D Thornton Terrace,Waiouru</t>
        </is>
      </c>
      <c r="H266" s="67" t="inlineStr">
        <is>
          <t>DOWNER NEW ZEALAND LIMITED (NZBN: 9429039194114)</t>
        </is>
      </c>
      <c r="I266" s="67" t="n"/>
      <c r="J266" s="67" t="inlineStr">
        <is>
          <t>kWh</t>
        </is>
      </c>
      <c r="K266" s="86" t="n">
        <v>2290.30534351145</v>
      </c>
      <c r="L266" s="67" t="inlineStr">
        <is>
          <t>Meridian</t>
        </is>
      </c>
      <c r="M266" s="87" t="inlineStr">
        <is>
          <t>Ecotricity</t>
        </is>
      </c>
      <c r="N266" s="87" t="n">
        <v>46388</v>
      </c>
      <c r="O266" s="87" t="n">
        <v>47483</v>
      </c>
      <c r="P266" s="67" t="inlineStr">
        <is>
          <t>36 months</t>
        </is>
      </c>
      <c r="Q266" s="88">
        <f t="array" ref="Q266:S266">IFERROR(ROUNDUP(_xlfn.XLOOKUP(A266,'Budget FY26-28'!A:A,'Budget FY26-28'!M:O)*(1+Summary!$C$2), -2), "")</f>
        <v/>
      </c>
      <c r="R266" s="88" t="n">
        <v>2000</v>
      </c>
      <c r="S266" s="88" t="n">
        <v>2000</v>
      </c>
      <c r="T266" s="67" t="inlineStr">
        <is>
          <t>Ready</t>
        </is>
      </c>
      <c r="U266" s="71" t="n"/>
      <c r="V266" s="84" t="inlineStr">
        <is>
          <t>5104_ICP_0035880213PC771</t>
        </is>
      </c>
      <c r="W266" s="84" t="inlineStr">
        <is>
          <t>Electricity – purchased from grid [kWh]</t>
        </is>
      </c>
      <c r="X266" s="84" t="inlineStr">
        <is>
          <t>Electricity [kWh]</t>
        </is>
      </c>
      <c r="Y266" s="84" t="inlineStr">
        <is>
          <t>Downer</t>
        </is>
      </c>
      <c r="Z266" s="84" t="inlineStr">
        <is>
          <t>_CLOSED_Support_T_Plant</t>
        </is>
      </c>
      <c r="AA266" s="84" t="inlineStr">
        <is>
          <t>5104</t>
        </is>
      </c>
      <c r="AB266" s="84" t="inlineStr">
        <is>
          <t>Replaced 30 Jun 2022</t>
        </is>
      </c>
      <c r="AC266" s="84" t="inlineStr">
        <is>
          <t>Connection ID is the account number suffix</t>
        </is>
      </c>
      <c r="AD266" s="85" t="inlineStr">
        <is>
          <t>5118_ICP_0035880213PC771; 63990_ICP_0035880213PC771</t>
        </is>
      </c>
      <c r="AE266" s="85" t="inlineStr"/>
    </row>
    <row r="267" customFormat="1" s="72">
      <c r="A267" s="66" t="inlineStr">
        <is>
          <t>0042251303PCE11</t>
        </is>
      </c>
      <c r="B267" s="67" t="inlineStr">
        <is>
          <t>Electricity</t>
        </is>
      </c>
      <c r="C267" s="67" t="inlineStr">
        <is>
          <t>New Zealand</t>
        </is>
      </c>
      <c r="D267" s="67" t="inlineStr">
        <is>
          <t>North Island</t>
        </is>
      </c>
      <c r="E267" s="67" t="inlineStr">
        <is>
          <t>NZ NTOU Electricity</t>
        </is>
      </c>
      <c r="F267" s="67" t="n"/>
      <c r="G267" s="67" t="inlineStr">
        <is>
          <t>329 Waihi Road,Hawera,Taranaki Region</t>
        </is>
      </c>
      <c r="H267" s="67" t="inlineStr">
        <is>
          <t>DOWNER NEW ZEALAND LIMITED (NZBN: 9429039194114)</t>
        </is>
      </c>
      <c r="I267" s="67" t="n"/>
      <c r="J267" s="67" t="inlineStr">
        <is>
          <t>kWh</t>
        </is>
      </c>
      <c r="K267" s="86" t="n">
        <v>6695.981087470449</v>
      </c>
      <c r="L267" s="67" t="inlineStr">
        <is>
          <t>Meridian</t>
        </is>
      </c>
      <c r="M267" s="87" t="inlineStr">
        <is>
          <t>Ecotricity</t>
        </is>
      </c>
      <c r="N267" s="87" t="n">
        <v>46388</v>
      </c>
      <c r="O267" s="87" t="n">
        <v>47483</v>
      </c>
      <c r="P267" s="67" t="inlineStr">
        <is>
          <t>36 months</t>
        </is>
      </c>
      <c r="Q267" s="88">
        <f t="array" ref="Q267:S267">IFERROR(ROUNDUP(_xlfn.XLOOKUP(A267,'Budget FY26-28'!A:A,'Budget FY26-28'!M:O)*(1+Summary!$C$2), -2), "")</f>
        <v/>
      </c>
      <c r="R267" s="88" t="n">
        <v>3500</v>
      </c>
      <c r="S267" s="88" t="n">
        <v>3500</v>
      </c>
      <c r="T267" s="67" t="inlineStr">
        <is>
          <t>Ready</t>
        </is>
      </c>
      <c r="U267" s="71" t="n"/>
      <c r="V267" s="84" t="inlineStr">
        <is>
          <t>91253_ICP_0042251303PCE11</t>
        </is>
      </c>
      <c r="W267" s="84" t="inlineStr">
        <is>
          <t>Electricity – purchased from grid [kWh]</t>
        </is>
      </c>
      <c r="X267" s="84" t="inlineStr">
        <is>
          <t>Electricity [kWh]</t>
        </is>
      </c>
      <c r="Y267" s="84" t="inlineStr">
        <is>
          <t>Downer</t>
        </is>
      </c>
      <c r="Z267" s="84" t="inlineStr">
        <is>
          <t>Hawera (329 Waihi Rd)</t>
        </is>
      </c>
      <c r="AA267" s="84" t="inlineStr">
        <is>
          <t>91253</t>
        </is>
      </c>
      <c r="AB267" s="84" t="inlineStr">
        <is>
          <t>Replaced 30 Jun 2023</t>
        </is>
      </c>
      <c r="AC267" s="84" t="inlineStr">
        <is>
          <t>Connection ID is the account number suffix</t>
        </is>
      </c>
      <c r="AD267" s="85" t="inlineStr"/>
      <c r="AE267" s="85" t="inlineStr"/>
    </row>
    <row r="268" customFormat="1" s="72">
      <c r="A268" s="66" t="inlineStr">
        <is>
          <t>0047123930PCE3C</t>
        </is>
      </c>
      <c r="B268" s="67" t="inlineStr">
        <is>
          <t>Electricity</t>
        </is>
      </c>
      <c r="C268" s="67" t="inlineStr">
        <is>
          <t>New Zealand</t>
        </is>
      </c>
      <c r="D268" s="67" t="inlineStr">
        <is>
          <t>North Island</t>
        </is>
      </c>
      <c r="E268" s="67" t="inlineStr">
        <is>
          <t>NZ NTOU Electricity</t>
        </is>
      </c>
      <c r="F268" s="67" t="n"/>
      <c r="G268" s="67" t="inlineStr">
        <is>
          <t>WORKS OPERATIONS HAWERA 34 GLOVER ROAD,HAWERA</t>
        </is>
      </c>
      <c r="H268" s="67" t="inlineStr">
        <is>
          <t>DOWNER NEW ZEALAND LIMITED (NZBN: 9429039194114)</t>
        </is>
      </c>
      <c r="I268" s="67" t="n"/>
      <c r="J268" s="67" t="inlineStr">
        <is>
          <t>kWh</t>
        </is>
      </c>
      <c r="K268" s="86" t="n">
        <v>26887.47044917258</v>
      </c>
      <c r="L268" s="67" t="inlineStr">
        <is>
          <t>Meridian</t>
        </is>
      </c>
      <c r="M268" s="87" t="inlineStr">
        <is>
          <t>Ecotricity</t>
        </is>
      </c>
      <c r="N268" s="87" t="n">
        <v>46388</v>
      </c>
      <c r="O268" s="87" t="n">
        <v>47483</v>
      </c>
      <c r="P268" s="67" t="inlineStr">
        <is>
          <t>36 months</t>
        </is>
      </c>
      <c r="Q268" s="88">
        <f t="array" ref="Q268:S268">IFERROR(ROUNDUP(_xlfn.XLOOKUP(A268,'Budget FY26-28'!A:A,'Budget FY26-28'!M:O)*(1+Summary!$C$2), -2), "")</f>
        <v/>
      </c>
      <c r="R268" s="88" t="n">
        <v>10400</v>
      </c>
      <c r="S268" s="88" t="n">
        <v>10400</v>
      </c>
      <c r="T268" s="67" t="inlineStr">
        <is>
          <t>Ready</t>
        </is>
      </c>
      <c r="U268" s="71" t="n"/>
      <c r="V268" s="84" t="inlineStr">
        <is>
          <t>5033_ICP_0047123930PCE3C</t>
        </is>
      </c>
      <c r="W268" s="84" t="inlineStr">
        <is>
          <t>Electricity – purchased from grid [kWh]</t>
        </is>
      </c>
      <c r="X268" s="84" t="inlineStr">
        <is>
          <t>Electricity [kWh]</t>
        </is>
      </c>
      <c r="Y268" s="84" t="inlineStr">
        <is>
          <t>Downer</t>
        </is>
      </c>
      <c r="Z268" s="84" t="inlineStr">
        <is>
          <t>_CLOSED_Depot_T_Hawera</t>
        </is>
      </c>
      <c r="AA268" s="84" t="inlineStr">
        <is>
          <t>5033</t>
        </is>
      </c>
      <c r="AB268" s="84" t="inlineStr">
        <is>
          <t>Replaced 30 Jun 2022</t>
        </is>
      </c>
      <c r="AC268" s="84" t="inlineStr">
        <is>
          <t>Connection ID is the account number suffix</t>
        </is>
      </c>
      <c r="AD268" s="85" t="inlineStr">
        <is>
          <t>55570_ICP_0047123930PCE3C</t>
        </is>
      </c>
      <c r="AE268" s="85" t="inlineStr"/>
    </row>
    <row r="269" customFormat="1" s="72">
      <c r="A269" s="66" t="inlineStr">
        <is>
          <t>0071098630WMAC0</t>
        </is>
      </c>
      <c r="B269" s="67" t="inlineStr">
        <is>
          <t>Electricity</t>
        </is>
      </c>
      <c r="C269" s="67" t="inlineStr">
        <is>
          <t>New Zealand</t>
        </is>
      </c>
      <c r="D269" s="67" t="inlineStr">
        <is>
          <t>North Island</t>
        </is>
      </c>
      <c r="E269" s="67" t="inlineStr">
        <is>
          <t>NZ NTOU Electricity</t>
        </is>
      </c>
      <c r="F269" s="67" t="n"/>
      <c r="G269" s="67" t="inlineStr">
        <is>
          <t>58 KURURAU ROAD,TAUMARUNUI</t>
        </is>
      </c>
      <c r="H269" s="67" t="inlineStr">
        <is>
          <t>DOWNER NEW ZEALAND LIMITED (NZBN: 9429039194114)</t>
        </is>
      </c>
      <c r="I269" s="67" t="n"/>
      <c r="J269" s="67" t="inlineStr">
        <is>
          <t>kWh</t>
        </is>
      </c>
      <c r="K269" s="86" t="n">
        <v>96547.24586288417</v>
      </c>
      <c r="L269" s="67" t="inlineStr">
        <is>
          <t>Meridian</t>
        </is>
      </c>
      <c r="M269" s="87" t="inlineStr">
        <is>
          <t>Ecotricity</t>
        </is>
      </c>
      <c r="N269" s="87" t="n">
        <v>46388</v>
      </c>
      <c r="O269" s="87" t="n">
        <v>47483</v>
      </c>
      <c r="P269" s="67" t="inlineStr">
        <is>
          <t>36 months</t>
        </is>
      </c>
      <c r="Q269" s="88">
        <f t="array" ref="Q269:S269">IFERROR(ROUNDUP(_xlfn.XLOOKUP(A269,'Budget FY26-28'!A:A,'Budget FY26-28'!M:O)*(1+Summary!$C$2), -2), "")</f>
        <v/>
      </c>
      <c r="R269" s="88" t="n">
        <v>35700</v>
      </c>
      <c r="S269" s="88" t="n">
        <v>35700</v>
      </c>
      <c r="T269" s="67" t="inlineStr">
        <is>
          <t>Ready</t>
        </is>
      </c>
      <c r="U269" s="71" t="n"/>
      <c r="V269" s="84" t="inlineStr">
        <is>
          <t>5056_ICP_0071098630WMAC0</t>
        </is>
      </c>
      <c r="W269" s="84" t="inlineStr">
        <is>
          <t>Electricity – purchased from grid [kWh]</t>
        </is>
      </c>
      <c r="X269" s="84" t="inlineStr">
        <is>
          <t>Electricity [kWh]</t>
        </is>
      </c>
      <c r="Y269" s="84" t="inlineStr">
        <is>
          <t>Downer</t>
        </is>
      </c>
      <c r="Z269" s="84" t="inlineStr">
        <is>
          <t>_CLOSED_Depot_T_Taumarunui</t>
        </is>
      </c>
      <c r="AA269" s="84" t="inlineStr">
        <is>
          <t>5056</t>
        </is>
      </c>
      <c r="AB269" s="84" t="inlineStr">
        <is>
          <t>Replaced 30 Jun 2022</t>
        </is>
      </c>
      <c r="AC269" s="84" t="inlineStr">
        <is>
          <t>Connection ID is the account number suffix</t>
        </is>
      </c>
      <c r="AD269" s="85" t="inlineStr">
        <is>
          <t>55563_ICP_0071098630WMAC0</t>
        </is>
      </c>
      <c r="AE269" s="85" t="inlineStr"/>
    </row>
    <row r="270" customFormat="1" s="72">
      <c r="A270" s="66" t="inlineStr">
        <is>
          <t>0075241357WEF68</t>
        </is>
      </c>
      <c r="B270" s="67" t="inlineStr">
        <is>
          <t>Electricity</t>
        </is>
      </c>
      <c r="C270" s="67" t="inlineStr">
        <is>
          <t>New Zealand</t>
        </is>
      </c>
      <c r="D270" s="67" t="inlineStr">
        <is>
          <t>North Island</t>
        </is>
      </c>
      <c r="E270" s="67" t="inlineStr">
        <is>
          <t>NZ NTOU Electricity</t>
        </is>
      </c>
      <c r="F270" s="67" t="n"/>
      <c r="G270" s="67" t="inlineStr">
        <is>
          <t>1st Floor 911 Victoria Street,Hamilton Central,Hamilton</t>
        </is>
      </c>
      <c r="H270" s="67" t="inlineStr">
        <is>
          <t>DOWNER NEW ZEALAND LIMITED (NZBN: 9429039194114)</t>
        </is>
      </c>
      <c r="I270" s="67" t="n"/>
      <c r="J270" s="67" t="inlineStr">
        <is>
          <t>kWh</t>
        </is>
      </c>
      <c r="K270" s="86" t="n">
        <v>64957.91962174941</v>
      </c>
      <c r="L270" s="67" t="inlineStr">
        <is>
          <t>Meridian</t>
        </is>
      </c>
      <c r="M270" s="87" t="inlineStr">
        <is>
          <t>Ecotricity</t>
        </is>
      </c>
      <c r="N270" s="87" t="n">
        <v>46388</v>
      </c>
      <c r="O270" s="87" t="n">
        <v>47483</v>
      </c>
      <c r="P270" s="67" t="inlineStr">
        <is>
          <t>36 months</t>
        </is>
      </c>
      <c r="Q270" s="88">
        <f t="array" ref="Q270:S270">IFERROR(ROUNDUP(_xlfn.XLOOKUP(A270,'Budget FY26-28'!A:A,'Budget FY26-28'!M:O)*(1+Summary!$C$2), -2), "")</f>
        <v/>
      </c>
      <c r="R270" s="88" t="n">
        <v>20700</v>
      </c>
      <c r="S270" s="88" t="n">
        <v>20700</v>
      </c>
      <c r="T270" s="67" t="inlineStr">
        <is>
          <t>Ready</t>
        </is>
      </c>
      <c r="U270" s="71" t="n"/>
      <c r="V270" s="84" t="inlineStr">
        <is>
          <t>9010_ICP_0075241357WEF68</t>
        </is>
      </c>
      <c r="W270" s="84" t="inlineStr">
        <is>
          <t>Electricity – purchased from grid [kWh]</t>
        </is>
      </c>
      <c r="X270" s="84" t="inlineStr">
        <is>
          <t>Electricity [kWh]</t>
        </is>
      </c>
      <c r="Y270" s="84" t="inlineStr">
        <is>
          <t>Downer</t>
        </is>
      </c>
      <c r="Z270" s="84" t="inlineStr">
        <is>
          <t>PPP - NSW Schools 2 (Halinda SSP)</t>
        </is>
      </c>
      <c r="AA270" s="84" t="inlineStr">
        <is>
          <t>9010</t>
        </is>
      </c>
      <c r="AB270" s="84" t="inlineStr">
        <is>
          <t>Replaced 31 May 2023</t>
        </is>
      </c>
      <c r="AC270" s="84" t="inlineStr">
        <is>
          <t>Connection ID is the account number suffix</t>
        </is>
      </c>
      <c r="AD270" s="85" t="inlineStr"/>
      <c r="AE270" s="85" t="inlineStr"/>
    </row>
    <row r="271" customFormat="1" s="72">
      <c r="A271" s="66" t="inlineStr">
        <is>
          <t>0080011664PC16A</t>
        </is>
      </c>
      <c r="B271" s="67" t="inlineStr">
        <is>
          <t>Electricity</t>
        </is>
      </c>
      <c r="C271" s="67" t="inlineStr">
        <is>
          <t>New Zealand</t>
        </is>
      </c>
      <c r="D271" s="67" t="inlineStr">
        <is>
          <t>North Island</t>
        </is>
      </c>
      <c r="E271" s="67" t="inlineStr">
        <is>
          <t>NZ NTOU Electricity</t>
        </is>
      </c>
      <c r="F271" s="67" t="n"/>
      <c r="G271" s="67" t="inlineStr">
        <is>
          <t>69 Kaipikari Road Upper,Urenui,Taranaki Region</t>
        </is>
      </c>
      <c r="H271" s="67" t="inlineStr">
        <is>
          <t>DOWNER NEW ZEALAND LIMITED (NZBN: 9429039194114)</t>
        </is>
      </c>
      <c r="I271" s="67" t="n"/>
      <c r="J271" s="67" t="inlineStr">
        <is>
          <t>kWh</t>
        </is>
      </c>
      <c r="K271" s="86" t="n">
        <v>5957.352245862885</v>
      </c>
      <c r="L271" s="67" t="inlineStr">
        <is>
          <t>Meridian</t>
        </is>
      </c>
      <c r="M271" s="87" t="inlineStr">
        <is>
          <t>Ecotricity</t>
        </is>
      </c>
      <c r="N271" s="87" t="n">
        <v>46388</v>
      </c>
      <c r="O271" s="87" t="n">
        <v>47483</v>
      </c>
      <c r="P271" s="67" t="inlineStr">
        <is>
          <t>36 months</t>
        </is>
      </c>
      <c r="Q271" s="88">
        <f t="array" ref="Q271:S271">IFERROR(ROUNDUP(_xlfn.XLOOKUP(A271,'Budget FY26-28'!A:A,'Budget FY26-28'!M:O)*(1+Summary!$C$2), -2), "")</f>
        <v/>
      </c>
      <c r="R271" s="88" t="n">
        <v>3000</v>
      </c>
      <c r="S271" s="88" t="n">
        <v>3000</v>
      </c>
      <c r="T271" s="67" t="inlineStr">
        <is>
          <t>Ready</t>
        </is>
      </c>
      <c r="U271" s="71" t="n"/>
      <c r="V271" s="84" t="inlineStr">
        <is>
          <t>Not found</t>
        </is>
      </c>
      <c r="W271" s="84" t="inlineStr"/>
      <c r="X271" s="84" t="inlineStr"/>
      <c r="Y271" s="84" t="inlineStr"/>
      <c r="Z271" s="84" t="inlineStr"/>
      <c r="AA271" s="84" t="inlineStr"/>
      <c r="AB271" s="84" t="inlineStr"/>
      <c r="AC271" s="84" t="inlineStr">
        <is>
          <t>No Envizi account ends in this Connection ID</t>
        </is>
      </c>
      <c r="AD271" s="85" t="inlineStr"/>
      <c r="AE271" s="85" t="inlineStr"/>
    </row>
    <row r="272" customFormat="1" s="72">
      <c r="A272" s="66" t="inlineStr">
        <is>
          <t>0080012802PCBFE</t>
        </is>
      </c>
      <c r="B272" s="67" t="inlineStr">
        <is>
          <t>Electricity</t>
        </is>
      </c>
      <c r="C272" s="67" t="inlineStr">
        <is>
          <t>New Zealand</t>
        </is>
      </c>
      <c r="D272" s="67" t="inlineStr">
        <is>
          <t>North Island</t>
        </is>
      </c>
      <c r="E272" s="67" t="inlineStr">
        <is>
          <t>NZ NTOU Electricity</t>
        </is>
      </c>
      <c r="F272" s="67" t="n"/>
      <c r="G272" s="67" t="inlineStr">
        <is>
          <t>8 White Cliff Bay,Waiiti,Taranaki Region</t>
        </is>
      </c>
      <c r="H272" s="67" t="inlineStr">
        <is>
          <t>DOWNER NEW ZEALAND LIMITED (NZBN: 9429039194114)</t>
        </is>
      </c>
      <c r="I272" s="67" t="n"/>
      <c r="J272" s="67" t="inlineStr">
        <is>
          <t>kWh</t>
        </is>
      </c>
      <c r="K272" s="86" t="n">
        <v>6712.375886524823</v>
      </c>
      <c r="L272" s="67" t="inlineStr">
        <is>
          <t>Meridian</t>
        </is>
      </c>
      <c r="M272" s="87" t="inlineStr">
        <is>
          <t>Ecotricity</t>
        </is>
      </c>
      <c r="N272" s="87" t="n">
        <v>46388</v>
      </c>
      <c r="O272" s="87" t="n">
        <v>47483</v>
      </c>
      <c r="P272" s="67" t="inlineStr">
        <is>
          <t>36 months</t>
        </is>
      </c>
      <c r="Q272" s="88">
        <f t="array" ref="Q272:S272">IFERROR(ROUNDUP(_xlfn.XLOOKUP(A272,'Budget FY26-28'!A:A,'Budget FY26-28'!M:O)*(1+Summary!$C$2), -2), "")</f>
        <v/>
      </c>
      <c r="R272" s="88" t="n">
        <v>3200</v>
      </c>
      <c r="S272" s="88" t="n">
        <v>3200</v>
      </c>
      <c r="T272" s="67" t="inlineStr">
        <is>
          <t>Ready</t>
        </is>
      </c>
      <c r="U272" s="71" t="n"/>
      <c r="V272" s="84" t="inlineStr">
        <is>
          <t>Not found</t>
        </is>
      </c>
      <c r="W272" s="84" t="inlineStr"/>
      <c r="X272" s="84" t="inlineStr"/>
      <c r="Y272" s="84" t="inlineStr"/>
      <c r="Z272" s="84" t="inlineStr"/>
      <c r="AA272" s="84" t="inlineStr"/>
      <c r="AB272" s="84" t="inlineStr"/>
      <c r="AC272" s="84" t="inlineStr">
        <is>
          <t>No Envizi account ends in this Connection ID</t>
        </is>
      </c>
      <c r="AD272" s="85" t="inlineStr"/>
      <c r="AE272" s="85" t="inlineStr"/>
    </row>
    <row r="273" customFormat="1" s="72">
      <c r="A273" s="66" t="inlineStr">
        <is>
          <t>0083634200PC7D0</t>
        </is>
      </c>
      <c r="B273" s="67" t="inlineStr">
        <is>
          <t>Electricity</t>
        </is>
      </c>
      <c r="C273" s="67" t="inlineStr">
        <is>
          <t>New Zealand</t>
        </is>
      </c>
      <c r="D273" s="67" t="inlineStr">
        <is>
          <t>North Island</t>
        </is>
      </c>
      <c r="E273" s="67" t="inlineStr">
        <is>
          <t>NZ NTOU Electricity</t>
        </is>
      </c>
      <c r="F273" s="67" t="n"/>
      <c r="G273" s="67" t="inlineStr">
        <is>
          <t>9 Whangamomona Road,Whangamomona,Manawatu-Wanganui Region</t>
        </is>
      </c>
      <c r="H273" s="67" t="inlineStr">
        <is>
          <t>DOWNER NEW ZEALAND LIMITED (NZBN: 9429039194114)</t>
        </is>
      </c>
      <c r="I273" s="67" t="n"/>
      <c r="J273" s="67" t="inlineStr">
        <is>
          <t>kWh</t>
        </is>
      </c>
      <c r="K273" s="86" t="n">
        <v>1.852791878172589</v>
      </c>
      <c r="L273" s="67" t="inlineStr">
        <is>
          <t>Meridian</t>
        </is>
      </c>
      <c r="M273" s="87" t="inlineStr">
        <is>
          <t>Ecotricity</t>
        </is>
      </c>
      <c r="N273" s="87" t="n">
        <v>46388</v>
      </c>
      <c r="O273" s="87" t="n">
        <v>47483</v>
      </c>
      <c r="P273" s="67" t="inlineStr">
        <is>
          <t>36 months</t>
        </is>
      </c>
      <c r="Q273" s="88">
        <f t="array" ref="Q273:S273">IFERROR(ROUNDUP(_xlfn.XLOOKUP(A273,'Budget FY26-28'!A:A,'Budget FY26-28'!M:O)*(1+Summary!$C$2), -2), "")</f>
        <v/>
      </c>
      <c r="R273" s="88" t="n">
        <v>1100</v>
      </c>
      <c r="S273" s="88" t="n">
        <v>1100</v>
      </c>
      <c r="T273" s="67" t="inlineStr">
        <is>
          <t>Ready</t>
        </is>
      </c>
      <c r="U273" s="71" t="n"/>
      <c r="V273" s="84" t="inlineStr">
        <is>
          <t>5056_ICP_0083634200PC7D0</t>
        </is>
      </c>
      <c r="W273" s="84" t="inlineStr">
        <is>
          <t>Electricity – purchased from grid [kWh]</t>
        </is>
      </c>
      <c r="X273" s="84" t="inlineStr">
        <is>
          <t>Electricity [kWh]</t>
        </is>
      </c>
      <c r="Y273" s="84" t="inlineStr">
        <is>
          <t>Downer</t>
        </is>
      </c>
      <c r="Z273" s="84" t="inlineStr">
        <is>
          <t>_CLOSED_Depot_T_Taumarunui</t>
        </is>
      </c>
      <c r="AA273" s="84" t="inlineStr">
        <is>
          <t>5056</t>
        </is>
      </c>
      <c r="AB273" s="84" t="inlineStr">
        <is>
          <t>Replaced 30 Jun 2022</t>
        </is>
      </c>
      <c r="AC273" s="84" t="inlineStr">
        <is>
          <t>Connection ID is the account number suffix</t>
        </is>
      </c>
      <c r="AD273" s="85" t="inlineStr">
        <is>
          <t>55563_ICP_0083634200PC7D0</t>
        </is>
      </c>
      <c r="AE273" s="85" t="inlineStr"/>
    </row>
    <row r="274" customFormat="1" s="72">
      <c r="A274" s="66" t="inlineStr">
        <is>
          <t>0083973001PC01D</t>
        </is>
      </c>
      <c r="B274" s="67" t="inlineStr">
        <is>
          <t>Electricity</t>
        </is>
      </c>
      <c r="C274" s="67" t="inlineStr">
        <is>
          <t>New Zealand</t>
        </is>
      </c>
      <c r="D274" s="67" t="inlineStr">
        <is>
          <t>North Island</t>
        </is>
      </c>
      <c r="E274" s="67" t="inlineStr">
        <is>
          <t>NZ NTOU Electricity</t>
        </is>
      </c>
      <c r="F274" s="67" t="n"/>
      <c r="G274" s="67" t="inlineStr">
        <is>
          <t>134-136 Orlando Street,Stratford</t>
        </is>
      </c>
      <c r="H274" s="67" t="inlineStr">
        <is>
          <t>DOWNER NEW ZEALAND LIMITED (NZBN: 9429039194114)</t>
        </is>
      </c>
      <c r="I274" s="67" t="n"/>
      <c r="J274" s="67" t="inlineStr">
        <is>
          <t>kWh</t>
        </is>
      </c>
      <c r="K274" s="86" t="n">
        <v>5130.709219858156</v>
      </c>
      <c r="L274" s="67" t="inlineStr">
        <is>
          <t>Meridian</t>
        </is>
      </c>
      <c r="M274" s="87" t="inlineStr">
        <is>
          <t>Ecotricity</t>
        </is>
      </c>
      <c r="N274" s="87" t="n">
        <v>46388</v>
      </c>
      <c r="O274" s="87" t="n">
        <v>47483</v>
      </c>
      <c r="P274" s="67" t="inlineStr">
        <is>
          <t>36 months</t>
        </is>
      </c>
      <c r="Q274" s="88">
        <f t="array" ref="Q274:S274">IFERROR(ROUNDUP(_xlfn.XLOOKUP(A274,'Budget FY26-28'!A:A,'Budget FY26-28'!M:O)*(1+Summary!$C$2), -2), "")</f>
        <v/>
      </c>
      <c r="R274" s="88" t="n">
        <v>2800</v>
      </c>
      <c r="S274" s="88" t="n">
        <v>2800</v>
      </c>
      <c r="T274" s="67" t="inlineStr">
        <is>
          <t>Ready</t>
        </is>
      </c>
      <c r="U274" s="71" t="n"/>
      <c r="V274" s="84" t="inlineStr">
        <is>
          <t>5054_ICP_0083973001PC01D</t>
        </is>
      </c>
      <c r="W274" s="84" t="inlineStr">
        <is>
          <t>Electricity – purchased from grid [kWh]</t>
        </is>
      </c>
      <c r="X274" s="84" t="inlineStr">
        <is>
          <t>Electricity [kWh]</t>
        </is>
      </c>
      <c r="Y274" s="84" t="inlineStr">
        <is>
          <t>Downer</t>
        </is>
      </c>
      <c r="Z274" s="84" t="inlineStr">
        <is>
          <t>_CLOSED_Depot_T_Stratford</t>
        </is>
      </c>
      <c r="AA274" s="84" t="inlineStr">
        <is>
          <t>5054</t>
        </is>
      </c>
      <c r="AB274" s="84" t="inlineStr">
        <is>
          <t>Replaced 30 Jun 2022</t>
        </is>
      </c>
      <c r="AC274" s="84" t="inlineStr">
        <is>
          <t>Connection ID is the account number suffix</t>
        </is>
      </c>
      <c r="AD274" s="85" t="inlineStr">
        <is>
          <t>55574_ICP_0083973001PC01D</t>
        </is>
      </c>
      <c r="AE274" s="85" t="inlineStr"/>
    </row>
    <row r="275" customFormat="1" s="72">
      <c r="A275" s="66" t="inlineStr">
        <is>
          <t>0088031221NVA65</t>
        </is>
      </c>
      <c r="B275" s="67" t="inlineStr">
        <is>
          <t>Electricity</t>
        </is>
      </c>
      <c r="C275" s="67" t="inlineStr">
        <is>
          <t>New Zealand</t>
        </is>
      </c>
      <c r="D275" s="67" t="inlineStr">
        <is>
          <t>South Island</t>
        </is>
      </c>
      <c r="E275" s="67" t="inlineStr">
        <is>
          <t>NZ NTOU Electricity</t>
        </is>
      </c>
      <c r="F275" s="67" t="n"/>
      <c r="G275" s="67" t="inlineStr">
        <is>
          <t>122 Rockdale Road,Rockdale,Invercargill,Southland Region</t>
        </is>
      </c>
      <c r="H275" s="67" t="inlineStr">
        <is>
          <t>DOWNER NEW ZEALAND LIMITED (NZBN: 9429039194114)</t>
        </is>
      </c>
      <c r="I275" s="67" t="n"/>
      <c r="J275" s="67" t="inlineStr">
        <is>
          <t>kWh</t>
        </is>
      </c>
      <c r="K275" s="86" t="n">
        <v>2960.555555555555</v>
      </c>
      <c r="L275" s="67" t="inlineStr">
        <is>
          <t>Meridian</t>
        </is>
      </c>
      <c r="M275" s="87" t="inlineStr">
        <is>
          <t>Ecotricity</t>
        </is>
      </c>
      <c r="N275" s="87" t="n">
        <v>46388</v>
      </c>
      <c r="O275" s="87" t="n">
        <v>47483</v>
      </c>
      <c r="P275" s="67" t="inlineStr">
        <is>
          <t>36 months</t>
        </is>
      </c>
      <c r="Q275" s="88">
        <f t="array" ref="Q275:S275">IFERROR(ROUNDUP(_xlfn.XLOOKUP(A275,'Budget FY26-28'!A:A,'Budget FY26-28'!M:O)*(1+Summary!$C$2), -2), "")</f>
        <v/>
      </c>
      <c r="R275" s="88" t="n">
        <v>2000</v>
      </c>
      <c r="S275" s="88" t="n">
        <v>2000</v>
      </c>
      <c r="T275" s="67" t="inlineStr">
        <is>
          <t>Ready</t>
        </is>
      </c>
      <c r="U275" s="71" t="n"/>
      <c r="V275" s="84" t="inlineStr">
        <is>
          <t>Not found</t>
        </is>
      </c>
      <c r="W275" s="84" t="inlineStr"/>
      <c r="X275" s="84" t="inlineStr"/>
      <c r="Y275" s="84" t="inlineStr"/>
      <c r="Z275" s="84" t="inlineStr"/>
      <c r="AA275" s="84" t="inlineStr"/>
      <c r="AB275" s="84" t="inlineStr"/>
      <c r="AC275" s="84" t="inlineStr">
        <is>
          <t>No Envizi account ends in this Connection ID</t>
        </is>
      </c>
      <c r="AD275" s="85" t="inlineStr"/>
      <c r="AE275" s="85" t="inlineStr"/>
    </row>
    <row r="276" customFormat="1" s="72">
      <c r="A276" s="66" t="inlineStr">
        <is>
          <t>0088910501PCBBD</t>
        </is>
      </c>
      <c r="B276" s="67" t="inlineStr">
        <is>
          <t>Electricity</t>
        </is>
      </c>
      <c r="C276" s="67" t="inlineStr">
        <is>
          <t>New Zealand</t>
        </is>
      </c>
      <c r="D276" s="67" t="inlineStr">
        <is>
          <t>North Island</t>
        </is>
      </c>
      <c r="E276" s="67" t="inlineStr">
        <is>
          <t>NZ NTOU Electricity</t>
        </is>
      </c>
      <c r="F276" s="67" t="n"/>
      <c r="G276" s="67" t="inlineStr">
        <is>
          <t>63 Kaipikiri Road,Urenui</t>
        </is>
      </c>
      <c r="H276" s="67" t="inlineStr">
        <is>
          <t>DOWNER NEW ZEALAND LIMITED (NZBN: 9429039194114)</t>
        </is>
      </c>
      <c r="I276" s="67" t="n"/>
      <c r="J276" s="67" t="inlineStr">
        <is>
          <t>kWh</t>
        </is>
      </c>
      <c r="K276" s="86" t="n">
        <v>8801.418439716312</v>
      </c>
      <c r="L276" s="67" t="inlineStr">
        <is>
          <t>Meridian</t>
        </is>
      </c>
      <c r="M276" s="87" t="inlineStr">
        <is>
          <t>Ecotricity</t>
        </is>
      </c>
      <c r="N276" s="87" t="n">
        <v>46388</v>
      </c>
      <c r="O276" s="87" t="n">
        <v>47483</v>
      </c>
      <c r="P276" s="67" t="inlineStr">
        <is>
          <t>36 months</t>
        </is>
      </c>
      <c r="Q276" s="88">
        <f t="array" ref="Q276:S276">IFERROR(ROUNDUP(_xlfn.XLOOKUP(A276,'Budget FY26-28'!A:A,'Budget FY26-28'!M:O)*(1+Summary!$C$2), -2), "")</f>
        <v/>
      </c>
      <c r="R276" s="88" t="n">
        <v>3900</v>
      </c>
      <c r="S276" s="88" t="n">
        <v>3900</v>
      </c>
      <c r="T276" s="67" t="inlineStr">
        <is>
          <t>Ready</t>
        </is>
      </c>
      <c r="U276" s="71" t="n"/>
      <c r="V276" s="84" t="inlineStr">
        <is>
          <t>Not found</t>
        </is>
      </c>
      <c r="W276" s="84" t="inlineStr"/>
      <c r="X276" s="84" t="inlineStr"/>
      <c r="Y276" s="84" t="inlineStr"/>
      <c r="Z276" s="84" t="inlineStr"/>
      <c r="AA276" s="84" t="inlineStr"/>
      <c r="AB276" s="84" t="inlineStr"/>
      <c r="AC276" s="84" t="inlineStr">
        <is>
          <t>No Envizi account ends in this Connection ID</t>
        </is>
      </c>
      <c r="AD276" s="85" t="inlineStr"/>
      <c r="AE276" s="85" t="inlineStr"/>
    </row>
    <row r="277" customFormat="1" s="72">
      <c r="A277" s="66" t="inlineStr">
        <is>
          <t>0088934400PC1B1</t>
        </is>
      </c>
      <c r="B277" s="67" t="inlineStr">
        <is>
          <t>Electricity</t>
        </is>
      </c>
      <c r="C277" s="67" t="inlineStr">
        <is>
          <t>New Zealand</t>
        </is>
      </c>
      <c r="D277" s="67" t="inlineStr">
        <is>
          <t>North Island</t>
        </is>
      </c>
      <c r="E277" s="67" t="inlineStr">
        <is>
          <t>NZ NTOU Electricity</t>
        </is>
      </c>
      <c r="F277" s="67" t="n"/>
      <c r="G277" s="67" t="inlineStr">
        <is>
          <t>23 Whakapaki Street,Urenui,Taranaki Region</t>
        </is>
      </c>
      <c r="H277" s="67" t="inlineStr">
        <is>
          <t>DOWNER NEW ZEALAND LIMITED (NZBN: 9429039194114)</t>
        </is>
      </c>
      <c r="I277" s="67" t="n"/>
      <c r="J277" s="67" t="inlineStr">
        <is>
          <t>kWh</t>
        </is>
      </c>
      <c r="K277" s="86" t="n">
        <v>3280.067567567567</v>
      </c>
      <c r="L277" s="67" t="inlineStr">
        <is>
          <t>Meridian</t>
        </is>
      </c>
      <c r="M277" s="87" t="inlineStr">
        <is>
          <t>Ecotricity</t>
        </is>
      </c>
      <c r="N277" s="87" t="n">
        <v>46388</v>
      </c>
      <c r="O277" s="87" t="n">
        <v>47483</v>
      </c>
      <c r="P277" s="67" t="inlineStr">
        <is>
          <t>36 months</t>
        </is>
      </c>
      <c r="Q277" s="88">
        <f t="array" ref="Q277:S277">IFERROR(ROUNDUP(_xlfn.XLOOKUP(A277,'Budget FY26-28'!A:A,'Budget FY26-28'!M:O)*(1+Summary!$C$2), -2), "")</f>
        <v/>
      </c>
      <c r="R277" s="88" t="n">
        <v>2000</v>
      </c>
      <c r="S277" s="88" t="n">
        <v>2000</v>
      </c>
      <c r="T277" s="67" t="inlineStr">
        <is>
          <t>Ready</t>
        </is>
      </c>
      <c r="U277" s="71" t="n"/>
      <c r="V277" s="84" t="inlineStr">
        <is>
          <t>Not found</t>
        </is>
      </c>
      <c r="W277" s="84" t="inlineStr"/>
      <c r="X277" s="84" t="inlineStr"/>
      <c r="Y277" s="84" t="inlineStr"/>
      <c r="Z277" s="84" t="inlineStr"/>
      <c r="AA277" s="84" t="inlineStr"/>
      <c r="AB277" s="84" t="inlineStr"/>
      <c r="AC277" s="84" t="inlineStr">
        <is>
          <t>No Envizi account ends in this Connection ID</t>
        </is>
      </c>
      <c r="AD277" s="85" t="inlineStr"/>
      <c r="AE277" s="85" t="inlineStr"/>
    </row>
    <row r="278" customFormat="1" s="72">
      <c r="A278" s="66" t="inlineStr">
        <is>
          <t>0088938701PC577</t>
        </is>
      </c>
      <c r="B278" s="67" t="inlineStr">
        <is>
          <t>Electricity</t>
        </is>
      </c>
      <c r="C278" s="67" t="inlineStr">
        <is>
          <t>New Zealand</t>
        </is>
      </c>
      <c r="D278" s="67" t="inlineStr">
        <is>
          <t>North Island</t>
        </is>
      </c>
      <c r="E278" s="67" t="inlineStr">
        <is>
          <t>NZ NTOU Electricity</t>
        </is>
      </c>
      <c r="F278" s="67" t="n"/>
      <c r="G278" s="67" t="inlineStr">
        <is>
          <t>29A Whakapaki Street,Urenui</t>
        </is>
      </c>
      <c r="H278" s="67" t="inlineStr">
        <is>
          <t>DOWNER NEW ZEALAND LIMITED (NZBN: 9429039194114)</t>
        </is>
      </c>
      <c r="I278" s="67" t="n"/>
      <c r="J278" s="67" t="inlineStr">
        <is>
          <t>kWh</t>
        </is>
      </c>
      <c r="K278" s="86" t="n">
        <v>6889.491094147583</v>
      </c>
      <c r="L278" s="67" t="inlineStr">
        <is>
          <t>Meridian</t>
        </is>
      </c>
      <c r="M278" s="87" t="inlineStr">
        <is>
          <t>Ecotricity</t>
        </is>
      </c>
      <c r="N278" s="87" t="n">
        <v>46388</v>
      </c>
      <c r="O278" s="87" t="n">
        <v>47483</v>
      </c>
      <c r="P278" s="67" t="inlineStr">
        <is>
          <t>36 months</t>
        </is>
      </c>
      <c r="Q278" s="88">
        <f t="array" ref="Q278:S278">IFERROR(ROUNDUP(_xlfn.XLOOKUP(A278,'Budget FY26-28'!A:A,'Budget FY26-28'!M:O)*(1+Summary!$C$2), -2), "")</f>
        <v/>
      </c>
      <c r="R278" s="88" t="n">
        <v>3300</v>
      </c>
      <c r="S278" s="88" t="n">
        <v>3300</v>
      </c>
      <c r="T278" s="67" t="inlineStr">
        <is>
          <t>Ready</t>
        </is>
      </c>
      <c r="U278" s="71" t="n"/>
      <c r="V278" s="84" t="inlineStr">
        <is>
          <t>Not found</t>
        </is>
      </c>
      <c r="W278" s="84" t="inlineStr"/>
      <c r="X278" s="84" t="inlineStr"/>
      <c r="Y278" s="84" t="inlineStr"/>
      <c r="Z278" s="84" t="inlineStr"/>
      <c r="AA278" s="84" t="inlineStr"/>
      <c r="AB278" s="84" t="inlineStr"/>
      <c r="AC278" s="84" t="inlineStr">
        <is>
          <t>No Envizi account ends in this Connection ID</t>
        </is>
      </c>
      <c r="AD278" s="85" t="inlineStr"/>
      <c r="AE278" s="85" t="inlineStr"/>
    </row>
    <row r="279" customFormat="1" s="72">
      <c r="A279" s="66" t="inlineStr">
        <is>
          <t>0088966150PCC88</t>
        </is>
      </c>
      <c r="B279" s="67" t="inlineStr">
        <is>
          <t>Electricity</t>
        </is>
      </c>
      <c r="C279" s="67" t="inlineStr">
        <is>
          <t>New Zealand</t>
        </is>
      </c>
      <c r="D279" s="67" t="inlineStr">
        <is>
          <t>North Island</t>
        </is>
      </c>
      <c r="E279" s="67" t="inlineStr">
        <is>
          <t>NZ NTOU Electricity</t>
        </is>
      </c>
      <c r="F279" s="67" t="n"/>
      <c r="G279" s="67" t="inlineStr">
        <is>
          <t>54 Mokau Road,Urenui,Taranaki Region</t>
        </is>
      </c>
      <c r="H279" s="67" t="inlineStr">
        <is>
          <t>DOWNER NEW ZEALAND LIMITED (NZBN: 9429039194114)</t>
        </is>
      </c>
      <c r="I279" s="67" t="n"/>
      <c r="J279" s="67" t="inlineStr">
        <is>
          <t>kWh</t>
        </is>
      </c>
      <c r="K279" s="86" t="n">
        <v>6374.767441860466</v>
      </c>
      <c r="L279" s="67" t="inlineStr">
        <is>
          <t>Meridian</t>
        </is>
      </c>
      <c r="M279" s="87" t="inlineStr">
        <is>
          <t>Ecotricity</t>
        </is>
      </c>
      <c r="N279" s="87" t="n">
        <v>46388</v>
      </c>
      <c r="O279" s="87" t="n">
        <v>47483</v>
      </c>
      <c r="P279" s="67" t="inlineStr">
        <is>
          <t>36 months</t>
        </is>
      </c>
      <c r="Q279" s="88">
        <f t="array" ref="Q279:S279">IFERROR(ROUNDUP(_xlfn.XLOOKUP(A279,'Budget FY26-28'!A:A,'Budget FY26-28'!M:O)*(1+Summary!$C$2), -2), "")</f>
        <v/>
      </c>
      <c r="R279" s="88" t="n">
        <v>3100</v>
      </c>
      <c r="S279" s="88" t="n">
        <v>3100</v>
      </c>
      <c r="T279" s="67" t="inlineStr">
        <is>
          <t>Ready</t>
        </is>
      </c>
      <c r="U279" s="71" t="n"/>
      <c r="V279" s="84" t="inlineStr">
        <is>
          <t>0088966150PCC88</t>
        </is>
      </c>
      <c r="W279" s="84" t="inlineStr">
        <is>
          <t>Electricity – purchased from grid [kWh]</t>
        </is>
      </c>
      <c r="X279" s="84" t="inlineStr">
        <is>
          <t>Electricity [kWh]</t>
        </is>
      </c>
      <c r="Y279" s="84" t="inlineStr">
        <is>
          <t>Meridian</t>
        </is>
      </c>
      <c r="Z279" s="84" t="inlineStr">
        <is>
          <t>1259 Okau Road  Ahititi</t>
        </is>
      </c>
      <c r="AA279" s="84" t="inlineStr">
        <is>
          <t>55173</t>
        </is>
      </c>
      <c r="AB279" s="84" t="inlineStr">
        <is>
          <t>Active</t>
        </is>
      </c>
      <c r="AC279" s="84" t="inlineStr">
        <is>
          <t>Connection ID is the account number suffix</t>
        </is>
      </c>
      <c r="AD279" s="85" t="inlineStr">
        <is>
          <t>0088966150PCC88</t>
        </is>
      </c>
      <c r="AE279" s="85" t="inlineStr"/>
    </row>
    <row r="280" customFormat="1" s="72">
      <c r="A280" s="66" t="inlineStr">
        <is>
          <t>0300278047LC2C3</t>
        </is>
      </c>
      <c r="B280" s="67" t="inlineStr">
        <is>
          <t>Electricity</t>
        </is>
      </c>
      <c r="C280" s="67" t="inlineStr">
        <is>
          <t>New Zealand</t>
        </is>
      </c>
      <c r="D280" s="67" t="inlineStr">
        <is>
          <t>North Island</t>
        </is>
      </c>
      <c r="E280" s="67" t="inlineStr">
        <is>
          <t>NZ NTOU Electricity</t>
        </is>
      </c>
      <c r="F280" s="67" t="n"/>
      <c r="G280" s="67" t="inlineStr">
        <is>
          <t>130C Kerrs Road,Wiri,Auckland</t>
        </is>
      </c>
      <c r="H280" s="67" t="inlineStr">
        <is>
          <t>DOWNER NEW ZEALAND LIMITED (NZBN: 9429039194114)</t>
        </is>
      </c>
      <c r="I280" s="67" t="n"/>
      <c r="J280" s="67" t="inlineStr">
        <is>
          <t>kWh</t>
        </is>
      </c>
      <c r="K280" s="86" t="n">
        <v>137617.9432624113</v>
      </c>
      <c r="L280" s="67" t="inlineStr">
        <is>
          <t>Meridian</t>
        </is>
      </c>
      <c r="M280" s="87" t="inlineStr">
        <is>
          <t>Ecotricity</t>
        </is>
      </c>
      <c r="N280" s="87" t="n">
        <v>46388</v>
      </c>
      <c r="O280" s="87" t="n">
        <v>47483</v>
      </c>
      <c r="P280" s="67" t="inlineStr">
        <is>
          <t>36 months</t>
        </is>
      </c>
      <c r="Q280" s="88">
        <f t="array" ref="Q280:S280">IFERROR(ROUNDUP(_xlfn.XLOOKUP(A280,'Budget FY26-28'!A:A,'Budget FY26-28'!M:O)*(1+Summary!$C$2), -2), "")</f>
        <v/>
      </c>
      <c r="R280" s="88" t="n">
        <v>31400</v>
      </c>
      <c r="S280" s="88" t="n">
        <v>31400</v>
      </c>
      <c r="T280" s="67" t="inlineStr">
        <is>
          <t>Ready</t>
        </is>
      </c>
      <c r="U280" s="71" t="n"/>
      <c r="V280" s="84" t="inlineStr">
        <is>
          <t>5005_ICP_0300278047LC2C3</t>
        </is>
      </c>
      <c r="W280" s="84" t="inlineStr">
        <is>
          <t>Electricity – purchased from grid [kWh]</t>
        </is>
      </c>
      <c r="X280" s="84" t="inlineStr">
        <is>
          <t>Electricity [kWh]</t>
        </is>
      </c>
      <c r="Y280" s="84" t="inlineStr">
        <is>
          <t>Downer</t>
        </is>
      </c>
      <c r="Z280" s="84" t="inlineStr">
        <is>
          <t>_CLOSED_Office_Kerrs Road</t>
        </is>
      </c>
      <c r="AA280" s="84" t="inlineStr">
        <is>
          <t>5005</t>
        </is>
      </c>
      <c r="AB280" s="84" t="inlineStr">
        <is>
          <t>Replaced 30 Jun 2022</t>
        </is>
      </c>
      <c r="AC280" s="84" t="inlineStr">
        <is>
          <t>Connection ID is the account number suffix</t>
        </is>
      </c>
      <c r="AD280" s="85" t="inlineStr">
        <is>
          <t>91145_ICP_0300278047LC2C3</t>
        </is>
      </c>
      <c r="AE280" s="85" t="inlineStr"/>
    </row>
    <row r="281" customFormat="1" s="72">
      <c r="A281" s="66" t="inlineStr">
        <is>
          <t>0346100364LCEED</t>
        </is>
      </c>
      <c r="B281" s="67" t="inlineStr">
        <is>
          <t>Electricity</t>
        </is>
      </c>
      <c r="C281" s="67" t="inlineStr">
        <is>
          <t>New Zealand</t>
        </is>
      </c>
      <c r="D281" s="67" t="inlineStr">
        <is>
          <t>North Island</t>
        </is>
      </c>
      <c r="E281" s="67" t="inlineStr">
        <is>
          <t>NZ NTOU Electricity</t>
        </is>
      </c>
      <c r="F281" s="67" t="n"/>
      <c r="G281" s="67" t="inlineStr">
        <is>
          <t>130 Kerrs Road,Wiri,Auckland,Auckland Region</t>
        </is>
      </c>
      <c r="H281" s="67" t="inlineStr">
        <is>
          <t>DOWNER NEW ZEALAND LIMITED (NZBN: 9429039194114)</t>
        </is>
      </c>
      <c r="I281" s="67" t="n"/>
      <c r="J281" s="67" t="inlineStr">
        <is>
          <t>kWh</t>
        </is>
      </c>
      <c r="K281" s="86" t="n">
        <v>56184.11347517731</v>
      </c>
      <c r="L281" s="67" t="inlineStr">
        <is>
          <t>Meridian</t>
        </is>
      </c>
      <c r="M281" s="87" t="inlineStr">
        <is>
          <t>Ecotricity</t>
        </is>
      </c>
      <c r="N281" s="87" t="n">
        <v>46388</v>
      </c>
      <c r="O281" s="87" t="n">
        <v>47483</v>
      </c>
      <c r="P281" s="67" t="inlineStr">
        <is>
          <t>36 months</t>
        </is>
      </c>
      <c r="Q281" s="88">
        <f t="array" ref="Q281:S281">IFERROR(ROUNDUP(_xlfn.XLOOKUP(A281,'Budget FY26-28'!A:A,'Budget FY26-28'!M:O)*(1+Summary!$C$2), -2), "")</f>
        <v/>
      </c>
      <c r="R281" s="88" t="n">
        <v>14600</v>
      </c>
      <c r="S281" s="88" t="n">
        <v>14600</v>
      </c>
      <c r="T281" s="67" t="inlineStr">
        <is>
          <t>Ready</t>
        </is>
      </c>
      <c r="U281" s="71" t="n"/>
      <c r="V281" s="84" t="inlineStr">
        <is>
          <t>5005_ICP_0346100364LCEED</t>
        </is>
      </c>
      <c r="W281" s="84" t="inlineStr">
        <is>
          <t>Electricity – purchased from grid [kWh]</t>
        </is>
      </c>
      <c r="X281" s="84" t="inlineStr">
        <is>
          <t>Electricity [kWh]</t>
        </is>
      </c>
      <c r="Y281" s="84" t="inlineStr">
        <is>
          <t>Downer</t>
        </is>
      </c>
      <c r="Z281" s="84" t="inlineStr">
        <is>
          <t>_CLOSED_Office_Kerrs Road</t>
        </is>
      </c>
      <c r="AA281" s="84" t="inlineStr">
        <is>
          <t>5005</t>
        </is>
      </c>
      <c r="AB281" s="84" t="inlineStr">
        <is>
          <t>Replaced 30 Jun 2022</t>
        </is>
      </c>
      <c r="AC281" s="84" t="inlineStr">
        <is>
          <t>Connection ID is the account number suffix</t>
        </is>
      </c>
      <c r="AD281" s="85" t="inlineStr">
        <is>
          <t>91145_ICP_0346100364LCEED</t>
        </is>
      </c>
      <c r="AE281" s="85" t="inlineStr"/>
    </row>
    <row r="282" customFormat="1" s="72">
      <c r="A282" s="66" t="inlineStr">
        <is>
          <t>0398095698LC2D6</t>
        </is>
      </c>
      <c r="B282" s="67" t="inlineStr">
        <is>
          <t>Electricity</t>
        </is>
      </c>
      <c r="C282" s="67" t="inlineStr">
        <is>
          <t>New Zealand</t>
        </is>
      </c>
      <c r="D282" s="67" t="inlineStr">
        <is>
          <t>North Island</t>
        </is>
      </c>
      <c r="E282" s="67" t="inlineStr">
        <is>
          <t>NZ NTOU Electricity</t>
        </is>
      </c>
      <c r="F282" s="67" t="n"/>
      <c r="G282" s="67" t="inlineStr">
        <is>
          <t>2 Ash Road,Wiri,AUCKLAND</t>
        </is>
      </c>
      <c r="H282" s="67" t="inlineStr">
        <is>
          <t>DOWNER NEW ZEALAND LIMITED (NZBN: 9429039194114)</t>
        </is>
      </c>
      <c r="I282" s="67" t="n"/>
      <c r="J282" s="67" t="inlineStr">
        <is>
          <t>kWh</t>
        </is>
      </c>
      <c r="K282" s="86" t="n">
        <v>18300.91016548463</v>
      </c>
      <c r="L282" s="67" t="inlineStr">
        <is>
          <t>Meridian</t>
        </is>
      </c>
      <c r="M282" s="87" t="inlineStr">
        <is>
          <t>Ecotricity</t>
        </is>
      </c>
      <c r="N282" s="87" t="n">
        <v>46388</v>
      </c>
      <c r="O282" s="87" t="n">
        <v>47483</v>
      </c>
      <c r="P282" s="67" t="inlineStr">
        <is>
          <t>36 months</t>
        </is>
      </c>
      <c r="Q282" s="88">
        <f t="array" ref="Q282:S282">IFERROR(ROUNDUP(_xlfn.XLOOKUP(A282,'Budget FY26-28'!A:A,'Budget FY26-28'!M:O)*(1+Summary!$C$2), -2), "")</f>
        <v/>
      </c>
      <c r="R282" s="88" t="n">
        <v>5300</v>
      </c>
      <c r="S282" s="88" t="n">
        <v>5300</v>
      </c>
      <c r="T282" s="67" t="inlineStr">
        <is>
          <t>Ready</t>
        </is>
      </c>
      <c r="U282" s="71" t="n"/>
      <c r="V282" s="84" t="inlineStr">
        <is>
          <t>5003_ICP_0398095698LC2D6</t>
        </is>
      </c>
      <c r="W282" s="84" t="inlineStr">
        <is>
          <t>Electricity – purchased from grid [kWh]</t>
        </is>
      </c>
      <c r="X282" s="84" t="inlineStr">
        <is>
          <t>Electricity [kWh]</t>
        </is>
      </c>
      <c r="Y282" s="84" t="inlineStr">
        <is>
          <t>Downer</t>
        </is>
      </c>
      <c r="Z282" s="84" t="inlineStr">
        <is>
          <t>_CLOSED_Recharges_BP</t>
        </is>
      </c>
      <c r="AA282" s="84" t="inlineStr">
        <is>
          <t>L9.J.17031978</t>
        </is>
      </c>
      <c r="AB282" s="84" t="inlineStr">
        <is>
          <t>Replaced 30 Jun 2022</t>
        </is>
      </c>
      <c r="AC282" s="84" t="inlineStr">
        <is>
          <t>Connection ID is the account number suffix</t>
        </is>
      </c>
      <c r="AD282" s="85" t="inlineStr">
        <is>
          <t>5186_ICP_0398095698LC2D6; 9010_ICP_0398095698LC2D6</t>
        </is>
      </c>
      <c r="AE282" s="85" t="inlineStr"/>
    </row>
    <row r="283" customFormat="1" s="72">
      <c r="A283" s="66" t="inlineStr">
        <is>
          <t>0415258065LC669</t>
        </is>
      </c>
      <c r="B283" s="67" t="inlineStr">
        <is>
          <t>Electricity</t>
        </is>
      </c>
      <c r="C283" s="67" t="inlineStr">
        <is>
          <t>New Zealand</t>
        </is>
      </c>
      <c r="D283" s="67" t="inlineStr">
        <is>
          <t>North Island</t>
        </is>
      </c>
      <c r="E283" s="67" t="inlineStr">
        <is>
          <t>NZ NTOU Electricity</t>
        </is>
      </c>
      <c r="F283" s="67" t="n"/>
      <c r="G283" s="67" t="inlineStr">
        <is>
          <t>7 Waitai Road,Ostend,Waiheke Island,Auckland Region</t>
        </is>
      </c>
      <c r="H283" s="67" t="inlineStr">
        <is>
          <t>DOWNER NEW ZEALAND LIMITED (NZBN: 9429039194114)</t>
        </is>
      </c>
      <c r="I283" s="67" t="n"/>
      <c r="J283" s="67" t="inlineStr">
        <is>
          <t>kWh</t>
        </is>
      </c>
      <c r="K283" s="86" t="n">
        <v>23040.7328605201</v>
      </c>
      <c r="L283" s="67" t="inlineStr">
        <is>
          <t>Meridian</t>
        </is>
      </c>
      <c r="M283" s="87" t="inlineStr">
        <is>
          <t>Ecotricity</t>
        </is>
      </c>
      <c r="N283" s="87" t="n">
        <v>46388</v>
      </c>
      <c r="O283" s="87" t="n">
        <v>47483</v>
      </c>
      <c r="P283" s="67" t="inlineStr">
        <is>
          <t>36 months</t>
        </is>
      </c>
      <c r="Q283" s="88">
        <f t="array" ref="Q283:S283">IFERROR(ROUNDUP(_xlfn.XLOOKUP(A283,'Budget FY26-28'!A:A,'Budget FY26-28'!M:O)*(1+Summary!$C$2), -2), "")</f>
        <v/>
      </c>
      <c r="R283" s="88" t="n">
        <v>6300</v>
      </c>
      <c r="S283" s="88" t="n">
        <v>6300</v>
      </c>
      <c r="T283" s="67" t="inlineStr">
        <is>
          <t>Ready</t>
        </is>
      </c>
      <c r="U283" s="71" t="n"/>
      <c r="V283" s="84" t="inlineStr">
        <is>
          <t>5113_0415258065LC669</t>
        </is>
      </c>
      <c r="W283" s="84" t="inlineStr">
        <is>
          <t>Electricity – purchased from grid [kWh]</t>
        </is>
      </c>
      <c r="X283" s="84" t="inlineStr">
        <is>
          <t>Electricity [kWh]</t>
        </is>
      </c>
      <c r="Y283" s="84" t="inlineStr">
        <is>
          <t>Downer</t>
        </is>
      </c>
      <c r="Z283" s="84" t="inlineStr">
        <is>
          <t>_CLOSED_T_Auckland</t>
        </is>
      </c>
      <c r="AA283" s="84" t="inlineStr">
        <is>
          <t>5113</t>
        </is>
      </c>
      <c r="AB283" s="84" t="inlineStr">
        <is>
          <t>Replaced 30 Jun 2022</t>
        </is>
      </c>
      <c r="AC283" s="84" t="inlineStr">
        <is>
          <t>Connection ID is the account number suffix</t>
        </is>
      </c>
      <c r="AD283" s="85" t="inlineStr">
        <is>
          <t>5113_ICP_0415258065LC669; 550431_ICP_0415258065LC669</t>
        </is>
      </c>
      <c r="AE283" s="85" t="inlineStr"/>
    </row>
    <row r="284" customFormat="1" s="72">
      <c r="A284" s="66" t="inlineStr">
        <is>
          <t>0900090531PCF4E</t>
        </is>
      </c>
      <c r="B284" s="67" t="inlineStr">
        <is>
          <t>Electricity</t>
        </is>
      </c>
      <c r="C284" s="67" t="inlineStr">
        <is>
          <t>New Zealand</t>
        </is>
      </c>
      <c r="D284" s="67" t="inlineStr">
        <is>
          <t>North Island</t>
        </is>
      </c>
      <c r="E284" s="67" t="inlineStr">
        <is>
          <t>NZ NTOU Electricity</t>
        </is>
      </c>
      <c r="F284" s="67" t="n"/>
      <c r="G284" s="67" t="inlineStr">
        <is>
          <t>Lot 5 198 RICHARDSONS LINE,MILSON,PALMERSTON NORTH</t>
        </is>
      </c>
      <c r="H284" s="67" t="inlineStr">
        <is>
          <t>DOWNER NEW ZEALAND LIMITED (NZBN: 9429039194114)</t>
        </is>
      </c>
      <c r="I284" s="67" t="n"/>
      <c r="J284" s="67" t="inlineStr">
        <is>
          <t>kWh</t>
        </is>
      </c>
      <c r="K284" s="86" t="n">
        <v>114160.4373522459</v>
      </c>
      <c r="L284" s="67" t="inlineStr">
        <is>
          <t>Meridian</t>
        </is>
      </c>
      <c r="M284" s="87" t="inlineStr">
        <is>
          <t>Ecotricity</t>
        </is>
      </c>
      <c r="N284" s="87" t="n">
        <v>46388</v>
      </c>
      <c r="O284" s="87" t="n">
        <v>47483</v>
      </c>
      <c r="P284" s="67" t="inlineStr">
        <is>
          <t>36 months</t>
        </is>
      </c>
      <c r="Q284" s="88">
        <f t="array" ref="Q284:S284">IFERROR(ROUNDUP(_xlfn.XLOOKUP(A284,'Budget FY26-28'!A:A,'Budget FY26-28'!M:O)*(1+Summary!$C$2), -2), "")</f>
        <v/>
      </c>
      <c r="R284" s="88" t="n">
        <v>39400</v>
      </c>
      <c r="S284" s="88" t="n">
        <v>39400</v>
      </c>
      <c r="T284" s="67" t="inlineStr">
        <is>
          <t>Ready</t>
        </is>
      </c>
      <c r="U284" s="71" t="n"/>
      <c r="V284" s="84" t="inlineStr">
        <is>
          <t>5048_ICP_0900090531PCF4E</t>
        </is>
      </c>
      <c r="W284" s="84" t="inlineStr">
        <is>
          <t>Electricity – purchased from grid [kWh]</t>
        </is>
      </c>
      <c r="X284" s="84" t="inlineStr">
        <is>
          <t>Electricity [kWh]</t>
        </is>
      </c>
      <c r="Y284" s="84" t="inlineStr">
        <is>
          <t>Downer</t>
        </is>
      </c>
      <c r="Z284" s="84" t="inlineStr">
        <is>
          <t>_CLOSED_Depot_T_Palmerston North</t>
        </is>
      </c>
      <c r="AA284" s="84" t="inlineStr">
        <is>
          <t>5048</t>
        </is>
      </c>
      <c r="AB284" s="84" t="inlineStr">
        <is>
          <t>Replaced 30 Jun 2022</t>
        </is>
      </c>
      <c r="AC284" s="84" t="inlineStr">
        <is>
          <t>Connection ID is the account number suffix</t>
        </is>
      </c>
      <c r="AD284" s="85" t="inlineStr">
        <is>
          <t>55590_ICP_0900090531PCF4E</t>
        </is>
      </c>
      <c r="AE284" s="85" t="inlineStr"/>
    </row>
    <row r="285" customFormat="1" s="72">
      <c r="A285" s="66" t="inlineStr">
        <is>
          <t>1000025462BP9A6</t>
        </is>
      </c>
      <c r="B285" s="67" t="inlineStr">
        <is>
          <t>Electricity</t>
        </is>
      </c>
      <c r="C285" s="67" t="inlineStr">
        <is>
          <t>New Zealand</t>
        </is>
      </c>
      <c r="D285" s="67" t="inlineStr">
        <is>
          <t>North Island</t>
        </is>
      </c>
      <c r="E285" s="67" t="inlineStr">
        <is>
          <t>NZ NTOU Electricity</t>
        </is>
      </c>
      <c r="F285" s="67" t="n"/>
      <c r="G285" s="67" t="inlineStr">
        <is>
          <t>89 The Strand,Whakatane,Bay of Plenty Region</t>
        </is>
      </c>
      <c r="H285" s="67" t="inlineStr">
        <is>
          <t>DOWNER NEW ZEALAND LIMITED (NZBN: 9429039194114)</t>
        </is>
      </c>
      <c r="I285" s="67" t="n"/>
      <c r="J285" s="67" t="inlineStr">
        <is>
          <t>kWh</t>
        </is>
      </c>
      <c r="K285" s="86" t="n">
        <v>2634.385342789598</v>
      </c>
      <c r="L285" s="67" t="inlineStr">
        <is>
          <t>Meridian</t>
        </is>
      </c>
      <c r="M285" s="87" t="inlineStr">
        <is>
          <t>Ecotricity</t>
        </is>
      </c>
      <c r="N285" s="87" t="n">
        <v>46388</v>
      </c>
      <c r="O285" s="87" t="n">
        <v>47483</v>
      </c>
      <c r="P285" s="67" t="inlineStr">
        <is>
          <t>36 months</t>
        </is>
      </c>
      <c r="Q285" s="88">
        <f t="array" ref="Q285:S285">IFERROR(ROUNDUP(_xlfn.XLOOKUP(A285,'Budget FY26-28'!A:A,'Budget FY26-28'!M:O)*(1+Summary!$C$2), -2), "")</f>
        <v/>
      </c>
      <c r="R285" s="88" t="n">
        <v>2000</v>
      </c>
      <c r="S285" s="88" t="n">
        <v>2000</v>
      </c>
      <c r="T285" s="67" t="inlineStr">
        <is>
          <t>Ready</t>
        </is>
      </c>
      <c r="U285" s="71" t="n"/>
      <c r="V285" s="84" t="inlineStr">
        <is>
          <t>Not found</t>
        </is>
      </c>
      <c r="W285" s="84" t="inlineStr"/>
      <c r="X285" s="84" t="inlineStr"/>
      <c r="Y285" s="84" t="inlineStr"/>
      <c r="Z285" s="84" t="inlineStr"/>
      <c r="AA285" s="84" t="inlineStr"/>
      <c r="AB285" s="84" t="inlineStr"/>
      <c r="AC285" s="84" t="inlineStr">
        <is>
          <t>No Envizi account ends in this Connection ID</t>
        </is>
      </c>
      <c r="AD285" s="85" t="inlineStr"/>
      <c r="AE285" s="85" t="inlineStr"/>
    </row>
    <row r="286" customFormat="1" s="72">
      <c r="A286" s="66" t="inlineStr">
        <is>
          <t>1000524019PC6AD</t>
        </is>
      </c>
      <c r="B286" s="67" t="inlineStr">
        <is>
          <t>Electricity</t>
        </is>
      </c>
      <c r="C286" s="67" t="inlineStr">
        <is>
          <t>New Zealand</t>
        </is>
      </c>
      <c r="D286" s="67" t="inlineStr">
        <is>
          <t>North Island</t>
        </is>
      </c>
      <c r="E286" s="67" t="inlineStr">
        <is>
          <t>NZ NTOU Electricity</t>
        </is>
      </c>
      <c r="F286" s="67" t="n"/>
      <c r="G286" s="67" t="inlineStr">
        <is>
          <t>3 Coronation Street,Paeroa,Waikato Region</t>
        </is>
      </c>
      <c r="H286" s="67" t="inlineStr">
        <is>
          <t>DOWNER NEW ZEALAND LIMITED (NZBN: 9429039194114)</t>
        </is>
      </c>
      <c r="I286" s="67" t="n"/>
      <c r="J286" s="67" t="inlineStr">
        <is>
          <t>kWh</t>
        </is>
      </c>
      <c r="K286" s="86" t="n">
        <v>37827.97872340426</v>
      </c>
      <c r="L286" s="67" t="inlineStr">
        <is>
          <t>Meridian</t>
        </is>
      </c>
      <c r="M286" s="87" t="inlineStr">
        <is>
          <t>Ecotricity</t>
        </is>
      </c>
      <c r="N286" s="87" t="n">
        <v>46388</v>
      </c>
      <c r="O286" s="87" t="n">
        <v>47483</v>
      </c>
      <c r="P286" s="67" t="inlineStr">
        <is>
          <t>36 months</t>
        </is>
      </c>
      <c r="Q286" s="88">
        <f t="array" ref="Q286:S286">IFERROR(ROUNDUP(_xlfn.XLOOKUP(A286,'Budget FY26-28'!A:A,'Budget FY26-28'!M:O)*(1+Summary!$C$2), -2), "")</f>
        <v/>
      </c>
      <c r="R286" s="88" t="n">
        <v>13000</v>
      </c>
      <c r="S286" s="88" t="n">
        <v>13000</v>
      </c>
      <c r="T286" s="67" t="inlineStr">
        <is>
          <t>Ready</t>
        </is>
      </c>
      <c r="U286" s="71" t="n"/>
      <c r="V286" s="84" t="inlineStr">
        <is>
          <t>5149_ICP_1000524019PC6AD</t>
        </is>
      </c>
      <c r="W286" s="84" t="inlineStr">
        <is>
          <t>Electricity – purchased from grid [kWh]</t>
        </is>
      </c>
      <c r="X286" s="84" t="inlineStr">
        <is>
          <t>Electricity [kWh]</t>
        </is>
      </c>
      <c r="Y286" s="84" t="inlineStr">
        <is>
          <t>Downer</t>
        </is>
      </c>
      <c r="Z286" s="84" t="inlineStr">
        <is>
          <t>_CLOSED_U_P&amp;G_Tauranga</t>
        </is>
      </c>
      <c r="AA286" s="84" t="inlineStr">
        <is>
          <t>5149</t>
        </is>
      </c>
      <c r="AB286" s="84" t="inlineStr">
        <is>
          <t>Replaced 30 Jun 2022</t>
        </is>
      </c>
      <c r="AC286" s="84" t="inlineStr">
        <is>
          <t>Connection ID is the account number suffix</t>
        </is>
      </c>
      <c r="AD286" s="85" t="inlineStr">
        <is>
          <t>5155_ICP_1000524019PC6AD; PG60120_ICP_1000524019PC6AD</t>
        </is>
      </c>
      <c r="AE286" s="85" t="inlineStr"/>
    </row>
    <row r="287" customFormat="1" s="72">
      <c r="A287" s="66" t="inlineStr">
        <is>
          <t>1000524774PC904</t>
        </is>
      </c>
      <c r="B287" s="67" t="inlineStr">
        <is>
          <t>Electricity</t>
        </is>
      </c>
      <c r="C287" s="67" t="inlineStr">
        <is>
          <t>New Zealand</t>
        </is>
      </c>
      <c r="D287" s="67" t="inlineStr">
        <is>
          <t>North Island</t>
        </is>
      </c>
      <c r="E287" s="67" t="inlineStr">
        <is>
          <t>NZ NTOU Electricity</t>
        </is>
      </c>
      <c r="F287" s="67" t="n"/>
      <c r="G287" s="67" t="inlineStr">
        <is>
          <t>58 Taurikura Drive,Tauriko,Tauranga,Bay of Plenty Region</t>
        </is>
      </c>
      <c r="H287" s="67" t="inlineStr">
        <is>
          <t>DOWNER NEW ZEALAND LIMITED (NZBN: 9429039194114)</t>
        </is>
      </c>
      <c r="I287" s="67" t="n"/>
      <c r="J287" s="67" t="inlineStr">
        <is>
          <t>kWh</t>
        </is>
      </c>
      <c r="K287" s="86" t="n">
        <v>150976.2529550827</v>
      </c>
      <c r="L287" s="67" t="inlineStr">
        <is>
          <t>Meridian</t>
        </is>
      </c>
      <c r="M287" s="87" t="inlineStr">
        <is>
          <t>Ecotricity</t>
        </is>
      </c>
      <c r="N287" s="87" t="n">
        <v>46388</v>
      </c>
      <c r="O287" s="87" t="n">
        <v>47483</v>
      </c>
      <c r="P287" s="67" t="inlineStr">
        <is>
          <t>36 months</t>
        </is>
      </c>
      <c r="Q287" s="88">
        <f t="array" ref="Q287:S287">IFERROR(ROUNDUP(_xlfn.XLOOKUP(A287,'Budget FY26-28'!A:A,'Budget FY26-28'!M:O)*(1+Summary!$C$2), -2), "")</f>
        <v/>
      </c>
      <c r="R287" s="88" t="n">
        <v>54300</v>
      </c>
      <c r="S287" s="88" t="n">
        <v>54300</v>
      </c>
      <c r="T287" s="67" t="inlineStr">
        <is>
          <t>Ready</t>
        </is>
      </c>
      <c r="U287" s="71" t="n"/>
      <c r="V287" s="84" t="inlineStr">
        <is>
          <t>5059_ICP_1000524774PC904</t>
        </is>
      </c>
      <c r="W287" s="84" t="inlineStr">
        <is>
          <t>Electricity – purchased from grid [kWh]</t>
        </is>
      </c>
      <c r="X287" s="84" t="inlineStr">
        <is>
          <t>Electricity [kWh]</t>
        </is>
      </c>
      <c r="Y287" s="84" t="inlineStr">
        <is>
          <t>Downer</t>
        </is>
      </c>
      <c r="Z287" s="84" t="inlineStr">
        <is>
          <t>_CLOSED_Depot_T_Tauranga</t>
        </is>
      </c>
      <c r="AA287" s="84" t="inlineStr">
        <is>
          <t>5059</t>
        </is>
      </c>
      <c r="AB287" s="84" t="inlineStr">
        <is>
          <t>Replaced 30 Jun 2022</t>
        </is>
      </c>
      <c r="AC287" s="84" t="inlineStr">
        <is>
          <t>Connection ID is the account number suffix</t>
        </is>
      </c>
      <c r="AD287" s="85" t="inlineStr">
        <is>
          <t>91220_ICP_1000524774PC904</t>
        </is>
      </c>
      <c r="AE287" s="85" t="inlineStr"/>
    </row>
    <row r="288" customFormat="1" s="72">
      <c r="A288" s="66" t="inlineStr">
        <is>
          <t>1000566966PCDF2</t>
        </is>
      </c>
      <c r="B288" s="67" t="inlineStr">
        <is>
          <t>Electricity</t>
        </is>
      </c>
      <c r="C288" s="67" t="inlineStr">
        <is>
          <t>New Zealand</t>
        </is>
      </c>
      <c r="D288" s="67" t="inlineStr">
        <is>
          <t>North Island</t>
        </is>
      </c>
      <c r="E288" s="67" t="inlineStr">
        <is>
          <t>NZ NTOU Electricity</t>
        </is>
      </c>
      <c r="F288" s="67" t="n"/>
      <c r="G288" s="67" t="inlineStr">
        <is>
          <t>6 Aneta Way,Pyes Pa,Tauranga,Bay of Plenty Region</t>
        </is>
      </c>
      <c r="H288" s="67" t="inlineStr">
        <is>
          <t>DOWNER NEW ZEALAND LIMITED (NZBN: 9429039194114)</t>
        </is>
      </c>
      <c r="I288" s="67" t="n"/>
      <c r="J288" s="67" t="inlineStr">
        <is>
          <t>kWh</t>
        </is>
      </c>
      <c r="K288" s="86" t="n">
        <v>2445.261437908497</v>
      </c>
      <c r="L288" s="67" t="inlineStr">
        <is>
          <t>Meridian</t>
        </is>
      </c>
      <c r="M288" s="87" t="inlineStr">
        <is>
          <t>Ecotricity</t>
        </is>
      </c>
      <c r="N288" s="87" t="n">
        <v>46388</v>
      </c>
      <c r="O288" s="87" t="n">
        <v>47483</v>
      </c>
      <c r="P288" s="67" t="inlineStr">
        <is>
          <t>36 months</t>
        </is>
      </c>
      <c r="Q288" s="88">
        <f t="array" ref="Q288:S288">IFERROR(ROUNDUP(_xlfn.XLOOKUP(A288,'Budget FY26-28'!A:A,'Budget FY26-28'!M:O)*(1+Summary!$C$2), -2), "")</f>
        <v/>
      </c>
      <c r="R288" s="88" t="n">
        <v>1700</v>
      </c>
      <c r="S288" s="88" t="n">
        <v>1700</v>
      </c>
      <c r="T288" s="67" t="inlineStr">
        <is>
          <t>Ready</t>
        </is>
      </c>
      <c r="U288" s="71" t="n"/>
      <c r="V288" s="84" t="inlineStr">
        <is>
          <t>Not found</t>
        </is>
      </c>
      <c r="W288" s="84" t="inlineStr"/>
      <c r="X288" s="84" t="inlineStr"/>
      <c r="Y288" s="84" t="inlineStr"/>
      <c r="Z288" s="84" t="inlineStr"/>
      <c r="AA288" s="84" t="inlineStr"/>
      <c r="AB288" s="84" t="inlineStr"/>
      <c r="AC288" s="84" t="inlineStr">
        <is>
          <t>No Envizi account ends in this Connection ID</t>
        </is>
      </c>
      <c r="AD288" s="85" t="inlineStr"/>
      <c r="AE288" s="85" t="inlineStr"/>
    </row>
    <row r="289" customFormat="1" s="72">
      <c r="A289" s="66" t="inlineStr">
        <is>
          <t>1000619535PCA5B</t>
        </is>
      </c>
      <c r="B289" s="67" t="inlineStr">
        <is>
          <t>Electricity</t>
        </is>
      </c>
      <c r="C289" s="67" t="inlineStr">
        <is>
          <t>New Zealand</t>
        </is>
      </c>
      <c r="D289" s="67" t="inlineStr">
        <is>
          <t>North Island</t>
        </is>
      </c>
      <c r="E289" s="67" t="inlineStr">
        <is>
          <t>NZ NTOU Electricity</t>
        </is>
      </c>
      <c r="F289" s="67" t="n"/>
      <c r="G289" s="67" t="inlineStr">
        <is>
          <t>9 Te Ara Pikopiko,Omokoroa</t>
        </is>
      </c>
      <c r="H289" s="67" t="inlineStr">
        <is>
          <t>DOWNER NEW ZEALAND LIMITED (NZBN: 9429039194114)</t>
        </is>
      </c>
      <c r="I289" s="67" t="n"/>
      <c r="J289" s="67" t="inlineStr">
        <is>
          <t>kWh</t>
        </is>
      </c>
      <c r="K289" s="86" t="n">
        <v>5826.792763157895</v>
      </c>
      <c r="L289" s="67" t="inlineStr">
        <is>
          <t>Meridian</t>
        </is>
      </c>
      <c r="M289" s="87" t="inlineStr">
        <is>
          <t>Ecotricity</t>
        </is>
      </c>
      <c r="N289" s="87" t="n">
        <v>46388</v>
      </c>
      <c r="O289" s="87" t="n">
        <v>47483</v>
      </c>
      <c r="P289" s="67" t="inlineStr">
        <is>
          <t>36 months</t>
        </is>
      </c>
      <c r="Q289" s="88">
        <f t="array" ref="Q289:S289">IFERROR(ROUNDUP(_xlfn.XLOOKUP(A289,'Budget FY26-28'!A:A,'Budget FY26-28'!M:O)*(1+Summary!$C$2), -2), "")</f>
        <v/>
      </c>
      <c r="R289" s="88" t="n">
        <v>2900</v>
      </c>
      <c r="S289" s="88" t="n">
        <v>2900</v>
      </c>
      <c r="T289" s="67" t="inlineStr">
        <is>
          <t>Ready</t>
        </is>
      </c>
      <c r="U289" s="71" t="n"/>
      <c r="V289" s="84" t="inlineStr">
        <is>
          <t>Not found</t>
        </is>
      </c>
      <c r="W289" s="84" t="inlineStr"/>
      <c r="X289" s="84" t="inlineStr"/>
      <c r="Y289" s="84" t="inlineStr"/>
      <c r="Z289" s="84" t="inlineStr"/>
      <c r="AA289" s="84" t="inlineStr"/>
      <c r="AB289" s="84" t="inlineStr"/>
      <c r="AC289" s="84" t="inlineStr">
        <is>
          <t>No Envizi account ends in this Connection ID</t>
        </is>
      </c>
      <c r="AD289" s="85" t="inlineStr"/>
      <c r="AE289" s="85" t="inlineStr"/>
    </row>
    <row r="290" customFormat="1" s="72">
      <c r="A290" s="66" t="inlineStr">
        <is>
          <t>1000620792PC805</t>
        </is>
      </c>
      <c r="B290" s="67" t="inlineStr">
        <is>
          <t>Electricity</t>
        </is>
      </c>
      <c r="C290" s="67" t="inlineStr">
        <is>
          <t>New Zealand</t>
        </is>
      </c>
      <c r="D290" s="67" t="inlineStr">
        <is>
          <t>North Island</t>
        </is>
      </c>
      <c r="E290" s="67" t="inlineStr">
        <is>
          <t>NZ NTOU Electricity</t>
        </is>
      </c>
      <c r="F290" s="67" t="n"/>
      <c r="G290" s="67" t="inlineStr">
        <is>
          <t>782 STATE HIGHWAY 29,TAURIKO,TAURANGA</t>
        </is>
      </c>
      <c r="H290" s="67" t="inlineStr">
        <is>
          <t>DOWNER NEW ZEALAND LIMITED (NZBN: 9429039194114)</t>
        </is>
      </c>
      <c r="I290" s="67" t="n"/>
      <c r="J290" s="67" t="inlineStr">
        <is>
          <t>kWh</t>
        </is>
      </c>
      <c r="K290" s="86" t="n">
        <v>26418.9243498818</v>
      </c>
      <c r="L290" s="67" t="inlineStr">
        <is>
          <t>Meridian</t>
        </is>
      </c>
      <c r="M290" s="87" t="inlineStr">
        <is>
          <t>Ecotricity</t>
        </is>
      </c>
      <c r="N290" s="87" t="n">
        <v>46388</v>
      </c>
      <c r="O290" s="87" t="n">
        <v>47483</v>
      </c>
      <c r="P290" s="67" t="inlineStr">
        <is>
          <t>36 months</t>
        </is>
      </c>
      <c r="Q290" s="88">
        <f t="array" ref="Q290:S290">IFERROR(ROUNDUP(_xlfn.XLOOKUP(A290,'Budget FY26-28'!A:A,'Budget FY26-28'!M:O)*(1+Summary!$C$2), -2), "")</f>
        <v/>
      </c>
      <c r="R290" s="88" t="n">
        <v>8800</v>
      </c>
      <c r="S290" s="88" t="n">
        <v>8800</v>
      </c>
      <c r="T290" s="67" t="inlineStr">
        <is>
          <t>Ready</t>
        </is>
      </c>
      <c r="U290" s="71" t="n"/>
      <c r="V290" s="84" t="inlineStr">
        <is>
          <t>ICP_1000620792PC805</t>
        </is>
      </c>
      <c r="W290" s="84" t="inlineStr">
        <is>
          <t>Electricity – purchased from grid [kWh]</t>
        </is>
      </c>
      <c r="X290" s="84" t="inlineStr">
        <is>
          <t>Electricity [kWh]</t>
        </is>
      </c>
      <c r="Y290" s="84" t="inlineStr"/>
      <c r="Z290" s="84" t="inlineStr">
        <is>
          <t>Roadmarking - Lower South</t>
        </is>
      </c>
      <c r="AA290" s="84" t="inlineStr">
        <is>
          <t>55376</t>
        </is>
      </c>
      <c r="AB290" s="84" t="inlineStr">
        <is>
          <t>Active</t>
        </is>
      </c>
      <c r="AC290" s="84" t="inlineStr">
        <is>
          <t>Connection ID is the account number suffix</t>
        </is>
      </c>
      <c r="AD290" s="85" t="inlineStr">
        <is>
          <t>ICP_1000620792PC805</t>
        </is>
      </c>
      <c r="AE290" s="85" t="inlineStr"/>
    </row>
    <row r="291" customFormat="1" s="72">
      <c r="A291" s="66" t="inlineStr">
        <is>
          <t>1001118772UNF47</t>
        </is>
      </c>
      <c r="B291" s="67" t="inlineStr">
        <is>
          <t>Electricity</t>
        </is>
      </c>
      <c r="C291" s="67" t="inlineStr">
        <is>
          <t>New Zealand</t>
        </is>
      </c>
      <c r="D291" s="67" t="inlineStr">
        <is>
          <t>North Island</t>
        </is>
      </c>
      <c r="E291" s="67" t="inlineStr">
        <is>
          <t>NZ NTOU Electricity</t>
        </is>
      </c>
      <c r="F291" s="67" t="n"/>
      <c r="G291" s="67" t="inlineStr">
        <is>
          <t>9 RABONE STREET,HENDERSON,AUCKLAND</t>
        </is>
      </c>
      <c r="H291" s="67" t="inlineStr">
        <is>
          <t>DOWNER NEW ZEALAND LIMITED (NZBN: 9429039194114)</t>
        </is>
      </c>
      <c r="I291" s="67" t="n"/>
      <c r="J291" s="67" t="inlineStr">
        <is>
          <t>kWh</t>
        </is>
      </c>
      <c r="K291" s="86" t="n">
        <v>25064.19621749409</v>
      </c>
      <c r="L291" s="67" t="inlineStr">
        <is>
          <t>Meridian</t>
        </is>
      </c>
      <c r="M291" s="87" t="inlineStr">
        <is>
          <t>Ecotricity</t>
        </is>
      </c>
      <c r="N291" s="87" t="n">
        <v>46388</v>
      </c>
      <c r="O291" s="87" t="n">
        <v>47483</v>
      </c>
      <c r="P291" s="67" t="inlineStr">
        <is>
          <t>36 months</t>
        </is>
      </c>
      <c r="Q291" s="88">
        <f t="array" ref="Q291:S291">IFERROR(ROUNDUP(_xlfn.XLOOKUP(A291,'Budget FY26-28'!A:A,'Budget FY26-28'!M:O)*(1+Summary!$C$2), -2), "")</f>
        <v/>
      </c>
      <c r="R291" s="88" t="n">
        <v>6800</v>
      </c>
      <c r="S291" s="88" t="n">
        <v>6800</v>
      </c>
      <c r="T291" s="67" t="inlineStr">
        <is>
          <t>Ready</t>
        </is>
      </c>
      <c r="U291" s="71" t="n"/>
      <c r="V291" s="84" t="inlineStr">
        <is>
          <t>5165_ICP_1001118772UNF47</t>
        </is>
      </c>
      <c r="W291" s="84" t="inlineStr">
        <is>
          <t>Electricity – purchased from grid [kWh]</t>
        </is>
      </c>
      <c r="X291" s="84" t="inlineStr">
        <is>
          <t>Electricity [kWh]</t>
        </is>
      </c>
      <c r="Y291" s="84" t="inlineStr">
        <is>
          <t>Downer</t>
        </is>
      </c>
      <c r="Z291" s="84" t="inlineStr">
        <is>
          <t>_CLOSED_Depot_T_Util_Depot_Henderson</t>
        </is>
      </c>
      <c r="AA291" s="84" t="inlineStr">
        <is>
          <t>5165</t>
        </is>
      </c>
      <c r="AB291" s="84" t="inlineStr">
        <is>
          <t>Replaced 30 Jun 2022</t>
        </is>
      </c>
      <c r="AC291" s="84" t="inlineStr">
        <is>
          <t>Connection ID is the account number suffix</t>
        </is>
      </c>
      <c r="AD291" s="85" t="inlineStr"/>
      <c r="AE291" s="85" t="inlineStr"/>
    </row>
    <row r="292" customFormat="1" s="72">
      <c r="A292" s="66" t="inlineStr">
        <is>
          <t>1001132596LC369</t>
        </is>
      </c>
      <c r="B292" s="67" t="inlineStr">
        <is>
          <t>Electricity</t>
        </is>
      </c>
      <c r="C292" s="67" t="inlineStr">
        <is>
          <t>New Zealand</t>
        </is>
      </c>
      <c r="D292" s="67" t="inlineStr">
        <is>
          <t>North Island</t>
        </is>
      </c>
      <c r="E292" s="67" t="inlineStr">
        <is>
          <t>NZ NTOU Electricity</t>
        </is>
      </c>
      <c r="F292" s="67" t="n"/>
      <c r="G292" s="67" t="inlineStr">
        <is>
          <t>Level 4 54 Wellesley Street East,Auckland Central,Auckland</t>
        </is>
      </c>
      <c r="H292" s="67" t="inlineStr">
        <is>
          <t>DOWNER NEW ZEALAND LIMITED (NZBN: 9429039194114)</t>
        </is>
      </c>
      <c r="I292" s="67" t="n"/>
      <c r="J292" s="67" t="inlineStr">
        <is>
          <t>kWh</t>
        </is>
      </c>
      <c r="K292" s="86" t="n">
        <v>6217.080378250591</v>
      </c>
      <c r="L292" s="67" t="inlineStr">
        <is>
          <t>Meridian</t>
        </is>
      </c>
      <c r="M292" s="87" t="inlineStr">
        <is>
          <t>Ecotricity</t>
        </is>
      </c>
      <c r="N292" s="87" t="n">
        <v>46388</v>
      </c>
      <c r="O292" s="87" t="n">
        <v>47483</v>
      </c>
      <c r="P292" s="67" t="inlineStr">
        <is>
          <t>36 months</t>
        </is>
      </c>
      <c r="Q292" s="88">
        <f t="array" ref="Q292:S292">IFERROR(ROUNDUP(_xlfn.XLOOKUP(A292,'Budget FY26-28'!A:A,'Budget FY26-28'!M:O)*(1+Summary!$C$2), -2), "")</f>
        <v/>
      </c>
      <c r="R292" s="88" t="n">
        <v>2800</v>
      </c>
      <c r="S292" s="88" t="n">
        <v>2800</v>
      </c>
      <c r="T292" s="67" t="inlineStr">
        <is>
          <t>Ready</t>
        </is>
      </c>
      <c r="U292" s="71" t="n"/>
      <c r="V292" s="84" t="inlineStr">
        <is>
          <t>Not found</t>
        </is>
      </c>
      <c r="W292" s="84" t="inlineStr"/>
      <c r="X292" s="84" t="inlineStr"/>
      <c r="Y292" s="84" t="inlineStr"/>
      <c r="Z292" s="84" t="inlineStr"/>
      <c r="AA292" s="84" t="inlineStr"/>
      <c r="AB292" s="84" t="inlineStr"/>
      <c r="AC292" s="84" t="inlineStr">
        <is>
          <t>No Envizi account ends in this Connection ID</t>
        </is>
      </c>
      <c r="AD292" s="85" t="inlineStr"/>
      <c r="AE292" s="85" t="inlineStr"/>
    </row>
    <row r="293" customFormat="1" s="72">
      <c r="A293" s="66" t="inlineStr">
        <is>
          <t>1001151491CK976</t>
        </is>
      </c>
      <c r="B293" s="67" t="inlineStr">
        <is>
          <t>Electricity</t>
        </is>
      </c>
      <c r="C293" s="67" t="inlineStr">
        <is>
          <t>New Zealand</t>
        </is>
      </c>
      <c r="D293" s="67" t="inlineStr">
        <is>
          <t>North Island</t>
        </is>
      </c>
      <c r="E293" s="67" t="inlineStr">
        <is>
          <t>NZ NTOU Electricity</t>
        </is>
      </c>
      <c r="F293" s="67" t="n"/>
      <c r="G293" s="67" t="inlineStr">
        <is>
          <t>2 John Seddon Drive,Elsdon,Porirua,Wellington Region</t>
        </is>
      </c>
      <c r="H293" s="67" t="inlineStr">
        <is>
          <t>DOWNER NEW ZEALAND LIMITED (NZBN: 9429039194114)</t>
        </is>
      </c>
      <c r="I293" s="67" t="n"/>
      <c r="J293" s="67" t="inlineStr">
        <is>
          <t>kWh</t>
        </is>
      </c>
      <c r="K293" s="86" t="n">
        <v>121515.6619385343</v>
      </c>
      <c r="L293" s="67" t="inlineStr">
        <is>
          <t>Meridian</t>
        </is>
      </c>
      <c r="M293" s="87" t="inlineStr">
        <is>
          <t>Ecotricity</t>
        </is>
      </c>
      <c r="N293" s="87" t="n">
        <v>46388</v>
      </c>
      <c r="O293" s="87" t="n">
        <v>47483</v>
      </c>
      <c r="P293" s="67" t="inlineStr">
        <is>
          <t>36 months</t>
        </is>
      </c>
      <c r="Q293" s="88">
        <f t="array" ref="Q293:S293">IFERROR(ROUNDUP(_xlfn.XLOOKUP(A293,'Budget FY26-28'!A:A,'Budget FY26-28'!M:O)*(1+Summary!$C$2), -2), "")</f>
        <v/>
      </c>
      <c r="R293" s="88" t="n">
        <v>37100</v>
      </c>
      <c r="S293" s="88" t="n">
        <v>37100</v>
      </c>
      <c r="T293" s="67" t="inlineStr">
        <is>
          <t>Ready</t>
        </is>
      </c>
      <c r="U293" s="71" t="n"/>
      <c r="V293" s="84" t="inlineStr">
        <is>
          <t>5070_ICP_1001151491CK976</t>
        </is>
      </c>
      <c r="W293" s="84" t="inlineStr">
        <is>
          <t>Electricity – purchased from grid [kWh]</t>
        </is>
      </c>
      <c r="X293" s="84" t="inlineStr">
        <is>
          <t>Electricity [kWh]</t>
        </is>
      </c>
      <c r="Y293" s="84" t="inlineStr">
        <is>
          <t>Downer</t>
        </is>
      </c>
      <c r="Z293" s="84" t="inlineStr">
        <is>
          <t>_CLOSED_Depot_T_Wellington</t>
        </is>
      </c>
      <c r="AA293" s="84" t="inlineStr">
        <is>
          <t>5070</t>
        </is>
      </c>
      <c r="AB293" s="84" t="inlineStr">
        <is>
          <t>Replaced 30 Jun 2022</t>
        </is>
      </c>
      <c r="AC293" s="84" t="inlineStr">
        <is>
          <t>Connection ID is the account number suffix</t>
        </is>
      </c>
      <c r="AD293" s="85" t="inlineStr">
        <is>
          <t>55602_ICP_1001151491CK976</t>
        </is>
      </c>
      <c r="AE293" s="85" t="inlineStr"/>
    </row>
    <row r="294" customFormat="1" s="72">
      <c r="A294" s="66" t="inlineStr">
        <is>
          <t>1001245025LCA73</t>
        </is>
      </c>
      <c r="B294" s="67" t="inlineStr">
        <is>
          <t>Electricity</t>
        </is>
      </c>
      <c r="C294" s="67" t="inlineStr">
        <is>
          <t>New Zealand</t>
        </is>
      </c>
      <c r="D294" s="67" t="inlineStr">
        <is>
          <t>North Island</t>
        </is>
      </c>
      <c r="E294" s="67" t="inlineStr">
        <is>
          <t>NZ NTOU Electricity</t>
        </is>
      </c>
      <c r="F294" s="67" t="n"/>
      <c r="G294" s="67" t="inlineStr">
        <is>
          <t>39 Miami Parade,Onehunga,Auckland,Auckland Region</t>
        </is>
      </c>
      <c r="H294" s="67" t="inlineStr">
        <is>
          <t>DOWNER NEW ZEALAND LIMITED (NZBN: 9429039194114)</t>
        </is>
      </c>
      <c r="I294" s="67" t="n"/>
      <c r="J294" s="67" t="inlineStr">
        <is>
          <t>kWh</t>
        </is>
      </c>
      <c r="K294" s="86" t="n">
        <v>19466.66666666667</v>
      </c>
      <c r="L294" s="67" t="inlineStr">
        <is>
          <t>Meridian</t>
        </is>
      </c>
      <c r="M294" s="87" t="inlineStr">
        <is>
          <t>Ecotricity</t>
        </is>
      </c>
      <c r="N294" s="87" t="n">
        <v>46388</v>
      </c>
      <c r="O294" s="87" t="n">
        <v>47483</v>
      </c>
      <c r="P294" s="67" t="inlineStr">
        <is>
          <t>36 months</t>
        </is>
      </c>
      <c r="Q294" s="88">
        <f t="array" ref="Q294:S294">IFERROR(ROUNDUP(_xlfn.XLOOKUP(A294,'Budget FY26-28'!A:A,'Budget FY26-28'!M:O)*(1+Summary!$C$2), -2), "")</f>
        <v/>
      </c>
      <c r="R294" s="88" t="n">
        <v>5500</v>
      </c>
      <c r="S294" s="88" t="n">
        <v>5500</v>
      </c>
      <c r="T294" s="67" t="inlineStr">
        <is>
          <t>Ready</t>
        </is>
      </c>
      <c r="U294" s="71" t="n"/>
      <c r="V294" s="84" t="inlineStr">
        <is>
          <t>3202_ICP_1001245025LCA73</t>
        </is>
      </c>
      <c r="W294" s="84" t="inlineStr">
        <is>
          <t>Electricity – purchased from grid [kWh]</t>
        </is>
      </c>
      <c r="X294" s="84" t="inlineStr">
        <is>
          <t>Electricity [kWh]</t>
        </is>
      </c>
      <c r="Y294" s="84" t="inlineStr">
        <is>
          <t>Downer</t>
        </is>
      </c>
      <c r="Z294" s="84" t="inlineStr">
        <is>
          <t>Green Vision Recycling Product</t>
        </is>
      </c>
      <c r="AA294" s="84" t="inlineStr">
        <is>
          <t>3202</t>
        </is>
      </c>
      <c r="AB294" s="84" t="inlineStr">
        <is>
          <t>Replaced 31 May 2023</t>
        </is>
      </c>
      <c r="AC294" s="84" t="inlineStr">
        <is>
          <t>Connection ID is the account number suffix</t>
        </is>
      </c>
      <c r="AD294" s="85" t="inlineStr">
        <is>
          <t>5073_ICP_1001245025LCA73</t>
        </is>
      </c>
      <c r="AE294" s="85" t="inlineStr"/>
    </row>
    <row r="295" customFormat="1" s="72">
      <c r="A295" s="66" t="inlineStr">
        <is>
          <t>1001280356UN969</t>
        </is>
      </c>
      <c r="B295" s="67" t="inlineStr">
        <is>
          <t>Electricity</t>
        </is>
      </c>
      <c r="C295" s="67" t="inlineStr">
        <is>
          <t>New Zealand</t>
        </is>
      </c>
      <c r="D295" s="67" t="inlineStr">
        <is>
          <t>North Island</t>
        </is>
      </c>
      <c r="E295" s="67" t="inlineStr">
        <is>
          <t>NZ NTOU Electricity</t>
        </is>
      </c>
      <c r="F295" s="67" t="n"/>
      <c r="G295" s="67" t="inlineStr">
        <is>
          <t>2B-1 3 William Pickering Drive,Rosedale,Auckland</t>
        </is>
      </c>
      <c r="H295" s="67" t="inlineStr">
        <is>
          <t>DOWNER NEW ZEALAND LIMITED (NZBN: 9429039194114)</t>
        </is>
      </c>
      <c r="I295" s="67" t="n"/>
      <c r="J295" s="67" t="inlineStr">
        <is>
          <t>kWh</t>
        </is>
      </c>
      <c r="K295" s="86" t="n">
        <v>21037.1158392435</v>
      </c>
      <c r="L295" s="67" t="inlineStr">
        <is>
          <t>Meridian</t>
        </is>
      </c>
      <c r="M295" s="87" t="inlineStr">
        <is>
          <t>Ecotricity</t>
        </is>
      </c>
      <c r="N295" s="87" t="n">
        <v>46388</v>
      </c>
      <c r="O295" s="87" t="n">
        <v>47483</v>
      </c>
      <c r="P295" s="67" t="inlineStr">
        <is>
          <t>36 months</t>
        </is>
      </c>
      <c r="Q295" s="88">
        <f t="array" ref="Q295:S295">IFERROR(ROUNDUP(_xlfn.XLOOKUP(A295,'Budget FY26-28'!A:A,'Budget FY26-28'!M:O)*(1+Summary!$C$2), -2), "")</f>
        <v/>
      </c>
      <c r="R295" s="88" t="n">
        <v>5900</v>
      </c>
      <c r="S295" s="88" t="n">
        <v>5900</v>
      </c>
      <c r="T295" s="67" t="inlineStr">
        <is>
          <t>Ready</t>
        </is>
      </c>
      <c r="U295" s="71" t="n"/>
      <c r="V295" s="84" t="inlineStr">
        <is>
          <t>5166_ICP_1001280356UN969</t>
        </is>
      </c>
      <c r="W295" s="84" t="inlineStr">
        <is>
          <t>Electricity – purchased from grid [kWh]</t>
        </is>
      </c>
      <c r="X295" s="84" t="inlineStr">
        <is>
          <t>Electricity [kWh]</t>
        </is>
      </c>
      <c r="Y295" s="84" t="inlineStr">
        <is>
          <t>Downer</t>
        </is>
      </c>
      <c r="Z295" s="84" t="inlineStr">
        <is>
          <t>_CLOSED_Depot_T_Util_Water_Albany</t>
        </is>
      </c>
      <c r="AA295" s="84" t="inlineStr">
        <is>
          <t>5166</t>
        </is>
      </c>
      <c r="AB295" s="84" t="inlineStr">
        <is>
          <t>Replaced 30 Jun 2022</t>
        </is>
      </c>
      <c r="AC295" s="84" t="inlineStr">
        <is>
          <t>Connection ID is the account number suffix</t>
        </is>
      </c>
      <c r="AD295" s="85" t="inlineStr">
        <is>
          <t>55535_ICP_1001280356UN969</t>
        </is>
      </c>
      <c r="AE295" s="85" t="inlineStr"/>
    </row>
    <row r="296" customFormat="1" s="72">
      <c r="A296" s="66" t="inlineStr">
        <is>
          <t>1001280900LC0F0</t>
        </is>
      </c>
      <c r="B296" s="67" t="inlineStr">
        <is>
          <t>Electricity</t>
        </is>
      </c>
      <c r="C296" s="67" t="inlineStr">
        <is>
          <t>New Zealand</t>
        </is>
      </c>
      <c r="D296" s="67" t="inlineStr">
        <is>
          <t>North Island</t>
        </is>
      </c>
      <c r="E296" s="67" t="inlineStr">
        <is>
          <t>NZ NTOU Electricity</t>
        </is>
      </c>
      <c r="F296" s="67" t="n"/>
      <c r="G296" s="67" t="inlineStr">
        <is>
          <t>643 Great South Road,Penrose,Auckland,Auckland Region</t>
        </is>
      </c>
      <c r="H296" s="67" t="inlineStr">
        <is>
          <t>DOWNER NEW ZEALAND LIMITED (NZBN: 9429039194114)</t>
        </is>
      </c>
      <c r="I296" s="67" t="n"/>
      <c r="J296" s="67" t="inlineStr">
        <is>
          <t>kWh</t>
        </is>
      </c>
      <c r="K296" s="86" t="n">
        <v>41757.55319148936</v>
      </c>
      <c r="L296" s="67" t="inlineStr">
        <is>
          <t>Meridian</t>
        </is>
      </c>
      <c r="M296" s="87" t="inlineStr">
        <is>
          <t>Ecotricity</t>
        </is>
      </c>
      <c r="N296" s="87" t="n">
        <v>46388</v>
      </c>
      <c r="O296" s="87" t="n">
        <v>47483</v>
      </c>
      <c r="P296" s="67" t="inlineStr">
        <is>
          <t>36 months</t>
        </is>
      </c>
      <c r="Q296" s="88">
        <f t="array" ref="Q296:S296">IFERROR(ROUNDUP(_xlfn.XLOOKUP(A296,'Budget FY26-28'!A:A,'Budget FY26-28'!M:O)*(1+Summary!$C$2), -2), "")</f>
        <v/>
      </c>
      <c r="R296" s="88" t="n">
        <v>10200</v>
      </c>
      <c r="S296" s="88" t="n">
        <v>10200</v>
      </c>
      <c r="T296" s="67" t="inlineStr">
        <is>
          <t>Ready</t>
        </is>
      </c>
      <c r="U296" s="71" t="n"/>
      <c r="V296" s="84" t="inlineStr">
        <is>
          <t>5049_ICP_1001280900LC0F0</t>
        </is>
      </c>
      <c r="W296" s="84" t="inlineStr">
        <is>
          <t>Electricity – purchased from grid [kWh]</t>
        </is>
      </c>
      <c r="X296" s="84" t="inlineStr">
        <is>
          <t>Electricity [kWh]</t>
        </is>
      </c>
      <c r="Y296" s="84" t="inlineStr">
        <is>
          <t>Downer</t>
        </is>
      </c>
      <c r="Z296" s="84" t="inlineStr">
        <is>
          <t>_CLOSED_Depot_T_Penrose</t>
        </is>
      </c>
      <c r="AA296" s="84" t="inlineStr">
        <is>
          <t>5049</t>
        </is>
      </c>
      <c r="AB296" s="84" t="inlineStr">
        <is>
          <t>Replaced 30 Jun 2022</t>
        </is>
      </c>
      <c r="AC296" s="84" t="inlineStr">
        <is>
          <t>Connection ID is the account number suffix</t>
        </is>
      </c>
      <c r="AD296" s="85" t="inlineStr">
        <is>
          <t>55530_ICP_1001280900LC0F0</t>
        </is>
      </c>
      <c r="AE296" s="85" t="inlineStr"/>
    </row>
    <row r="297" customFormat="1" s="72">
      <c r="A297" s="66" t="inlineStr">
        <is>
          <t>Greenfield</t>
        </is>
      </c>
      <c r="B297" s="67" t="inlineStr">
        <is>
          <t>Electricity</t>
        </is>
      </c>
      <c r="C297" s="67" t="inlineStr">
        <is>
          <t>New Zealand</t>
        </is>
      </c>
      <c r="D297" s="67" t="inlineStr">
        <is>
          <t>South Island</t>
        </is>
      </c>
      <c r="E297" s="67" t="inlineStr">
        <is>
          <t>NZ NTOU Electricity</t>
        </is>
      </c>
      <c r="F297" s="67" t="n"/>
      <c r="G297" s="67" t="inlineStr">
        <is>
          <t>264 Lees Road,Kaiapoi,Canterbury Region</t>
        </is>
      </c>
      <c r="H297" s="67" t="inlineStr">
        <is>
          <t>DOWNER NEW ZEALAND LIMITED (NZBN: 9429039194114)</t>
        </is>
      </c>
      <c r="I297" s="67" t="n"/>
      <c r="J297" s="67" t="inlineStr">
        <is>
          <t>kWh</t>
        </is>
      </c>
      <c r="K297" s="86" t="n">
        <v>0</v>
      </c>
      <c r="L297" s="67" t="inlineStr">
        <is>
          <t>Meridian</t>
        </is>
      </c>
      <c r="M297" s="87" t="inlineStr">
        <is>
          <t>Ecotricity</t>
        </is>
      </c>
      <c r="N297" s="87" t="n">
        <v>46388</v>
      </c>
      <c r="O297" s="87" t="n">
        <v>47483</v>
      </c>
      <c r="P297" s="67" t="inlineStr">
        <is>
          <t>36 months</t>
        </is>
      </c>
      <c r="Q297" s="88">
        <f t="array" ref="Q297:S297">IFERROR(ROUNDUP(_xlfn.XLOOKUP(A297,'Budget FY26-28'!A:A,'Budget FY26-28'!M:O)*(1+Summary!$C$2), -2), "")</f>
        <v/>
      </c>
      <c r="R297" s="88" t="n">
        <v>0</v>
      </c>
      <c r="S297" s="88" t="n">
        <v>0</v>
      </c>
      <c r="T297" s="67" t="inlineStr">
        <is>
          <t>Review required</t>
        </is>
      </c>
      <c r="U297" s="71" t="n"/>
      <c r="V297" s="84" t="inlineStr">
        <is>
          <t>Not found</t>
        </is>
      </c>
      <c r="W297" s="84" t="inlineStr"/>
      <c r="X297" s="84" t="inlineStr"/>
      <c r="Y297" s="84" t="inlineStr"/>
      <c r="Z297" s="84" t="inlineStr"/>
      <c r="AA297" s="84" t="inlineStr"/>
      <c r="AB297" s="84" t="inlineStr"/>
      <c r="AC297" s="84" t="inlineStr">
        <is>
          <t>No Envizi account ends in this Connection ID</t>
        </is>
      </c>
      <c r="AD297" s="85" t="inlineStr"/>
      <c r="AE297" s="85" t="inlineStr"/>
    </row>
    <row r="298">
      <c r="A298" s="49" t="inlineStr">
        <is>
          <t>0001002400PGD55</t>
        </is>
      </c>
      <c r="B298" s="50" t="inlineStr">
        <is>
          <t>Natural Gas</t>
        </is>
      </c>
      <c r="C298" s="50" t="inlineStr">
        <is>
          <t>New Zealand</t>
        </is>
      </c>
      <c r="D298" s="50" t="inlineStr">
        <is>
          <t>North Island</t>
        </is>
      </c>
      <c r="E298" s="50" t="inlineStr">
        <is>
          <t>NZ NTOU Natural Gas</t>
        </is>
      </c>
      <c r="F298" s="50" t="n"/>
      <c r="G298" s="50" t="inlineStr">
        <is>
          <t>2 75 Hine Street Rear Unit  New Plymouth</t>
        </is>
      </c>
      <c r="H298" s="50" t="inlineStr">
        <is>
          <t>DOWNER NEW ZEALAND LIMITED (NZBN: 9429039194114)</t>
        </is>
      </c>
      <c r="I298" s="50" t="n"/>
      <c r="J298" s="50" t="inlineStr">
        <is>
          <t>kWh</t>
        </is>
      </c>
      <c r="K298" s="81" t="n">
        <v>8000</v>
      </c>
      <c r="L298" s="50" t="inlineStr">
        <is>
          <t>Nova Energy</t>
        </is>
      </c>
      <c r="M298" s="82" t="inlineStr">
        <is>
          <t>Nova</t>
        </is>
      </c>
      <c r="N298" s="82" t="n">
        <v>46296</v>
      </c>
      <c r="O298" s="82" t="n">
        <v>47756</v>
      </c>
      <c r="P298" s="50" t="inlineStr">
        <is>
          <t>Fixed to 30-Sep-2030</t>
        </is>
      </c>
      <c r="Q298" s="83">
        <f t="array" ref="Q298:S298">IFERROR(ROUNDUP(_xlfn.XLOOKUP(A298,'Budget FY26-28'!A:A,'Budget FY26-28'!M:O)*(1+Summary!$C$2), -2), "")</f>
        <v/>
      </c>
      <c r="R298" s="83" t="n">
        <v>2400</v>
      </c>
      <c r="S298" s="83" t="n">
        <v>2400</v>
      </c>
      <c r="T298" s="50" t="inlineStr">
        <is>
          <t>Ready</t>
        </is>
      </c>
      <c r="U298" s="54" t="n"/>
      <c r="V298" s="84" t="inlineStr">
        <is>
          <t>Not found</t>
        </is>
      </c>
      <c r="W298" s="84" t="inlineStr"/>
      <c r="X298" s="84" t="inlineStr"/>
      <c r="Y298" s="84" t="inlineStr"/>
      <c r="Z298" s="84" t="inlineStr"/>
      <c r="AA298" s="84" t="inlineStr"/>
      <c r="AB298" s="84" t="inlineStr"/>
      <c r="AC298" s="84" t="inlineStr">
        <is>
          <t>No Envizi account ends in this Connection ID</t>
        </is>
      </c>
      <c r="AD298" s="85" t="inlineStr"/>
      <c r="AE298" s="85" t="inlineStr"/>
    </row>
    <row r="299">
      <c r="A299" s="49" t="inlineStr">
        <is>
          <t>0001700321PG50C</t>
        </is>
      </c>
      <c r="B299" s="50" t="inlineStr">
        <is>
          <t>Natural Gas</t>
        </is>
      </c>
      <c r="C299" s="50" t="inlineStr">
        <is>
          <t>New Zealand</t>
        </is>
      </c>
      <c r="D299" s="50" t="inlineStr">
        <is>
          <t>North Island</t>
        </is>
      </c>
      <c r="E299" s="50" t="inlineStr">
        <is>
          <t>NZ NTOU Natural Gas</t>
        </is>
      </c>
      <c r="F299" s="50" t="n"/>
      <c r="G299" s="50" t="inlineStr">
        <is>
          <t>2 Eliot Street  New Plymouth Central New Plymouth</t>
        </is>
      </c>
      <c r="H299" s="50" t="inlineStr">
        <is>
          <t>DOWNER NEW ZEALAND LIMITED (NZBN: 9429039194114)</t>
        </is>
      </c>
      <c r="I299" s="50" t="n"/>
      <c r="J299" s="50" t="inlineStr">
        <is>
          <t>kWh</t>
        </is>
      </c>
      <c r="K299" s="81" t="n">
        <v>4000</v>
      </c>
      <c r="L299" s="50" t="inlineStr">
        <is>
          <t>Nova Energy</t>
        </is>
      </c>
      <c r="M299" s="82" t="inlineStr">
        <is>
          <t>Nova</t>
        </is>
      </c>
      <c r="N299" s="82" t="n">
        <v>46296</v>
      </c>
      <c r="O299" s="82" t="n">
        <v>47756</v>
      </c>
      <c r="P299" s="50" t="inlineStr">
        <is>
          <t>Fixed to 30-Sep-2030</t>
        </is>
      </c>
      <c r="Q299" s="83">
        <f t="array" ref="Q299:S299">IFERROR(ROUNDUP(_xlfn.XLOOKUP(A299,'Budget FY26-28'!A:A,'Budget FY26-28'!M:O)*(1+Summary!$C$2), -2), "")</f>
        <v/>
      </c>
      <c r="R299" s="83" t="n">
        <v>1500</v>
      </c>
      <c r="S299" s="83" t="n">
        <v>1500</v>
      </c>
      <c r="T299" s="50" t="inlineStr">
        <is>
          <t>Ready</t>
        </is>
      </c>
      <c r="U299" s="54" t="n"/>
      <c r="V299" s="84" t="inlineStr">
        <is>
          <t>Not found</t>
        </is>
      </c>
      <c r="W299" s="84" t="inlineStr"/>
      <c r="X299" s="84" t="inlineStr"/>
      <c r="Y299" s="84" t="inlineStr"/>
      <c r="Z299" s="84" t="inlineStr"/>
      <c r="AA299" s="84" t="inlineStr"/>
      <c r="AB299" s="84" t="inlineStr"/>
      <c r="AC299" s="84" t="inlineStr">
        <is>
          <t>No Envizi account ends in this Connection ID</t>
        </is>
      </c>
      <c r="AD299" s="85" t="inlineStr"/>
      <c r="AE299" s="85" t="inlineStr"/>
    </row>
    <row r="300">
      <c r="A300" s="49" t="inlineStr">
        <is>
          <t>0001702030PG3A7</t>
        </is>
      </c>
      <c r="B300" s="50" t="inlineStr">
        <is>
          <t>Natural Gas</t>
        </is>
      </c>
      <c r="C300" s="50" t="inlineStr">
        <is>
          <t>New Zealand</t>
        </is>
      </c>
      <c r="D300" s="50" t="inlineStr">
        <is>
          <t>North Island</t>
        </is>
      </c>
      <c r="E300" s="50" t="inlineStr">
        <is>
          <t>NZ NTOU Natural Gas</t>
        </is>
      </c>
      <c r="F300" s="50" t="n"/>
      <c r="G300" s="50" t="inlineStr">
        <is>
          <t>13 Hobson Street   New Plymouth</t>
        </is>
      </c>
      <c r="H300" s="50" t="inlineStr">
        <is>
          <t>DOWNER NEW ZEALAND LIMITED (NZBN: 9429039194114)</t>
        </is>
      </c>
      <c r="I300" s="50" t="n"/>
      <c r="J300" s="50" t="inlineStr">
        <is>
          <t>kWh</t>
        </is>
      </c>
      <c r="K300" s="81" t="n">
        <v>8000</v>
      </c>
      <c r="L300" s="50" t="inlineStr">
        <is>
          <t>Nova Energy</t>
        </is>
      </c>
      <c r="M300" s="82" t="inlineStr">
        <is>
          <t>Nova</t>
        </is>
      </c>
      <c r="N300" s="82" t="n">
        <v>46296</v>
      </c>
      <c r="O300" s="82" t="n">
        <v>47756</v>
      </c>
      <c r="P300" s="50" t="inlineStr">
        <is>
          <t>Fixed to 30-Sep-2030</t>
        </is>
      </c>
      <c r="Q300" s="83">
        <f t="array" ref="Q300:S300">IFERROR(ROUNDUP(_xlfn.XLOOKUP(A300,'Budget FY26-28'!A:A,'Budget FY26-28'!M:O)*(1+Summary!$C$2), -2), "")</f>
        <v/>
      </c>
      <c r="R300" s="83" t="n">
        <v>2400</v>
      </c>
      <c r="S300" s="83" t="n">
        <v>2400</v>
      </c>
      <c r="T300" s="50" t="inlineStr">
        <is>
          <t>Ready</t>
        </is>
      </c>
      <c r="U300" s="54" t="n"/>
      <c r="V300" s="84" t="inlineStr">
        <is>
          <t>Not found</t>
        </is>
      </c>
      <c r="W300" s="84" t="inlineStr"/>
      <c r="X300" s="84" t="inlineStr"/>
      <c r="Y300" s="84" t="inlineStr"/>
      <c r="Z300" s="84" t="inlineStr"/>
      <c r="AA300" s="84" t="inlineStr"/>
      <c r="AB300" s="84" t="inlineStr"/>
      <c r="AC300" s="84" t="inlineStr">
        <is>
          <t>No Envizi account ends in this Connection ID</t>
        </is>
      </c>
      <c r="AD300" s="85" t="inlineStr"/>
      <c r="AE300" s="85" t="inlineStr"/>
    </row>
    <row r="301">
      <c r="A301" s="49" t="inlineStr">
        <is>
          <t>0004212495NG7EE</t>
        </is>
      </c>
      <c r="B301" s="50" t="inlineStr">
        <is>
          <t>Natural Gas</t>
        </is>
      </c>
      <c r="C301" s="50" t="inlineStr">
        <is>
          <t>New Zealand</t>
        </is>
      </c>
      <c r="D301" s="50" t="inlineStr">
        <is>
          <t>North Island</t>
        </is>
      </c>
      <c r="E301" s="50" t="inlineStr">
        <is>
          <t>NZ NTOU Natural Gas</t>
        </is>
      </c>
      <c r="F301" s="50" t="n"/>
      <c r="G301" s="50" t="inlineStr">
        <is>
          <t>1 69 Hutt Road  Petone Lower Hutt</t>
        </is>
      </c>
      <c r="H301" s="50" t="inlineStr">
        <is>
          <t>DOWNER NEW ZEALAND LIMITED (NZBN: 9429039194114)</t>
        </is>
      </c>
      <c r="I301" s="50" t="n"/>
      <c r="J301" s="50" t="inlineStr">
        <is>
          <t>kWh</t>
        </is>
      </c>
      <c r="K301" s="81" t="n">
        <v>3000</v>
      </c>
      <c r="L301" s="50" t="inlineStr">
        <is>
          <t>Nova Energy</t>
        </is>
      </c>
      <c r="M301" s="82" t="inlineStr">
        <is>
          <t>Nova</t>
        </is>
      </c>
      <c r="N301" s="82" t="n">
        <v>46296</v>
      </c>
      <c r="O301" s="82" t="n">
        <v>47756</v>
      </c>
      <c r="P301" s="50" t="inlineStr">
        <is>
          <t>Fixed to 30-Sep-2030</t>
        </is>
      </c>
      <c r="Q301" s="83">
        <f t="array" ref="Q301:S301">IFERROR(ROUNDUP(_xlfn.XLOOKUP(A301,'Budget FY26-28'!A:A,'Budget FY26-28'!M:O)*(1+Summary!$C$2), -2), "")</f>
        <v/>
      </c>
      <c r="R301" s="83" t="n">
        <v>1200</v>
      </c>
      <c r="S301" s="83" t="n">
        <v>1200</v>
      </c>
      <c r="T301" s="50" t="inlineStr">
        <is>
          <t>Ready</t>
        </is>
      </c>
      <c r="U301" s="54" t="n"/>
      <c r="V301" s="84" t="inlineStr">
        <is>
          <t>Not found</t>
        </is>
      </c>
      <c r="W301" s="84" t="inlineStr"/>
      <c r="X301" s="84" t="inlineStr"/>
      <c r="Y301" s="84" t="inlineStr"/>
      <c r="Z301" s="84" t="inlineStr"/>
      <c r="AA301" s="84" t="inlineStr"/>
      <c r="AB301" s="84" t="inlineStr"/>
      <c r="AC301" s="84" t="inlineStr">
        <is>
          <t>No Envizi account ends in this Connection ID</t>
        </is>
      </c>
      <c r="AD301" s="85" t="inlineStr"/>
      <c r="AE301" s="85" t="inlineStr"/>
    </row>
    <row r="302">
      <c r="A302" s="49" t="inlineStr">
        <is>
          <t>0004212498NG8B5</t>
        </is>
      </c>
      <c r="B302" s="50" t="inlineStr">
        <is>
          <t>Natural Gas</t>
        </is>
      </c>
      <c r="C302" s="50" t="inlineStr">
        <is>
          <t>New Zealand</t>
        </is>
      </c>
      <c r="D302" s="50" t="inlineStr">
        <is>
          <t>North Island</t>
        </is>
      </c>
      <c r="E302" s="50" t="inlineStr">
        <is>
          <t>NZ NTOU Natural Gas</t>
        </is>
      </c>
      <c r="F302" s="50" t="n"/>
      <c r="G302" s="50" t="inlineStr">
        <is>
          <t>3 69 Hutt Road  Petone Lower Hutt</t>
        </is>
      </c>
      <c r="H302" s="50" t="inlineStr">
        <is>
          <t>DOWNER NEW ZEALAND LIMITED (NZBN: 9429039194114)</t>
        </is>
      </c>
      <c r="I302" s="50" t="n"/>
      <c r="J302" s="50" t="inlineStr">
        <is>
          <t>kWh</t>
        </is>
      </c>
      <c r="K302" s="81" t="n">
        <v>3000</v>
      </c>
      <c r="L302" s="50" t="inlineStr">
        <is>
          <t>Nova Energy</t>
        </is>
      </c>
      <c r="M302" s="82" t="inlineStr">
        <is>
          <t>Nova</t>
        </is>
      </c>
      <c r="N302" s="82" t="n">
        <v>46296</v>
      </c>
      <c r="O302" s="82" t="n">
        <v>47756</v>
      </c>
      <c r="P302" s="50" t="inlineStr">
        <is>
          <t>Fixed to 30-Sep-2030</t>
        </is>
      </c>
      <c r="Q302" s="83">
        <f t="array" ref="Q302:S302">IFERROR(ROUNDUP(_xlfn.XLOOKUP(A302,'Budget FY26-28'!A:A,'Budget FY26-28'!M:O)*(1+Summary!$C$2), -2), "")</f>
        <v/>
      </c>
      <c r="R302" s="83" t="n">
        <v>1400</v>
      </c>
      <c r="S302" s="83" t="n">
        <v>1400</v>
      </c>
      <c r="T302" s="50" t="inlineStr">
        <is>
          <t>Ready</t>
        </is>
      </c>
      <c r="U302" s="54" t="n"/>
      <c r="V302" s="84" t="inlineStr">
        <is>
          <t>Not found</t>
        </is>
      </c>
      <c r="W302" s="84" t="inlineStr"/>
      <c r="X302" s="84" t="inlineStr"/>
      <c r="Y302" s="84" t="inlineStr"/>
      <c r="Z302" s="84" t="inlineStr"/>
      <c r="AA302" s="84" t="inlineStr"/>
      <c r="AB302" s="84" t="inlineStr"/>
      <c r="AC302" s="84" t="inlineStr">
        <is>
          <t>No Envizi account ends in this Connection ID</t>
        </is>
      </c>
      <c r="AD302" s="85" t="inlineStr"/>
      <c r="AE302" s="85" t="inlineStr"/>
    </row>
    <row r="303">
      <c r="A303" s="49" t="inlineStr">
        <is>
          <t>0011001339PGB95</t>
        </is>
      </c>
      <c r="B303" s="50" t="inlineStr">
        <is>
          <t>Natural Gas</t>
        </is>
      </c>
      <c r="C303" s="50" t="inlineStr">
        <is>
          <t>New Zealand</t>
        </is>
      </c>
      <c r="D303" s="50" t="inlineStr">
        <is>
          <t>North Island</t>
        </is>
      </c>
      <c r="E303" s="50" t="inlineStr">
        <is>
          <t>NZ NTOU Natural Gas</t>
        </is>
      </c>
      <c r="F303" s="50" t="n"/>
      <c r="G303" s="50" t="inlineStr">
        <is>
          <t>44B Victoria Road   New Plymouth</t>
        </is>
      </c>
      <c r="H303" s="50" t="inlineStr">
        <is>
          <t>DOWNER NEW ZEALAND LIMITED (NZBN: 9429039194114)</t>
        </is>
      </c>
      <c r="I303" s="50" t="n"/>
      <c r="J303" s="50" t="inlineStr">
        <is>
          <t>kWh</t>
        </is>
      </c>
      <c r="K303" s="81" t="n">
        <v>7000</v>
      </c>
      <c r="L303" s="50" t="inlineStr">
        <is>
          <t>Nova Energy</t>
        </is>
      </c>
      <c r="M303" s="82" t="inlineStr">
        <is>
          <t>Nova</t>
        </is>
      </c>
      <c r="N303" s="82" t="n">
        <v>46296</v>
      </c>
      <c r="O303" s="82" t="n">
        <v>47756</v>
      </c>
      <c r="P303" s="50" t="inlineStr">
        <is>
          <t>Fixed to 30-Sep-2030</t>
        </is>
      </c>
      <c r="Q303" s="83">
        <f t="array" ref="Q303:S303">IFERROR(ROUNDUP(_xlfn.XLOOKUP(A303,'Budget FY26-28'!A:A,'Budget FY26-28'!M:O)*(1+Summary!$C$2), -2), "")</f>
        <v/>
      </c>
      <c r="R303" s="83" t="n">
        <v>2100</v>
      </c>
      <c r="S303" s="83" t="n">
        <v>2100</v>
      </c>
      <c r="T303" s="50" t="inlineStr">
        <is>
          <t>Ready</t>
        </is>
      </c>
      <c r="U303" s="54" t="n"/>
      <c r="V303" s="84" t="inlineStr">
        <is>
          <t>Not found</t>
        </is>
      </c>
      <c r="W303" s="84" t="inlineStr"/>
      <c r="X303" s="84" t="inlineStr"/>
      <c r="Y303" s="84" t="inlineStr"/>
      <c r="Z303" s="84" t="inlineStr"/>
      <c r="AA303" s="84" t="inlineStr"/>
      <c r="AB303" s="84" t="inlineStr"/>
      <c r="AC303" s="84" t="inlineStr">
        <is>
          <t>No Envizi account ends in this Connection ID</t>
        </is>
      </c>
      <c r="AD303" s="85" t="inlineStr"/>
      <c r="AE303" s="85" t="inlineStr"/>
    </row>
    <row r="304">
      <c r="A304" s="49" t="inlineStr">
        <is>
          <t>0011002529PG5DE</t>
        </is>
      </c>
      <c r="B304" s="50" t="inlineStr">
        <is>
          <t>Natural Gas</t>
        </is>
      </c>
      <c r="C304" s="50" t="inlineStr">
        <is>
          <t>New Zealand</t>
        </is>
      </c>
      <c r="D304" s="50" t="inlineStr">
        <is>
          <t>North Island</t>
        </is>
      </c>
      <c r="E304" s="50" t="inlineStr">
        <is>
          <t>NZ NTOU Natural Gas</t>
        </is>
      </c>
      <c r="F304" s="50" t="n"/>
      <c r="G304" s="50" t="inlineStr">
        <is>
          <t>149 Vivian Street  New Plymouth Central New Plymouth</t>
        </is>
      </c>
      <c r="H304" s="50" t="inlineStr">
        <is>
          <t>DOWNER NEW ZEALAND LIMITED (NZBN: 9429039194114)</t>
        </is>
      </c>
      <c r="I304" s="50" t="n"/>
      <c r="J304" s="50" t="inlineStr">
        <is>
          <t>kWh</t>
        </is>
      </c>
      <c r="K304" s="81" t="n">
        <v>5000</v>
      </c>
      <c r="L304" s="50" t="inlineStr">
        <is>
          <t>Nova Energy</t>
        </is>
      </c>
      <c r="M304" s="82" t="inlineStr">
        <is>
          <t>Nova</t>
        </is>
      </c>
      <c r="N304" s="82" t="n">
        <v>46296</v>
      </c>
      <c r="O304" s="82" t="n">
        <v>47756</v>
      </c>
      <c r="P304" s="50" t="inlineStr">
        <is>
          <t>Fixed to 30-Sep-2030</t>
        </is>
      </c>
      <c r="Q304" s="83">
        <f t="array" ref="Q304:S304">IFERROR(ROUNDUP(_xlfn.XLOOKUP(A304,'Budget FY26-28'!A:A,'Budget FY26-28'!M:O)*(1+Summary!$C$2), -2), "")</f>
        <v/>
      </c>
      <c r="R304" s="83" t="n">
        <v>1900</v>
      </c>
      <c r="S304" s="83" t="n">
        <v>1900</v>
      </c>
      <c r="T304" s="50" t="inlineStr">
        <is>
          <t>Ready</t>
        </is>
      </c>
      <c r="U304" s="54" t="n"/>
      <c r="V304" s="84" t="inlineStr">
        <is>
          <t>Not found</t>
        </is>
      </c>
      <c r="W304" s="84" t="inlineStr"/>
      <c r="X304" s="84" t="inlineStr"/>
      <c r="Y304" s="84" t="inlineStr"/>
      <c r="Z304" s="84" t="inlineStr"/>
      <c r="AA304" s="84" t="inlineStr"/>
      <c r="AB304" s="84" t="inlineStr"/>
      <c r="AC304" s="84" t="inlineStr">
        <is>
          <t>No Envizi account ends in this Connection ID</t>
        </is>
      </c>
      <c r="AD304" s="85" t="inlineStr"/>
      <c r="AE304" s="85" t="inlineStr"/>
    </row>
    <row r="305">
      <c r="A305" s="49" t="inlineStr">
        <is>
          <t>0042250800PG852</t>
        </is>
      </c>
      <c r="B305" s="50" t="inlineStr">
        <is>
          <t>Natural Gas</t>
        </is>
      </c>
      <c r="C305" s="50" t="inlineStr">
        <is>
          <t>New Zealand</t>
        </is>
      </c>
      <c r="D305" s="50" t="inlineStr">
        <is>
          <t>North Island</t>
        </is>
      </c>
      <c r="E305" s="50" t="inlineStr">
        <is>
          <t>NZ NTOU Natural Gas</t>
        </is>
      </c>
      <c r="F305" s="50" t="n"/>
      <c r="G305" s="50" t="inlineStr">
        <is>
          <t>34 Glover Road   Hawera</t>
        </is>
      </c>
      <c r="H305" s="50" t="inlineStr">
        <is>
          <t>DOWNER NEW ZEALAND LIMITED (NZBN: 9429039194114)</t>
        </is>
      </c>
      <c r="I305" s="50" t="n"/>
      <c r="J305" s="50" t="inlineStr">
        <is>
          <t>kWh</t>
        </is>
      </c>
      <c r="K305" s="81" t="n">
        <v>1000</v>
      </c>
      <c r="L305" s="50" t="inlineStr">
        <is>
          <t>Nova Energy</t>
        </is>
      </c>
      <c r="M305" s="82" t="inlineStr">
        <is>
          <t>Nova</t>
        </is>
      </c>
      <c r="N305" s="82" t="n">
        <v>46296</v>
      </c>
      <c r="O305" s="82" t="n">
        <v>47756</v>
      </c>
      <c r="P305" s="50" t="inlineStr">
        <is>
          <t>Fixed to 30-Sep-2030</t>
        </is>
      </c>
      <c r="Q305" s="83">
        <f t="array" ref="Q305:S305">IFERROR(ROUNDUP(_xlfn.XLOOKUP(A305,'Budget FY26-28'!A:A,'Budget FY26-28'!M:O)*(1+Summary!$C$2), -2), "")</f>
        <v/>
      </c>
      <c r="R305" s="83" t="n">
        <v>800</v>
      </c>
      <c r="S305" s="83" t="n">
        <v>800</v>
      </c>
      <c r="T305" s="50" t="inlineStr">
        <is>
          <t>Ready</t>
        </is>
      </c>
      <c r="U305" s="54" t="n"/>
      <c r="V305" s="84" t="inlineStr">
        <is>
          <t>5033_ICP_0042250800PG852</t>
        </is>
      </c>
      <c r="W305" s="84" t="inlineStr">
        <is>
          <t>Natural Gas - MJ</t>
        </is>
      </c>
      <c r="X305" s="84" t="inlineStr">
        <is>
          <t>Natural Gas [MJ]</t>
        </is>
      </c>
      <c r="Y305" s="84" t="inlineStr"/>
      <c r="Z305" s="84" t="inlineStr">
        <is>
          <t>_CLOSED_Depot_T_Hawera</t>
        </is>
      </c>
      <c r="AA305" s="84" t="inlineStr">
        <is>
          <t>5033</t>
        </is>
      </c>
      <c r="AB305" s="84" t="inlineStr">
        <is>
          <t>Replaced 30 Jun 2022</t>
        </is>
      </c>
      <c r="AC305" s="84" t="inlineStr">
        <is>
          <t>Connection ID is the account number suffix</t>
        </is>
      </c>
      <c r="AD305" s="85" t="inlineStr"/>
      <c r="AE305" s="85" t="inlineStr"/>
    </row>
    <row r="306">
      <c r="A306" s="49" t="inlineStr">
        <is>
          <t>1000516888PGF43</t>
        </is>
      </c>
      <c r="B306" s="50" t="inlineStr">
        <is>
          <t>Natural Gas</t>
        </is>
      </c>
      <c r="C306" s="50" t="inlineStr">
        <is>
          <t>New Zealand</t>
        </is>
      </c>
      <c r="D306" s="50" t="inlineStr">
        <is>
          <t>North Island</t>
        </is>
      </c>
      <c r="E306" s="50" t="inlineStr">
        <is>
          <t>NZ NTOU Natural Gas</t>
        </is>
      </c>
      <c r="F306" s="50" t="n"/>
      <c r="G306" s="50" t="inlineStr">
        <is>
          <t>1 32 Bulteel Street  New Plymouth Central New Plymouth</t>
        </is>
      </c>
      <c r="H306" s="50" t="inlineStr">
        <is>
          <t>DOWNER NEW ZEALAND LIMITED (NZBN: 9429039194114)</t>
        </is>
      </c>
      <c r="I306" s="50" t="n"/>
      <c r="J306" s="50" t="inlineStr">
        <is>
          <t>kWh</t>
        </is>
      </c>
      <c r="K306" s="81" t="n">
        <v>1000</v>
      </c>
      <c r="L306" s="50" t="inlineStr">
        <is>
          <t>Nova Energy</t>
        </is>
      </c>
      <c r="M306" s="82" t="inlineStr">
        <is>
          <t>Nova</t>
        </is>
      </c>
      <c r="N306" s="82" t="n">
        <v>46296</v>
      </c>
      <c r="O306" s="82" t="n">
        <v>47756</v>
      </c>
      <c r="P306" s="50" t="inlineStr">
        <is>
          <t>Fixed to 30-Sep-2030</t>
        </is>
      </c>
      <c r="Q306" s="83">
        <f t="array" ref="Q306:S306">IFERROR(ROUNDUP(_xlfn.XLOOKUP(A306,'Budget FY26-28'!A:A,'Budget FY26-28'!M:O)*(1+Summary!$C$2), -2), "")</f>
        <v/>
      </c>
      <c r="R306" s="83" t="n">
        <v>900</v>
      </c>
      <c r="S306" s="83" t="n">
        <v>900</v>
      </c>
      <c r="T306" s="50" t="inlineStr">
        <is>
          <t>Ready</t>
        </is>
      </c>
      <c r="U306" s="54" t="n"/>
      <c r="V306" s="84" t="inlineStr">
        <is>
          <t>Not found</t>
        </is>
      </c>
      <c r="W306" s="84" t="inlineStr"/>
      <c r="X306" s="84" t="inlineStr"/>
      <c r="Y306" s="84" t="inlineStr"/>
      <c r="Z306" s="84" t="inlineStr"/>
      <c r="AA306" s="84" t="inlineStr"/>
      <c r="AB306" s="84" t="inlineStr"/>
      <c r="AC306" s="84" t="inlineStr">
        <is>
          <t>No Envizi account ends in this Connection ID</t>
        </is>
      </c>
      <c r="AD306" s="85" t="inlineStr"/>
      <c r="AE306" s="85" t="inlineStr"/>
    </row>
    <row r="307">
      <c r="A307" s="49" t="inlineStr">
        <is>
          <t>1000581141PGC50</t>
        </is>
      </c>
      <c r="B307" s="50" t="inlineStr">
        <is>
          <t>Natural Gas</t>
        </is>
      </c>
      <c r="C307" s="50" t="inlineStr">
        <is>
          <t>New Zealand</t>
        </is>
      </c>
      <c r="D307" s="50" t="inlineStr">
        <is>
          <t>North Island</t>
        </is>
      </c>
      <c r="E307" s="50" t="inlineStr">
        <is>
          <t>NZ NTOU Natural Gas</t>
        </is>
      </c>
      <c r="F307" s="50" t="n"/>
      <c r="G307" s="50" t="inlineStr">
        <is>
          <t>33 Rawiri Drive   New Plymouth</t>
        </is>
      </c>
      <c r="H307" s="50" t="inlineStr">
        <is>
          <t>DOWNER NEW ZEALAND LIMITED (NZBN: 9429039194114)</t>
        </is>
      </c>
      <c r="I307" s="50" t="n"/>
      <c r="J307" s="50" t="inlineStr">
        <is>
          <t>kWh</t>
        </is>
      </c>
      <c r="K307" s="81" t="n">
        <v>3000</v>
      </c>
      <c r="L307" s="50" t="inlineStr">
        <is>
          <t>Nova Energy</t>
        </is>
      </c>
      <c r="M307" s="82" t="inlineStr">
        <is>
          <t>Nova</t>
        </is>
      </c>
      <c r="N307" s="82" t="n">
        <v>46296</v>
      </c>
      <c r="O307" s="82" t="n">
        <v>47756</v>
      </c>
      <c r="P307" s="50" t="inlineStr">
        <is>
          <t>Fixed to 30-Sep-2030</t>
        </is>
      </c>
      <c r="Q307" s="83">
        <f t="array" ref="Q307:S307">IFERROR(ROUNDUP(_xlfn.XLOOKUP(A307,'Budget FY26-28'!A:A,'Budget FY26-28'!M:O)*(1+Summary!$C$2), -2), "")</f>
        <v/>
      </c>
      <c r="R307" s="83" t="n">
        <v>1300</v>
      </c>
      <c r="S307" s="83" t="n">
        <v>1300</v>
      </c>
      <c r="T307" s="50" t="inlineStr">
        <is>
          <t>Ready</t>
        </is>
      </c>
      <c r="U307" s="54" t="n"/>
      <c r="V307" s="84" t="inlineStr">
        <is>
          <t>5330_ICP_1000581141PGC50</t>
        </is>
      </c>
      <c r="W307" s="84" t="inlineStr">
        <is>
          <t>Natural Gas - MJ</t>
        </is>
      </c>
      <c r="X307" s="84" t="inlineStr">
        <is>
          <t>Natural Gas [MJ]</t>
        </is>
      </c>
      <c r="Y307" s="84" t="inlineStr">
        <is>
          <t>Downer</t>
        </is>
      </c>
      <c r="Z307" s="84" t="inlineStr">
        <is>
          <t>_CLOSED_T_Pacific</t>
        </is>
      </c>
      <c r="AA307" s="84" t="inlineStr">
        <is>
          <t>5330</t>
        </is>
      </c>
      <c r="AB307" s="84" t="inlineStr">
        <is>
          <t>Replaced 30 Jun 2022</t>
        </is>
      </c>
      <c r="AC307" s="84" t="inlineStr">
        <is>
          <t>Connection ID is the account number suffix</t>
        </is>
      </c>
      <c r="AD307" s="85" t="inlineStr"/>
      <c r="AE307" s="85" t="inlineStr"/>
    </row>
    <row r="308">
      <c r="A308" s="49" t="inlineStr">
        <is>
          <t>1000590389PGAED</t>
        </is>
      </c>
      <c r="B308" s="50" t="inlineStr">
        <is>
          <t>Natural Gas</t>
        </is>
      </c>
      <c r="C308" s="50" t="inlineStr">
        <is>
          <t>New Zealand</t>
        </is>
      </c>
      <c r="D308" s="50" t="inlineStr">
        <is>
          <t>North Island</t>
        </is>
      </c>
      <c r="E308" s="50" t="inlineStr">
        <is>
          <t>NZ NTOU Natural Gas</t>
        </is>
      </c>
      <c r="F308" s="50" t="n"/>
      <c r="G308" s="50" t="inlineStr">
        <is>
          <t>1 30 Downe Street  New Plymouth New Plymouth</t>
        </is>
      </c>
      <c r="H308" s="50" t="inlineStr">
        <is>
          <t>DOWNER NEW ZEALAND LIMITED (NZBN: 9429039194114)</t>
        </is>
      </c>
      <c r="I308" s="50" t="n"/>
      <c r="J308" s="50" t="inlineStr">
        <is>
          <t>kWh</t>
        </is>
      </c>
      <c r="K308" s="81" t="n">
        <v>2000</v>
      </c>
      <c r="L308" s="50" t="inlineStr">
        <is>
          <t>Nova Energy</t>
        </is>
      </c>
      <c r="M308" s="82" t="inlineStr">
        <is>
          <t>Nova</t>
        </is>
      </c>
      <c r="N308" s="82" t="n">
        <v>46296</v>
      </c>
      <c r="O308" s="82" t="n">
        <v>47756</v>
      </c>
      <c r="P308" s="50" t="inlineStr">
        <is>
          <t>Fixed to 30-Sep-2030</t>
        </is>
      </c>
      <c r="Q308" s="83">
        <f t="array" ref="Q308:S308">IFERROR(ROUNDUP(_xlfn.XLOOKUP(A308,'Budget FY26-28'!A:A,'Budget FY26-28'!M:O)*(1+Summary!$C$2), -2), "")</f>
        <v/>
      </c>
      <c r="R308" s="83" t="n">
        <v>1100</v>
      </c>
      <c r="S308" s="83" t="n">
        <v>1100</v>
      </c>
      <c r="T308" s="50" t="inlineStr">
        <is>
          <t>Ready</t>
        </is>
      </c>
      <c r="U308" s="54" t="n"/>
      <c r="V308" s="84" t="inlineStr">
        <is>
          <t>Not found</t>
        </is>
      </c>
      <c r="W308" s="84" t="inlineStr"/>
      <c r="X308" s="84" t="inlineStr"/>
      <c r="Y308" s="84" t="inlineStr"/>
      <c r="Z308" s="84" t="inlineStr"/>
      <c r="AA308" s="84" t="inlineStr"/>
      <c r="AB308" s="84" t="inlineStr"/>
      <c r="AC308" s="84" t="inlineStr">
        <is>
          <t>No Envizi account ends in this Connection ID</t>
        </is>
      </c>
      <c r="AD308" s="85" t="inlineStr"/>
      <c r="AE308" s="85" t="inlineStr"/>
    </row>
    <row r="309">
      <c r="A309" s="49" t="inlineStr">
        <is>
          <t>1000605558PG1BC</t>
        </is>
      </c>
      <c r="B309" s="50" t="inlineStr">
        <is>
          <t>Natural Gas</t>
        </is>
      </c>
      <c r="C309" s="50" t="inlineStr">
        <is>
          <t>New Zealand</t>
        </is>
      </c>
      <c r="D309" s="50" t="inlineStr">
        <is>
          <t>North Island</t>
        </is>
      </c>
      <c r="E309" s="50" t="inlineStr">
        <is>
          <t>NZ NTOU Natural Gas</t>
        </is>
      </c>
      <c r="F309" s="50" t="n"/>
      <c r="G309" s="50" t="inlineStr">
        <is>
          <t>138C Molesworth Street  New Plymouth Central New Plymouth</t>
        </is>
      </c>
      <c r="H309" s="50" t="inlineStr">
        <is>
          <t>DOWNER NEW ZEALAND LIMITED (NZBN: 9429039194114)</t>
        </is>
      </c>
      <c r="I309" s="50" t="n"/>
      <c r="J309" s="50" t="inlineStr">
        <is>
          <t>kWh</t>
        </is>
      </c>
      <c r="K309" s="81" t="n">
        <v>1000</v>
      </c>
      <c r="L309" s="50" t="inlineStr">
        <is>
          <t>Nova Energy</t>
        </is>
      </c>
      <c r="M309" s="82" t="inlineStr">
        <is>
          <t>Nova</t>
        </is>
      </c>
      <c r="N309" s="82" t="n">
        <v>46296</v>
      </c>
      <c r="O309" s="82" t="n">
        <v>47756</v>
      </c>
      <c r="P309" s="50" t="inlineStr">
        <is>
          <t>Fixed to 30-Sep-2030</t>
        </is>
      </c>
      <c r="Q309" s="83">
        <f t="array" ref="Q309:S309">IFERROR(ROUNDUP(_xlfn.XLOOKUP(A309,'Budget FY26-28'!A:A,'Budget FY26-28'!M:O)*(1+Summary!$C$2), -2), "")</f>
        <v/>
      </c>
      <c r="R309" s="83" t="n">
        <v>900</v>
      </c>
      <c r="S309" s="83" t="n">
        <v>900</v>
      </c>
      <c r="T309" s="50" t="inlineStr">
        <is>
          <t>Ready</t>
        </is>
      </c>
      <c r="U309" s="54" t="n"/>
      <c r="V309" s="84" t="inlineStr">
        <is>
          <t>Not found</t>
        </is>
      </c>
      <c r="W309" s="84" t="inlineStr"/>
      <c r="X309" s="84" t="inlineStr"/>
      <c r="Y309" s="84" t="inlineStr"/>
      <c r="Z309" s="84" t="inlineStr"/>
      <c r="AA309" s="84" t="inlineStr"/>
      <c r="AB309" s="84" t="inlineStr"/>
      <c r="AC309" s="84" t="inlineStr">
        <is>
          <t>No Envizi account ends in this Connection ID</t>
        </is>
      </c>
      <c r="AD309" s="85" t="inlineStr"/>
      <c r="AE309" s="85" t="inlineStr"/>
    </row>
    <row r="310" customFormat="1" s="72">
      <c r="A310" s="66" t="inlineStr">
        <is>
          <t>0000015023HBABD</t>
        </is>
      </c>
      <c r="B310" s="67" t="inlineStr">
        <is>
          <t>Electricity</t>
        </is>
      </c>
      <c r="C310" s="67" t="inlineStr">
        <is>
          <t>New Zealand</t>
        </is>
      </c>
      <c r="D310" s="67" t="inlineStr">
        <is>
          <t>North Island</t>
        </is>
      </c>
      <c r="E310" s="67" t="inlineStr">
        <is>
          <t>NZ TOU Electricity</t>
        </is>
      </c>
      <c r="F310" s="67" t="n"/>
      <c r="G310" s="67" t="inlineStr">
        <is>
          <t>1436 OMAHU ROAD FRIMLEY HASTINGS 4120</t>
        </is>
      </c>
      <c r="H310" s="67" t="inlineStr">
        <is>
          <t>DOWNER NEW ZEALAND LIMITED (NZBN: 9429039194114)</t>
        </is>
      </c>
      <c r="I310" s="67" t="n"/>
      <c r="J310" s="67" t="inlineStr">
        <is>
          <t>kWh</t>
        </is>
      </c>
      <c r="K310" s="86" t="n">
        <v>43948.43000000001</v>
      </c>
      <c r="L310" s="67" t="inlineStr">
        <is>
          <t>Ecotricity</t>
        </is>
      </c>
      <c r="M310" s="87" t="inlineStr">
        <is>
          <t>Ecotricity</t>
        </is>
      </c>
      <c r="N310" s="87" t="n">
        <v>46204</v>
      </c>
      <c r="O310" s="87" t="n">
        <v>47483</v>
      </c>
      <c r="P310" s="67" t="inlineStr">
        <is>
          <t>42 months</t>
        </is>
      </c>
      <c r="Q310" s="88">
        <f t="array" ref="Q310:S310">IFERROR(ROUNDUP(_xlfn.XLOOKUP(A310,'Budget FY26-28'!A:A,'Budget FY26-28'!M:O)*(1+Summary!$C$2), -2), "")</f>
        <v/>
      </c>
      <c r="R310" s="88" t="n">
        <v>25500</v>
      </c>
      <c r="S310" s="88" t="n">
        <v>25500</v>
      </c>
      <c r="T310" s="67" t="inlineStr">
        <is>
          <t>Ready</t>
        </is>
      </c>
      <c r="U310" s="71" t="n"/>
      <c r="V310" s="84" t="inlineStr">
        <is>
          <t>Eco_ICP_0000015023HBABD</t>
        </is>
      </c>
      <c r="W310" s="84" t="inlineStr">
        <is>
          <t>Electricity – purchased from grid [kWh]</t>
        </is>
      </c>
      <c r="X310" s="84" t="inlineStr">
        <is>
          <t>Electricity [kWh]</t>
        </is>
      </c>
      <c r="Y310" s="84" t="inlineStr">
        <is>
          <t>Ecotricity</t>
        </is>
      </c>
      <c r="Z310" s="84" t="inlineStr">
        <is>
          <t>Hastings Depot</t>
        </is>
      </c>
      <c r="AA310" s="84" t="inlineStr">
        <is>
          <t>55582</t>
        </is>
      </c>
      <c r="AB310" s="84" t="inlineStr">
        <is>
          <t>Active</t>
        </is>
      </c>
      <c r="AC310" s="84" t="inlineStr">
        <is>
          <t>Connection ID is the account number suffix</t>
        </is>
      </c>
      <c r="AD310" s="85" t="inlineStr">
        <is>
          <t>Copy of Eco_ICP_0000015023HBABD_CERTS; 5032_ICP_0000015023HBABD; 55582_ICP_0000015023HBABD</t>
        </is>
      </c>
      <c r="AE310" s="85" t="inlineStr">
        <is>
          <t>Copy of Eco_ICP_0000024050WE5E2_CERTS (at this location, different ID) - historical · Copy of Eco_ICP_0000015023HBABD_CERTS - historical</t>
        </is>
      </c>
    </row>
    <row r="311" customFormat="1" s="72">
      <c r="A311" s="66" t="inlineStr">
        <is>
          <t>0000024050WE5E2</t>
        </is>
      </c>
      <c r="B311" s="67" t="inlineStr">
        <is>
          <t>Electricity</t>
        </is>
      </c>
      <c r="C311" s="67" t="inlineStr">
        <is>
          <t>New Zealand</t>
        </is>
      </c>
      <c r="D311" s="67" t="inlineStr">
        <is>
          <t>North Island</t>
        </is>
      </c>
      <c r="E311" s="67" t="inlineStr">
        <is>
          <t>NZ TOU Electricity</t>
        </is>
      </c>
      <c r="F311" s="67" t="n"/>
      <c r="G311" s="67" t="inlineStr">
        <is>
          <t>16 MANCHESTER PLACE Te Rapa HAMILTON 3200</t>
        </is>
      </c>
      <c r="H311" s="67" t="inlineStr">
        <is>
          <t>DOWNER NEW ZEALAND LIMITED (NZBN: 9429039194114)</t>
        </is>
      </c>
      <c r="I311" s="67" t="n"/>
      <c r="J311" s="67" t="inlineStr">
        <is>
          <t>kWh</t>
        </is>
      </c>
      <c r="K311" s="86" t="n">
        <v>598544.088</v>
      </c>
      <c r="L311" s="67" t="inlineStr">
        <is>
          <t>Ecotricity</t>
        </is>
      </c>
      <c r="M311" s="87" t="inlineStr">
        <is>
          <t>Ecotricity</t>
        </is>
      </c>
      <c r="N311" s="87" t="n">
        <v>46204</v>
      </c>
      <c r="O311" s="87" t="n">
        <v>47483</v>
      </c>
      <c r="P311" s="67" t="inlineStr">
        <is>
          <t>42 months</t>
        </is>
      </c>
      <c r="Q311" s="88">
        <f t="array" ref="Q311:S311">IFERROR(ROUNDUP(_xlfn.XLOOKUP(A311,'Budget FY26-28'!A:A,'Budget FY26-28'!M:O)*(1+Summary!$C$2), -2), "")</f>
        <v/>
      </c>
      <c r="R311" s="88" t="n">
        <v>144600</v>
      </c>
      <c r="S311" s="88" t="n">
        <v>144600</v>
      </c>
      <c r="T311" s="67" t="inlineStr">
        <is>
          <t>Ready</t>
        </is>
      </c>
      <c r="U311" s="71" t="n"/>
      <c r="V311" s="84" t="inlineStr">
        <is>
          <t>Eco_ICP_0000024050WE5E2</t>
        </is>
      </c>
      <c r="W311" s="84" t="inlineStr">
        <is>
          <t>Electricity – purchased from grid [kWh]</t>
        </is>
      </c>
      <c r="X311" s="84" t="inlineStr">
        <is>
          <t>Electricity [kWh]</t>
        </is>
      </c>
      <c r="Y311" s="84" t="inlineStr"/>
      <c r="Z311" s="84" t="inlineStr">
        <is>
          <t>Hastings Depot</t>
        </is>
      </c>
      <c r="AA311" s="84" t="inlineStr">
        <is>
          <t>55582</t>
        </is>
      </c>
      <c r="AB311" s="84" t="inlineStr">
        <is>
          <t>Active</t>
        </is>
      </c>
      <c r="AC311" s="84" t="inlineStr">
        <is>
          <t>Connection ID is the account number suffix</t>
        </is>
      </c>
      <c r="AD311" s="85" t="inlineStr">
        <is>
          <t>Copy of Eco_ICP_0000024050WE5E2_CERTS; Copy of Eco_ICP_0000024050WE5E2_CERTS; 3504_ICP_0000024050WE5E2; 5013_ICP_0000024050WE5E2; Eco_ICP_0000024050WE5E2</t>
        </is>
      </c>
      <c r="AE311" s="85" t="inlineStr">
        <is>
          <t>Copy of Eco_ICP_0000024050WE5E2_CERTS - historical · Copy of Eco_ICP_0000015023HBABD_CERTS (at this location, different ID) - historical</t>
        </is>
      </c>
    </row>
    <row r="312" customFormat="1" s="72">
      <c r="A312" s="66" t="inlineStr">
        <is>
          <t>0000031643WEA48</t>
        </is>
      </c>
      <c r="B312" s="67" t="inlineStr">
        <is>
          <t>Electricity</t>
        </is>
      </c>
      <c r="C312" s="67" t="inlineStr">
        <is>
          <t>New Zealand</t>
        </is>
      </c>
      <c r="D312" s="67" t="inlineStr">
        <is>
          <t>North Island</t>
        </is>
      </c>
      <c r="E312" s="67" t="inlineStr">
        <is>
          <t>NZ TOU Electricity</t>
        </is>
      </c>
      <c r="F312" s="67" t="n"/>
      <c r="G312" s="67" t="inlineStr">
        <is>
          <t>DOWNER NZ 16 MANCHESTER PLACE Te Rapa HAMILTON 3200</t>
        </is>
      </c>
      <c r="H312" s="67" t="inlineStr">
        <is>
          <t>DOWNER NEW ZEALAND LIMITED (NZBN: 9429039194114)</t>
        </is>
      </c>
      <c r="I312" s="67" t="n"/>
      <c r="J312" s="67" t="inlineStr">
        <is>
          <t>kWh</t>
        </is>
      </c>
      <c r="K312" s="86" t="n">
        <v>181231.47</v>
      </c>
      <c r="L312" s="67" t="inlineStr">
        <is>
          <t>Ecotricity</t>
        </is>
      </c>
      <c r="M312" s="87" t="inlineStr">
        <is>
          <t>Ecotricity</t>
        </is>
      </c>
      <c r="N312" s="87" t="n">
        <v>46204</v>
      </c>
      <c r="O312" s="87" t="n">
        <v>47483</v>
      </c>
      <c r="P312" s="67" t="inlineStr">
        <is>
          <t>42 months</t>
        </is>
      </c>
      <c r="Q312" s="88">
        <f t="array" ref="Q312:S312">IFERROR(ROUNDUP(_xlfn.XLOOKUP(A312,'Budget FY26-28'!A:A,'Budget FY26-28'!M:O)*(1+Summary!$C$2), -2), "")</f>
        <v/>
      </c>
      <c r="R312" s="88" t="n">
        <v>49600</v>
      </c>
      <c r="S312" s="88" t="n">
        <v>49600</v>
      </c>
      <c r="T312" s="67" t="inlineStr">
        <is>
          <t>Ready</t>
        </is>
      </c>
      <c r="U312" s="71" t="n"/>
      <c r="V312" s="84" t="inlineStr">
        <is>
          <t>Eco_ICP_0000031643WEA48</t>
        </is>
      </c>
      <c r="W312" s="84" t="inlineStr">
        <is>
          <t>Electricity – purchased from grid [kWh]</t>
        </is>
      </c>
      <c r="X312" s="84" t="inlineStr">
        <is>
          <t>Electricity [kWh]</t>
        </is>
      </c>
      <c r="Y312" s="84" t="inlineStr">
        <is>
          <t>Ecotricity</t>
        </is>
      </c>
      <c r="Z312" s="84" t="inlineStr">
        <is>
          <t>Hamilton Depot</t>
        </is>
      </c>
      <c r="AA312" s="84" t="inlineStr">
        <is>
          <t>55540</t>
        </is>
      </c>
      <c r="AB312" s="84" t="inlineStr">
        <is>
          <t>Active</t>
        </is>
      </c>
      <c r="AC312" s="84" t="inlineStr">
        <is>
          <t>Connection ID is the account number suffix</t>
        </is>
      </c>
      <c r="AD312" s="85" t="inlineStr">
        <is>
          <t>Copy of Eco_ICP_0000031643WEA48_CERTS; 5031_ICP_0000031643WEA48; 55540_ICP_0000031643WEA48</t>
        </is>
      </c>
      <c r="AE312" s="85" t="inlineStr">
        <is>
          <t>Copy of Eco_ICP_0000031643WEA48_CERTS - historical</t>
        </is>
      </c>
    </row>
    <row r="313" customFormat="1" s="72">
      <c r="A313" s="66" t="inlineStr">
        <is>
          <t>0000044241WEB55</t>
        </is>
      </c>
      <c r="B313" s="67" t="inlineStr">
        <is>
          <t>Electricity</t>
        </is>
      </c>
      <c r="C313" s="67" t="inlineStr">
        <is>
          <t>New Zealand</t>
        </is>
      </c>
      <c r="D313" s="67" t="inlineStr">
        <is>
          <t>North Island</t>
        </is>
      </c>
      <c r="E313" s="67" t="inlineStr">
        <is>
          <t>NZ TOU Electricity</t>
        </is>
      </c>
      <c r="F313" s="67" t="n"/>
      <c r="G313" s="67" t="inlineStr">
        <is>
          <t>72 HARE PUKE DRIVE,
FLAGSTAFF, HAMILTON 3210</t>
        </is>
      </c>
      <c r="H313" s="67" t="inlineStr">
        <is>
          <t>SPOTLESS FACILITY SERVICES (NZ) LIMITED (NZBN: 9429040596099)</t>
        </is>
      </c>
      <c r="I313" s="67" t="n"/>
      <c r="J313" s="67" t="inlineStr">
        <is>
          <t>kWh</t>
        </is>
      </c>
      <c r="K313" s="86" t="n">
        <v>405000</v>
      </c>
      <c r="L313" s="67" t="inlineStr">
        <is>
          <t>Ecotricity</t>
        </is>
      </c>
      <c r="M313" s="87" t="inlineStr">
        <is>
          <t>Ecotricity</t>
        </is>
      </c>
      <c r="N313" s="87" t="n">
        <v>46204</v>
      </c>
      <c r="O313" s="87" t="n">
        <v>47483</v>
      </c>
      <c r="P313" s="67" t="inlineStr">
        <is>
          <t>42 months</t>
        </is>
      </c>
      <c r="Q313" s="88">
        <f t="array" ref="Q313:S313">IFERROR(ROUNDUP(_xlfn.XLOOKUP(A313,'Budget FY26-28'!A:A,'Budget FY26-28'!M:O)*(1+Summary!$C$2), -2), "")</f>
        <v/>
      </c>
      <c r="R313" s="88" t="n">
        <v>0</v>
      </c>
      <c r="S313" s="88" t="n">
        <v>0</v>
      </c>
      <c r="T313" s="67" t="inlineStr">
        <is>
          <t>Review required</t>
        </is>
      </c>
      <c r="U313" s="71" t="n"/>
      <c r="V313" s="84" t="inlineStr">
        <is>
          <t>Not found</t>
        </is>
      </c>
      <c r="W313" s="84" t="inlineStr"/>
      <c r="X313" s="84" t="inlineStr"/>
      <c r="Y313" s="84" t="inlineStr"/>
      <c r="Z313" s="84" t="inlineStr"/>
      <c r="AA313" s="84" t="inlineStr"/>
      <c r="AB313" s="84" t="inlineStr"/>
      <c r="AC313" s="84" t="inlineStr">
        <is>
          <t>No Envizi account ends in this Connection ID</t>
        </is>
      </c>
      <c r="AD313" s="85" t="inlineStr"/>
      <c r="AE313" s="85" t="inlineStr"/>
    </row>
    <row r="314" customFormat="1" s="72">
      <c r="A314" s="66" t="inlineStr">
        <is>
          <t>0000052034NT6A8</t>
        </is>
      </c>
      <c r="B314" s="67" t="inlineStr">
        <is>
          <t>Electricity</t>
        </is>
      </c>
      <c r="C314" s="67" t="inlineStr">
        <is>
          <t>New Zealand</t>
        </is>
      </c>
      <c r="D314" s="67" t="inlineStr">
        <is>
          <t>South Island</t>
        </is>
      </c>
      <c r="E314" s="67" t="inlineStr">
        <is>
          <t>NZ TOU Electricity</t>
        </is>
      </c>
      <c r="F314" s="67" t="n"/>
      <c r="G314" s="67" t="inlineStr">
        <is>
          <t>4/ 750 LOWER QUEEN STREET RICHMOND 7081</t>
        </is>
      </c>
      <c r="H314" s="67" t="inlineStr">
        <is>
          <t>DOWNER NEW ZEALAND LIMITED (NZBN: 9429039194114)</t>
        </is>
      </c>
      <c r="I314" s="67" t="n"/>
      <c r="J314" s="67" t="inlineStr">
        <is>
          <t>kWh</t>
        </is>
      </c>
      <c r="K314" s="86" t="n">
        <v>108511.31</v>
      </c>
      <c r="L314" s="67" t="inlineStr">
        <is>
          <t>Ecotricity</t>
        </is>
      </c>
      <c r="M314" s="87" t="inlineStr">
        <is>
          <t>Ecotricity</t>
        </is>
      </c>
      <c r="N314" s="87" t="n">
        <v>46204</v>
      </c>
      <c r="O314" s="87" t="n">
        <v>47483</v>
      </c>
      <c r="P314" s="67" t="inlineStr">
        <is>
          <t>42 months</t>
        </is>
      </c>
      <c r="Q314" s="88">
        <f t="array" ref="Q314:S314">IFERROR(ROUNDUP(_xlfn.XLOOKUP(A314,'Budget FY26-28'!A:A,'Budget FY26-28'!M:O)*(1+Summary!$C$2), -2), "")</f>
        <v/>
      </c>
      <c r="R314" s="88" t="n">
        <v>41800</v>
      </c>
      <c r="S314" s="88" t="n">
        <v>41800</v>
      </c>
      <c r="T314" s="67" t="inlineStr">
        <is>
          <t>Ready</t>
        </is>
      </c>
      <c r="U314" s="71" t="n"/>
      <c r="V314" s="84" t="inlineStr">
        <is>
          <t>Eco_ICP_0000052034NT6A8</t>
        </is>
      </c>
      <c r="W314" s="84" t="inlineStr">
        <is>
          <t>Electricity – purchased from grid [kWh]</t>
        </is>
      </c>
      <c r="X314" s="84" t="inlineStr">
        <is>
          <t>Electricity [kWh]</t>
        </is>
      </c>
      <c r="Y314" s="84" t="inlineStr">
        <is>
          <t>Ecotricity</t>
        </is>
      </c>
      <c r="Z314" s="84" t="inlineStr">
        <is>
          <t>Nelson Depot</t>
        </is>
      </c>
      <c r="AA314" s="84" t="inlineStr">
        <is>
          <t>55610</t>
        </is>
      </c>
      <c r="AB314" s="84" t="inlineStr">
        <is>
          <t>Active</t>
        </is>
      </c>
      <c r="AC314" s="84" t="inlineStr">
        <is>
          <t>Connection ID is the account number suffix</t>
        </is>
      </c>
      <c r="AD314" s="85" t="inlineStr">
        <is>
          <t>Copy of Eco_ICP_0000052034NT6A8_CERTS; 5043_ICP_0000052034NT6A8; 55610_ICP_0000052034NT6A8</t>
        </is>
      </c>
      <c r="AE314" s="85" t="inlineStr">
        <is>
          <t>Copy of Eco_ICP_0000052034NT6A8_CERTS - historical</t>
        </is>
      </c>
    </row>
    <row r="315" customFormat="1" s="72">
      <c r="A315" s="66" t="inlineStr">
        <is>
          <t>0000102308DEAD2</t>
        </is>
      </c>
      <c r="B315" s="67" t="inlineStr">
        <is>
          <t>Electricity</t>
        </is>
      </c>
      <c r="C315" s="67" t="inlineStr">
        <is>
          <t>New Zealand</t>
        </is>
      </c>
      <c r="D315" s="67" t="inlineStr">
        <is>
          <t>South Island</t>
        </is>
      </c>
      <c r="E315" s="67" t="inlineStr">
        <is>
          <t>NZ TOU Electricity</t>
        </is>
      </c>
      <c r="F315" s="67" t="n"/>
      <c r="G315" s="67" t="inlineStr">
        <is>
          <t>BATCHING PLANT  102 PARRY STREET LOGAN POINT DUNEDIN 9016</t>
        </is>
      </c>
      <c r="H315" s="67" t="inlineStr">
        <is>
          <t>DOWNER NEW ZEALAND LIMITED (NZBN: 9429039194114)</t>
        </is>
      </c>
      <c r="I315" s="67" t="n"/>
      <c r="J315" s="67" t="inlineStr">
        <is>
          <t>kWh</t>
        </is>
      </c>
      <c r="K315" s="86" t="n">
        <v>489271.4400000001</v>
      </c>
      <c r="L315" s="67" t="inlineStr">
        <is>
          <t>Ecotricity</t>
        </is>
      </c>
      <c r="M315" s="87" t="inlineStr">
        <is>
          <t>Ecotricity</t>
        </is>
      </c>
      <c r="N315" s="87" t="n">
        <v>46204</v>
      </c>
      <c r="O315" s="87" t="n">
        <v>47483</v>
      </c>
      <c r="P315" s="67" t="inlineStr">
        <is>
          <t>42 months</t>
        </is>
      </c>
      <c r="Q315" s="88">
        <f t="array" ref="Q315:S315">IFERROR(ROUNDUP(_xlfn.XLOOKUP(A315,'Budget FY26-28'!A:A,'Budget FY26-28'!M:O)*(1+Summary!$C$2), -2), "")</f>
        <v/>
      </c>
      <c r="R315" s="88" t="n">
        <v>101600</v>
      </c>
      <c r="S315" s="88" t="n">
        <v>101600</v>
      </c>
      <c r="T315" s="67" t="inlineStr">
        <is>
          <t>Ready</t>
        </is>
      </c>
      <c r="U315" s="71" t="n"/>
      <c r="V315" s="84" t="inlineStr">
        <is>
          <t>Eco_ICP_0000102308DEAD2</t>
        </is>
      </c>
      <c r="W315" s="84" t="inlineStr">
        <is>
          <t>Electricity – purchased from grid [kWh]</t>
        </is>
      </c>
      <c r="X315" s="84" t="inlineStr">
        <is>
          <t>Electricity [kWh]</t>
        </is>
      </c>
      <c r="Y315" s="84" t="inlineStr">
        <is>
          <t>Ecotricity</t>
        </is>
      </c>
      <c r="Z315" s="84" t="inlineStr">
        <is>
          <t>Asphalt Prod - Dunedin</t>
        </is>
      </c>
      <c r="AA315" s="84" t="inlineStr">
        <is>
          <t>3508</t>
        </is>
      </c>
      <c r="AB315" s="84" t="inlineStr">
        <is>
          <t>Active</t>
        </is>
      </c>
      <c r="AC315" s="84" t="inlineStr">
        <is>
          <t>Connection ID is the account number suffix</t>
        </is>
      </c>
      <c r="AD315" s="85" t="inlineStr">
        <is>
          <t>Copy of Eco_ICP_0000102308DEAD2_CERTS; 3508_ICP_0000102308DEAD2; 5012_ICP_0000102308DEAD2</t>
        </is>
      </c>
      <c r="AE315" s="85" t="inlineStr">
        <is>
          <t>Copy of Eco_ICP_0000102308DEAD2_CERTS - historical</t>
        </is>
      </c>
    </row>
    <row r="316" customFormat="1" s="72">
      <c r="A316" s="66" t="inlineStr">
        <is>
          <t>0000519132NR7B9</t>
        </is>
      </c>
      <c r="B316" s="67" t="inlineStr">
        <is>
          <t>Electricity</t>
        </is>
      </c>
      <c r="C316" s="67" t="inlineStr">
        <is>
          <t>New Zealand</t>
        </is>
      </c>
      <c r="D316" s="67" t="inlineStr">
        <is>
          <t>North Island</t>
        </is>
      </c>
      <c r="E316" s="67" t="inlineStr">
        <is>
          <t>NZ TOU Electricity</t>
        </is>
      </c>
      <c r="F316" s="67" t="n"/>
      <c r="G316" s="67" t="inlineStr">
        <is>
          <t>Bitumen Plant 116- 118 PORT ROAD WHANGAREI 110</t>
        </is>
      </c>
      <c r="H316" s="67" t="inlineStr">
        <is>
          <t>DOWNER NEW ZEALAND LIMITED (NZBN: 9429039194114)</t>
        </is>
      </c>
      <c r="I316" s="67" t="n"/>
      <c r="J316" s="67" t="inlineStr">
        <is>
          <t>kWh</t>
        </is>
      </c>
      <c r="K316" s="86" t="n">
        <v>511657.968</v>
      </c>
      <c r="L316" s="67" t="inlineStr">
        <is>
          <t>Ecotricity</t>
        </is>
      </c>
      <c r="M316" s="87" t="inlineStr">
        <is>
          <t>Ecotricity</t>
        </is>
      </c>
      <c r="N316" s="87" t="n">
        <v>46204</v>
      </c>
      <c r="O316" s="87" t="n">
        <v>47483</v>
      </c>
      <c r="P316" s="67" t="inlineStr">
        <is>
          <t>42 months</t>
        </is>
      </c>
      <c r="Q316" s="88">
        <f t="array" ref="Q316:S316">IFERROR(ROUNDUP(_xlfn.XLOOKUP(A316,'Budget FY26-28'!A:A,'Budget FY26-28'!M:O)*(1+Summary!$C$2), -2), "")</f>
        <v/>
      </c>
      <c r="R316" s="88" t="n">
        <v>152300</v>
      </c>
      <c r="S316" s="88" t="n">
        <v>152300</v>
      </c>
      <c r="T316" s="67" t="inlineStr">
        <is>
          <t>Ready</t>
        </is>
      </c>
      <c r="U316" s="71" t="n"/>
      <c r="V316" s="84" t="inlineStr">
        <is>
          <t>Eco_ICP_0000519132NR7B9</t>
        </is>
      </c>
      <c r="W316" s="84" t="inlineStr">
        <is>
          <t>Electricity – purchased from grid [kWh]</t>
        </is>
      </c>
      <c r="X316" s="84" t="inlineStr">
        <is>
          <t>Electricity [kWh]</t>
        </is>
      </c>
      <c r="Y316" s="84" t="inlineStr">
        <is>
          <t>Ecotricity</t>
        </is>
      </c>
      <c r="Z316" s="84" t="inlineStr">
        <is>
          <t>Asphalt Prod - Whangarei</t>
        </is>
      </c>
      <c r="AA316" s="84" t="inlineStr">
        <is>
          <t>3502</t>
        </is>
      </c>
      <c r="AB316" s="84" t="inlineStr">
        <is>
          <t>Active</t>
        </is>
      </c>
      <c r="AC316" s="84" t="inlineStr">
        <is>
          <t>Connection ID is the account number suffix</t>
        </is>
      </c>
      <c r="AD316" s="85" t="inlineStr">
        <is>
          <t>Copy of Eco_ICP_0000519132NR7B9_CERTS; 3502_ICP_0000519132NR7B9; 5010_ICP_0000519132NR7B9</t>
        </is>
      </c>
      <c r="AE316" s="85" t="inlineStr">
        <is>
          <t>Copy of Eco_ICP_0000519132NR7B9_CERTS - historical</t>
        </is>
      </c>
    </row>
    <row r="317" customFormat="1" s="72">
      <c r="A317" s="66" t="inlineStr">
        <is>
          <t>0000734355NVC9C</t>
        </is>
      </c>
      <c r="B317" s="67" t="inlineStr">
        <is>
          <t>Electricity</t>
        </is>
      </c>
      <c r="C317" s="67" t="inlineStr">
        <is>
          <t>New Zealand</t>
        </is>
      </c>
      <c r="D317" s="67" t="inlineStr">
        <is>
          <t>South Island</t>
        </is>
      </c>
      <c r="E317" s="67" t="inlineStr">
        <is>
          <t>NZ TOU Electricity</t>
        </is>
      </c>
      <c r="F317" s="67" t="n"/>
      <c r="G317" s="67" t="inlineStr">
        <is>
          <t>PLANT  210 MERSEY STREET INVERCARGILL 0</t>
        </is>
      </c>
      <c r="H317" s="67" t="inlineStr">
        <is>
          <t>DOWNER NEW ZEALAND LIMITED (NZBN: 9429039194114)</t>
        </is>
      </c>
      <c r="I317" s="67" t="n"/>
      <c r="J317" s="67" t="inlineStr">
        <is>
          <t>kWh</t>
        </is>
      </c>
      <c r="K317" s="86" t="n">
        <v>241963.668</v>
      </c>
      <c r="L317" s="67" t="inlineStr">
        <is>
          <t>Ecotricity</t>
        </is>
      </c>
      <c r="M317" s="87" t="inlineStr">
        <is>
          <t>Ecotricity</t>
        </is>
      </c>
      <c r="N317" s="87" t="n">
        <v>46204</v>
      </c>
      <c r="O317" s="87" t="n">
        <v>47483</v>
      </c>
      <c r="P317" s="67" t="inlineStr">
        <is>
          <t>42 months</t>
        </is>
      </c>
      <c r="Q317" s="88">
        <f t="array" ref="Q317:S317">IFERROR(ROUNDUP(_xlfn.XLOOKUP(A317,'Budget FY26-28'!A:A,'Budget FY26-28'!M:O)*(1+Summary!$C$2), -2), "")</f>
        <v/>
      </c>
      <c r="R317" s="88" t="n">
        <v>61200</v>
      </c>
      <c r="S317" s="88" t="n">
        <v>61200</v>
      </c>
      <c r="T317" s="67" t="inlineStr">
        <is>
          <t>Ready</t>
        </is>
      </c>
      <c r="U317" s="71" t="n"/>
      <c r="V317" s="84" t="inlineStr">
        <is>
          <t>Eco_ICP_0000734355NVC9C</t>
        </is>
      </c>
      <c r="W317" s="84" t="inlineStr">
        <is>
          <t>Electricity – purchased from grid [kWh]</t>
        </is>
      </c>
      <c r="X317" s="84" t="inlineStr">
        <is>
          <t>Electricity [kWh]</t>
        </is>
      </c>
      <c r="Y317" s="84" t="inlineStr">
        <is>
          <t>Ecotricity</t>
        </is>
      </c>
      <c r="Z317" s="84" t="inlineStr">
        <is>
          <t>Asphalt Prod - Invercargill</t>
        </is>
      </c>
      <c r="AA317" s="84" t="inlineStr">
        <is>
          <t>3509</t>
        </is>
      </c>
      <c r="AB317" s="84" t="inlineStr">
        <is>
          <t>Active</t>
        </is>
      </c>
      <c r="AC317" s="84" t="inlineStr">
        <is>
          <t>Connection ID is the account number suffix</t>
        </is>
      </c>
      <c r="AD317" s="85" t="inlineStr">
        <is>
          <t>Copy of Eco_ICP_0000734355NVC9C_CERTS; 5014_ICP_0000734355NVC9C</t>
        </is>
      </c>
      <c r="AE317" s="85" t="inlineStr">
        <is>
          <t>Copy of Eco_ICP_0000734355NVC9C_CERTS - historical</t>
        </is>
      </c>
    </row>
    <row r="318" customFormat="1" s="72">
      <c r="A318" s="66" t="inlineStr">
        <is>
          <t>0000931749NV418</t>
        </is>
      </c>
      <c r="B318" s="67" t="inlineStr">
        <is>
          <t>Electricity</t>
        </is>
      </c>
      <c r="C318" s="67" t="inlineStr">
        <is>
          <t>New Zealand</t>
        </is>
      </c>
      <c r="D318" s="67" t="inlineStr">
        <is>
          <t>South Island</t>
        </is>
      </c>
      <c r="E318" s="67" t="inlineStr">
        <is>
          <t>NZ TOU Electricity</t>
        </is>
      </c>
      <c r="F318" s="67" t="n"/>
      <c r="G318" s="67" t="inlineStr">
        <is>
          <t>BITUMEN PLANT  50 FORESHORE ROAD BLUFF 0</t>
        </is>
      </c>
      <c r="H318" s="67" t="inlineStr">
        <is>
          <t>DOWNER NEW ZEALAND LIMITED (NZBN: 9429039194114)</t>
        </is>
      </c>
      <c r="I318" s="67" t="n"/>
      <c r="J318" s="67" t="inlineStr">
        <is>
          <t>kWh</t>
        </is>
      </c>
      <c r="K318" s="86" t="n">
        <v>994727.3999999999</v>
      </c>
      <c r="L318" s="67" t="inlineStr">
        <is>
          <t>Ecotricity</t>
        </is>
      </c>
      <c r="M318" s="87" t="inlineStr">
        <is>
          <t>Ecotricity</t>
        </is>
      </c>
      <c r="N318" s="87" t="n">
        <v>46204</v>
      </c>
      <c r="O318" s="87" t="n">
        <v>47483</v>
      </c>
      <c r="P318" s="67" t="inlineStr">
        <is>
          <t>42 months</t>
        </is>
      </c>
      <c r="Q318" s="88">
        <f t="array" ref="Q318:S318">IFERROR(ROUNDUP(_xlfn.XLOOKUP(A318,'Budget FY26-28'!A:A,'Budget FY26-28'!M:O)*(1+Summary!$C$2), -2), "")</f>
        <v/>
      </c>
      <c r="R318" s="88" t="n">
        <v>147300</v>
      </c>
      <c r="S318" s="88" t="n">
        <v>147300</v>
      </c>
      <c r="T318" s="67" t="inlineStr">
        <is>
          <t>Ready</t>
        </is>
      </c>
      <c r="U318" s="71" t="n"/>
      <c r="V318" s="84" t="inlineStr">
        <is>
          <t>Eco_ICP_0000931749NV418</t>
        </is>
      </c>
      <c r="W318" s="84" t="inlineStr">
        <is>
          <t>Electricity – purchased from grid [kWh]</t>
        </is>
      </c>
      <c r="X318" s="84" t="inlineStr">
        <is>
          <t>Electricity [kWh]</t>
        </is>
      </c>
      <c r="Y318" s="84" t="inlineStr">
        <is>
          <t>Ecotricity</t>
        </is>
      </c>
      <c r="Z318" s="84" t="inlineStr">
        <is>
          <t>Bitumen - Bluff</t>
        </is>
      </c>
      <c r="AA318" s="84" t="inlineStr">
        <is>
          <t>3042</t>
        </is>
      </c>
      <c r="AB318" s="84" t="inlineStr">
        <is>
          <t>Active</t>
        </is>
      </c>
      <c r="AC318" s="84" t="inlineStr">
        <is>
          <t>Connection ID is the account number suffix</t>
        </is>
      </c>
      <c r="AD318" s="85" t="inlineStr">
        <is>
          <t>Copy of Eco_ICP_0000931749NV418_CERTS; 3042_ICP_0000931749NV418; 5017_ICP_0000931749NV418</t>
        </is>
      </c>
      <c r="AE318" s="85" t="inlineStr">
        <is>
          <t>Copy of Eco_ICP_0000931749NV418_CERTS - historical</t>
        </is>
      </c>
    </row>
    <row r="319" customFormat="1" s="72">
      <c r="A319" s="66" t="inlineStr">
        <is>
          <t>0000939570TUEC4</t>
        </is>
      </c>
      <c r="B319" s="67" t="inlineStr">
        <is>
          <t>Electricity</t>
        </is>
      </c>
      <c r="C319" s="67" t="inlineStr">
        <is>
          <t>New Zealand</t>
        </is>
      </c>
      <c r="D319" s="67" t="inlineStr">
        <is>
          <t>North Island</t>
        </is>
      </c>
      <c r="E319" s="67" t="inlineStr">
        <is>
          <t>NZ TOU Electricity</t>
        </is>
      </c>
      <c r="F319" s="67" t="n"/>
      <c r="G319" s="67" t="inlineStr">
        <is>
          <t>198 TOTARA STREET TAURANGA 0</t>
        </is>
      </c>
      <c r="H319" s="67" t="inlineStr">
        <is>
          <t>DOWNER NEW ZEALAND LIMITED (NZBN: 9429039194114)</t>
        </is>
      </c>
      <c r="I319" s="67" t="n"/>
      <c r="J319" s="67" t="inlineStr">
        <is>
          <t>kWh</t>
        </is>
      </c>
      <c r="K319" s="86" t="n">
        <v>1483122.656</v>
      </c>
      <c r="L319" s="67" t="inlineStr">
        <is>
          <t>Ecotricity</t>
        </is>
      </c>
      <c r="M319" s="87" t="inlineStr">
        <is>
          <t>Ecotricity</t>
        </is>
      </c>
      <c r="N319" s="87" t="n">
        <v>46204</v>
      </c>
      <c r="O319" s="87" t="n">
        <v>47483</v>
      </c>
      <c r="P319" s="67" t="inlineStr">
        <is>
          <t>42 months</t>
        </is>
      </c>
      <c r="Q319" s="88">
        <f t="array" ref="Q319:S319">IFERROR(ROUNDUP(_xlfn.XLOOKUP(A319,'Budget FY26-28'!A:A,'Budget FY26-28'!M:O)*(1+Summary!$C$2), -2), "")</f>
        <v/>
      </c>
      <c r="R319" s="88" t="n">
        <v>311500</v>
      </c>
      <c r="S319" s="88" t="n">
        <v>311500</v>
      </c>
      <c r="T319" s="67" t="inlineStr">
        <is>
          <t>Ready</t>
        </is>
      </c>
      <c r="U319" s="71" t="n"/>
      <c r="V319" s="84" t="inlineStr">
        <is>
          <t>Eco_ICP_0000939570TUEC4</t>
        </is>
      </c>
      <c r="W319" s="84" t="inlineStr">
        <is>
          <t>Electricity – purchased from grid [kWh]</t>
        </is>
      </c>
      <c r="X319" s="84" t="inlineStr">
        <is>
          <t>Electricity [kWh]</t>
        </is>
      </c>
      <c r="Y319" s="84" t="inlineStr">
        <is>
          <t>Ecotricity</t>
        </is>
      </c>
      <c r="Z319" s="84" t="inlineStr">
        <is>
          <t>Bitumen - Mt Maunganui</t>
        </is>
      </c>
      <c r="AA319" s="84" t="inlineStr">
        <is>
          <t>3040</t>
        </is>
      </c>
      <c r="AB319" s="84" t="inlineStr">
        <is>
          <t>Active</t>
        </is>
      </c>
      <c r="AC319" s="84" t="inlineStr">
        <is>
          <t>Connection ID is the account number suffix</t>
        </is>
      </c>
      <c r="AD319" s="85" t="inlineStr">
        <is>
          <t>Copy of Eco_ICP_0000939570TUEC4_CERTS; 3040_ICP_0000939570TUEC4; 5019_ICP_0000939570TUEC4</t>
        </is>
      </c>
      <c r="AE319" s="85" t="inlineStr">
        <is>
          <t>Copy of Eco_ICP_0000939570TUEC4_CERTS - historical</t>
        </is>
      </c>
    </row>
    <row r="320" customFormat="1" s="72">
      <c r="A320" s="66" t="inlineStr">
        <is>
          <t>0001510110PCCA2</t>
        </is>
      </c>
      <c r="B320" s="67" t="inlineStr">
        <is>
          <t>Electricity</t>
        </is>
      </c>
      <c r="C320" s="67" t="inlineStr">
        <is>
          <t>New Zealand</t>
        </is>
      </c>
      <c r="D320" s="67" t="inlineStr">
        <is>
          <t>North Island</t>
        </is>
      </c>
      <c r="E320" s="67" t="inlineStr">
        <is>
          <t>NZ TOU Electricity</t>
        </is>
      </c>
      <c r="F320" s="67" t="n"/>
      <c r="G320" s="67" t="inlineStr">
        <is>
          <t>TECHNIC BITUMEN LTD  BREAKWATER ROAD MOTUROA NEW PLYMOUTH 4310</t>
        </is>
      </c>
      <c r="H320" s="67" t="inlineStr">
        <is>
          <t>DOWNER NEW ZEALAND LIMITED (NZBN: 9429039194114)</t>
        </is>
      </c>
      <c r="I320" s="67" t="n"/>
      <c r="J320" s="67" t="inlineStr">
        <is>
          <t>kWh</t>
        </is>
      </c>
      <c r="K320" s="86" t="n">
        <v>822956.5259999998</v>
      </c>
      <c r="L320" s="67" t="inlineStr">
        <is>
          <t>Ecotricity</t>
        </is>
      </c>
      <c r="M320" s="87" t="inlineStr">
        <is>
          <t>Ecotricity</t>
        </is>
      </c>
      <c r="N320" s="87" t="n">
        <v>46204</v>
      </c>
      <c r="O320" s="87" t="n">
        <v>47483</v>
      </c>
      <c r="P320" s="67" t="inlineStr">
        <is>
          <t>42 months</t>
        </is>
      </c>
      <c r="Q320" s="88">
        <f t="array" ref="Q320:S320">IFERROR(ROUNDUP(_xlfn.XLOOKUP(A320,'Budget FY26-28'!A:A,'Budget FY26-28'!M:O)*(1+Summary!$C$2), -2), "")</f>
        <v/>
      </c>
      <c r="R320" s="88" t="n">
        <v>191900</v>
      </c>
      <c r="S320" s="88" t="n">
        <v>191900</v>
      </c>
      <c r="T320" s="67" t="inlineStr">
        <is>
          <t>Ready</t>
        </is>
      </c>
      <c r="U320" s="71" t="n"/>
      <c r="V320" s="84" t="inlineStr">
        <is>
          <t>Eco_ICP_0001510110PCCA2</t>
        </is>
      </c>
      <c r="W320" s="84" t="inlineStr">
        <is>
          <t>Electricity – purchased from grid [kWh]</t>
        </is>
      </c>
      <c r="X320" s="84" t="inlineStr">
        <is>
          <t>Electricity [kWh]</t>
        </is>
      </c>
      <c r="Y320" s="84" t="inlineStr">
        <is>
          <t>Ecotricity</t>
        </is>
      </c>
      <c r="Z320" s="84" t="inlineStr">
        <is>
          <t>Bitumen - Taranaki</t>
        </is>
      </c>
      <c r="AA320" s="84" t="inlineStr">
        <is>
          <t>3045</t>
        </is>
      </c>
      <c r="AB320" s="84" t="inlineStr">
        <is>
          <t>Active</t>
        </is>
      </c>
      <c r="AC320" s="84" t="inlineStr">
        <is>
          <t>Connection ID is the account number suffix</t>
        </is>
      </c>
      <c r="AD320" s="85" t="inlineStr">
        <is>
          <t>Copy of Eco_ICP_0001510110PCCA2_CERTS; 3045_ICP_0001510110PCCA2; 5020_ICP_0001510110PCCA2</t>
        </is>
      </c>
      <c r="AE320" s="85" t="inlineStr">
        <is>
          <t>Copy of Eco_ICP_0001510110PCCA2_CERTS - historical</t>
        </is>
      </c>
    </row>
    <row r="321" customFormat="1" s="72">
      <c r="A321" s="66" t="inlineStr">
        <is>
          <t>0005302992ENB6A</t>
        </is>
      </c>
      <c r="B321" s="67" t="inlineStr">
        <is>
          <t>Electricity</t>
        </is>
      </c>
      <c r="C321" s="67" t="inlineStr">
        <is>
          <t>New Zealand</t>
        </is>
      </c>
      <c r="D321" s="67" t="inlineStr">
        <is>
          <t>North Island</t>
        </is>
      </c>
      <c r="E321" s="67" t="inlineStr">
        <is>
          <t>NZ TOU Electricity</t>
        </is>
      </c>
      <c r="F321" s="67" t="n"/>
      <c r="G321" s="67" t="inlineStr">
        <is>
          <t>MAIN CRUSHER  2005 TINIROTO ROAD PATUTAHI GISBORNE 4072</t>
        </is>
      </c>
      <c r="H321" s="67" t="inlineStr">
        <is>
          <t>DOWNER NEW ZEALAND LIMITED (NZBN: 9429039194114)</t>
        </is>
      </c>
      <c r="I321" s="67" t="n"/>
      <c r="J321" s="67" t="inlineStr">
        <is>
          <t>kWh</t>
        </is>
      </c>
      <c r="K321" s="86" t="n">
        <v>75702.264</v>
      </c>
      <c r="L321" s="67" t="inlineStr">
        <is>
          <t>Ecotricity</t>
        </is>
      </c>
      <c r="M321" s="87" t="inlineStr">
        <is>
          <t>Ecotricity</t>
        </is>
      </c>
      <c r="N321" s="87" t="n">
        <v>46204</v>
      </c>
      <c r="O321" s="87" t="n">
        <v>47483</v>
      </c>
      <c r="P321" s="67" t="inlineStr">
        <is>
          <t>42 months</t>
        </is>
      </c>
      <c r="Q321" s="88">
        <f t="array" ref="Q321:S321">IFERROR(ROUNDUP(_xlfn.XLOOKUP(A321,'Budget FY26-28'!A:A,'Budget FY26-28'!M:O)*(1+Summary!$C$2), -2), "")</f>
        <v/>
      </c>
      <c r="R321" s="88" t="n">
        <v>27900</v>
      </c>
      <c r="S321" s="88" t="n">
        <v>27900</v>
      </c>
      <c r="T321" s="67" t="inlineStr">
        <is>
          <t>Ready</t>
        </is>
      </c>
      <c r="U321" s="71" t="n"/>
      <c r="V321" s="84" t="inlineStr">
        <is>
          <t>Eco_ICP_0005302992ENB6A</t>
        </is>
      </c>
      <c r="W321" s="84" t="inlineStr">
        <is>
          <t>Electricity – purchased from grid [kWh]</t>
        </is>
      </c>
      <c r="X321" s="84" t="inlineStr">
        <is>
          <t>Electricity [kWh]</t>
        </is>
      </c>
      <c r="Y321" s="84" t="inlineStr">
        <is>
          <t>Ecotricity</t>
        </is>
      </c>
      <c r="Z321" s="84" t="inlineStr">
        <is>
          <t>Quarry - WOK</t>
        </is>
      </c>
      <c r="AA321" s="84" t="inlineStr">
        <is>
          <t>55192</t>
        </is>
      </c>
      <c r="AB321" s="84" t="inlineStr">
        <is>
          <t>Active</t>
        </is>
      </c>
      <c r="AC321" s="84" t="inlineStr">
        <is>
          <t>Connection ID is the account number suffix</t>
        </is>
      </c>
      <c r="AD321" s="85" t="inlineStr">
        <is>
          <t>Copy of Eco_ICP_0005302992ENB6A_CERTS; 5095_ICP_0005302992ENB6A; 55192_ICP_0005302992ENB6A</t>
        </is>
      </c>
      <c r="AE321" s="85" t="inlineStr">
        <is>
          <t>Copy of Eco_ICP_0005302992ENB6A_CERTS - historical</t>
        </is>
      </c>
    </row>
    <row r="322" customFormat="1" s="72">
      <c r="A322" s="66" t="inlineStr">
        <is>
          <t>0006863450RN0A4</t>
        </is>
      </c>
      <c r="B322" s="67" t="inlineStr">
        <is>
          <t>Electricity</t>
        </is>
      </c>
      <c r="C322" s="67" t="inlineStr">
        <is>
          <t>New Zealand</t>
        </is>
      </c>
      <c r="D322" s="67" t="inlineStr">
        <is>
          <t>South Island</t>
        </is>
      </c>
      <c r="E322" s="67" t="inlineStr">
        <is>
          <t>NZ TOU Electricity</t>
        </is>
      </c>
      <c r="F322" s="67" t="n"/>
      <c r="G322" s="67" t="inlineStr">
        <is>
          <t>Emulco Ltd  55 Godley Quay Lyttelton 0</t>
        </is>
      </c>
      <c r="H322" s="67" t="inlineStr">
        <is>
          <t>DOWNER NEW ZEALAND LIMITED (NZBN: 9429039194114)</t>
        </is>
      </c>
      <c r="I322" s="67" t="n"/>
      <c r="J322" s="67" t="inlineStr">
        <is>
          <t>kWh</t>
        </is>
      </c>
      <c r="K322" s="86" t="n">
        <v>650828.848</v>
      </c>
      <c r="L322" s="67" t="inlineStr">
        <is>
          <t>Ecotricity</t>
        </is>
      </c>
      <c r="M322" s="87" t="inlineStr">
        <is>
          <t>Ecotricity</t>
        </is>
      </c>
      <c r="N322" s="87" t="n">
        <v>46204</v>
      </c>
      <c r="O322" s="87" t="n">
        <v>47483</v>
      </c>
      <c r="P322" s="67" t="inlineStr">
        <is>
          <t>42 months</t>
        </is>
      </c>
      <c r="Q322" s="88">
        <f t="array" ref="Q322:S322">IFERROR(ROUNDUP(_xlfn.XLOOKUP(A322,'Budget FY26-28'!A:A,'Budget FY26-28'!M:O)*(1+Summary!$C$2), -2), "")</f>
        <v/>
      </c>
      <c r="R322" s="88" t="n">
        <v>128100</v>
      </c>
      <c r="S322" s="88" t="n">
        <v>128100</v>
      </c>
      <c r="T322" s="67" t="inlineStr">
        <is>
          <t>Ready</t>
        </is>
      </c>
      <c r="U322" s="71" t="n"/>
      <c r="V322" s="84" t="inlineStr">
        <is>
          <t>Eco_ICP_0006863450RN0A4</t>
        </is>
      </c>
      <c r="W322" s="84" t="inlineStr">
        <is>
          <t>Electricity – purchased from grid [kWh]</t>
        </is>
      </c>
      <c r="X322" s="84" t="inlineStr">
        <is>
          <t>Electricity [kWh]</t>
        </is>
      </c>
      <c r="Y322" s="84" t="inlineStr">
        <is>
          <t>Ecotricity</t>
        </is>
      </c>
      <c r="Z322" s="84" t="inlineStr">
        <is>
          <t>Bitumen - Lyttleton</t>
        </is>
      </c>
      <c r="AA322" s="84" t="inlineStr">
        <is>
          <t>3041</t>
        </is>
      </c>
      <c r="AB322" s="84" t="inlineStr">
        <is>
          <t>Active</t>
        </is>
      </c>
      <c r="AC322" s="84" t="inlineStr">
        <is>
          <t>Connection ID is the account number suffix</t>
        </is>
      </c>
      <c r="AD322" s="85" t="inlineStr">
        <is>
          <t>Copy of Eco_ICP_0006863450RN0A4_CERTS; 3041_ICP_0006863450RN0A4; 5018_ICP_0006863450RN0A4</t>
        </is>
      </c>
      <c r="AE322" s="85" t="inlineStr">
        <is>
          <t>Copy of Eco_ICP_0006863450RN0A4_CERTS - historical · Copy of Eco_ICP_0007202058RN859_CERTS (at this location, different ID) - historical</t>
        </is>
      </c>
    </row>
    <row r="323" customFormat="1" s="72">
      <c r="A323" s="66" t="inlineStr">
        <is>
          <t>0007186219RN9AF</t>
        </is>
      </c>
      <c r="B323" s="67" t="inlineStr">
        <is>
          <t>Electricity</t>
        </is>
      </c>
      <c r="C323" s="67" t="inlineStr">
        <is>
          <t>New Zealand</t>
        </is>
      </c>
      <c r="D323" s="67" t="inlineStr">
        <is>
          <t>South Island</t>
        </is>
      </c>
      <c r="E323" s="67" t="inlineStr">
        <is>
          <t>NZ TOU Electricity</t>
        </is>
      </c>
      <c r="F323" s="67" t="n"/>
      <c r="G323" s="67" t="inlineStr">
        <is>
          <t>MINISTRY OF EDUCATION - AGHS &amp; SBHS,
171 TRAVIS ROAD, BURWOOD,
CHRISTCHURCH 8083</t>
        </is>
      </c>
      <c r="H323" s="67" t="inlineStr">
        <is>
          <t>SPOTLESS FACILITY SERVICES (NZ) LIMITED (NZBN: 9429040596099)</t>
        </is>
      </c>
      <c r="I323" s="67" t="n"/>
      <c r="J323" s="67" t="inlineStr">
        <is>
          <t>kWh</t>
        </is>
      </c>
      <c r="K323" s="86" t="n">
        <v>862000</v>
      </c>
      <c r="L323" s="67" t="inlineStr">
        <is>
          <t>Ecotricity</t>
        </is>
      </c>
      <c r="M323" s="87" t="inlineStr">
        <is>
          <t>Ecotricity</t>
        </is>
      </c>
      <c r="N323" s="87" t="n">
        <v>46204</v>
      </c>
      <c r="O323" s="87" t="n">
        <v>47483</v>
      </c>
      <c r="P323" s="67" t="inlineStr">
        <is>
          <t>42 months</t>
        </is>
      </c>
      <c r="Q323" s="88">
        <f t="array" ref="Q323:S323">IFERROR(ROUNDUP(_xlfn.XLOOKUP(A323,'Budget FY26-28'!A:A,'Budget FY26-28'!M:O)*(1+Summary!$C$2), -2), "")</f>
        <v/>
      </c>
      <c r="R323" s="88" t="n">
        <v>0</v>
      </c>
      <c r="S323" s="88" t="n">
        <v>0</v>
      </c>
      <c r="T323" s="67" t="inlineStr">
        <is>
          <t>Review required</t>
        </is>
      </c>
      <c r="U323" s="71" t="n"/>
      <c r="V323" s="84" t="inlineStr">
        <is>
          <t>Not found</t>
        </is>
      </c>
      <c r="W323" s="84" t="inlineStr"/>
      <c r="X323" s="84" t="inlineStr"/>
      <c r="Y323" s="84" t="inlineStr"/>
      <c r="Z323" s="84" t="inlineStr"/>
      <c r="AA323" s="84" t="inlineStr"/>
      <c r="AB323" s="84" t="inlineStr"/>
      <c r="AC323" s="84" t="inlineStr">
        <is>
          <t>No Envizi account ends in this Connection ID</t>
        </is>
      </c>
      <c r="AD323" s="85" t="inlineStr"/>
      <c r="AE323" s="85" t="inlineStr"/>
    </row>
    <row r="324" customFormat="1" s="72">
      <c r="A324" s="66" t="inlineStr">
        <is>
          <t>0007186221RNC43</t>
        </is>
      </c>
      <c r="B324" s="67" t="inlineStr">
        <is>
          <t>Electricity</t>
        </is>
      </c>
      <c r="C324" s="67" t="inlineStr">
        <is>
          <t>New Zealand</t>
        </is>
      </c>
      <c r="D324" s="67" t="inlineStr">
        <is>
          <t>South Island</t>
        </is>
      </c>
      <c r="E324" s="67" t="inlineStr">
        <is>
          <t>NZ TOU Electricity</t>
        </is>
      </c>
      <c r="F324" s="67" t="n"/>
      <c r="G324" s="67" t="inlineStr">
        <is>
          <t>171 TRAVIS ROAD,
BURWOOD, CHRISTCHURCH 8083</t>
        </is>
      </c>
      <c r="H324" s="67" t="inlineStr">
        <is>
          <t>SPOTLESS FACILITY SERVICES (NZ) LIMITED (NZBN: 9429040596099)</t>
        </is>
      </c>
      <c r="I324" s="67" t="n"/>
      <c r="J324" s="67" t="inlineStr">
        <is>
          <t>kWh</t>
        </is>
      </c>
      <c r="K324" s="86" t="n">
        <v>998000</v>
      </c>
      <c r="L324" s="67" t="inlineStr">
        <is>
          <t>Ecotricity</t>
        </is>
      </c>
      <c r="M324" s="87" t="inlineStr">
        <is>
          <t>Ecotricity</t>
        </is>
      </c>
      <c r="N324" s="87" t="n">
        <v>46204</v>
      </c>
      <c r="O324" s="87" t="n">
        <v>47483</v>
      </c>
      <c r="P324" s="67" t="inlineStr">
        <is>
          <t>42 months</t>
        </is>
      </c>
      <c r="Q324" s="88">
        <f t="array" ref="Q324:S324">IFERROR(ROUNDUP(_xlfn.XLOOKUP(A324,'Budget FY26-28'!A:A,'Budget FY26-28'!M:O)*(1+Summary!$C$2), -2), "")</f>
        <v/>
      </c>
      <c r="R324" s="88" t="n">
        <v>0</v>
      </c>
      <c r="S324" s="88" t="n">
        <v>0</v>
      </c>
      <c r="T324" s="67" t="inlineStr">
        <is>
          <t>Review required</t>
        </is>
      </c>
      <c r="U324" s="71" t="n"/>
      <c r="V324" s="84" t="inlineStr">
        <is>
          <t>Not found</t>
        </is>
      </c>
      <c r="W324" s="84" t="inlineStr"/>
      <c r="X324" s="84" t="inlineStr"/>
      <c r="Y324" s="84" t="inlineStr"/>
      <c r="Z324" s="84" t="inlineStr"/>
      <c r="AA324" s="84" t="inlineStr"/>
      <c r="AB324" s="84" t="inlineStr"/>
      <c r="AC324" s="84" t="inlineStr">
        <is>
          <t>No Envizi account ends in this Connection ID</t>
        </is>
      </c>
      <c r="AD324" s="85" t="inlineStr"/>
      <c r="AE324" s="85" t="inlineStr"/>
    </row>
    <row r="325" customFormat="1" s="72">
      <c r="A325" s="66" t="inlineStr">
        <is>
          <t>0007186223RNCC6</t>
        </is>
      </c>
      <c r="B325" s="67" t="inlineStr">
        <is>
          <t>Electricity</t>
        </is>
      </c>
      <c r="C325" s="67" t="inlineStr">
        <is>
          <t>New Zealand</t>
        </is>
      </c>
      <c r="D325" s="67" t="inlineStr">
        <is>
          <t>South Island</t>
        </is>
      </c>
      <c r="E325" s="67" t="inlineStr">
        <is>
          <t>NZ TOU Electricity</t>
        </is>
      </c>
      <c r="F325" s="67" t="n"/>
      <c r="G325" s="67" t="inlineStr">
        <is>
          <t>MINISTRY OF EDUCATION - SBHS,
1171 TRAVIS ROAD, BURWOOD,
CHRISTCHURCH 8083</t>
        </is>
      </c>
      <c r="H325" s="67" t="inlineStr">
        <is>
          <t>SPOTLESS FACILITY SERVICES (NZ) LIMITED (NZBN: 9429040596099)</t>
        </is>
      </c>
      <c r="I325" s="67" t="n"/>
      <c r="J325" s="67" t="inlineStr">
        <is>
          <t>kWh</t>
        </is>
      </c>
      <c r="K325" s="86" t="n">
        <v>631000</v>
      </c>
      <c r="L325" s="67" t="inlineStr">
        <is>
          <t>Ecotricity</t>
        </is>
      </c>
      <c r="M325" s="87" t="inlineStr">
        <is>
          <t>Ecotricity</t>
        </is>
      </c>
      <c r="N325" s="87" t="n">
        <v>46204</v>
      </c>
      <c r="O325" s="87" t="n">
        <v>47483</v>
      </c>
      <c r="P325" s="67" t="inlineStr">
        <is>
          <t>42 months</t>
        </is>
      </c>
      <c r="Q325" s="88">
        <f t="array" ref="Q325:S325">IFERROR(ROUNDUP(_xlfn.XLOOKUP(A325,'Budget FY26-28'!A:A,'Budget FY26-28'!M:O)*(1+Summary!$C$2), -2), "")</f>
        <v/>
      </c>
      <c r="R325" s="88" t="n">
        <v>0</v>
      </c>
      <c r="S325" s="88" t="n">
        <v>0</v>
      </c>
      <c r="T325" s="67" t="inlineStr">
        <is>
          <t>Review required</t>
        </is>
      </c>
      <c r="U325" s="71" t="n"/>
      <c r="V325" s="84" t="inlineStr">
        <is>
          <t>Not found</t>
        </is>
      </c>
      <c r="W325" s="84" t="inlineStr"/>
      <c r="X325" s="84" t="inlineStr"/>
      <c r="Y325" s="84" t="inlineStr"/>
      <c r="Z325" s="84" t="inlineStr"/>
      <c r="AA325" s="84" t="inlineStr"/>
      <c r="AB325" s="84" t="inlineStr"/>
      <c r="AC325" s="84" t="inlineStr">
        <is>
          <t>No Envizi account ends in this Connection ID</t>
        </is>
      </c>
      <c r="AD325" s="85" t="inlineStr"/>
      <c r="AE325" s="85" t="inlineStr"/>
    </row>
    <row r="326" customFormat="1" s="72">
      <c r="A326" s="66" t="inlineStr">
        <is>
          <t>0007202058RN859</t>
        </is>
      </c>
      <c r="B326" s="67" t="inlineStr">
        <is>
          <t>Electricity</t>
        </is>
      </c>
      <c r="C326" s="67" t="inlineStr">
        <is>
          <t>New Zealand</t>
        </is>
      </c>
      <c r="D326" s="67" t="inlineStr">
        <is>
          <t>South Island</t>
        </is>
      </c>
      <c r="E326" s="67" t="inlineStr">
        <is>
          <t>NZ TOU Electricity</t>
        </is>
      </c>
      <c r="F326" s="67" t="n"/>
      <c r="G326" s="67" t="inlineStr">
        <is>
          <t>10 Charlotte Jane Quay Lyttelton 0</t>
        </is>
      </c>
      <c r="H326" s="67" t="inlineStr">
        <is>
          <t>DOWNER NEW ZEALAND LIMITED (NZBN: 9429039194114)</t>
        </is>
      </c>
      <c r="I326" s="67" t="n"/>
      <c r="J326" s="67" t="inlineStr">
        <is>
          <t>kWh</t>
        </is>
      </c>
      <c r="K326" s="86" t="n">
        <v>872761.4399999999</v>
      </c>
      <c r="L326" s="67" t="inlineStr">
        <is>
          <t>Ecotricity</t>
        </is>
      </c>
      <c r="M326" s="87" t="inlineStr">
        <is>
          <t>Ecotricity</t>
        </is>
      </c>
      <c r="N326" s="87" t="n">
        <v>46204</v>
      </c>
      <c r="O326" s="87" t="n">
        <v>47483</v>
      </c>
      <c r="P326" s="67" t="inlineStr">
        <is>
          <t>42 months</t>
        </is>
      </c>
      <c r="Q326" s="88">
        <f t="array" ref="Q326:S326">IFERROR(ROUNDUP(_xlfn.XLOOKUP(A326,'Budget FY26-28'!A:A,'Budget FY26-28'!M:O)*(1+Summary!$C$2), -2), "")</f>
        <v/>
      </c>
      <c r="R326" s="88" t="n">
        <v>151000</v>
      </c>
      <c r="S326" s="88" t="n">
        <v>151000</v>
      </c>
      <c r="T326" s="67" t="inlineStr">
        <is>
          <t>Ready</t>
        </is>
      </c>
      <c r="U326" s="71" t="n"/>
      <c r="V326" s="84" t="inlineStr">
        <is>
          <t>Eco_ICP_0007202058RN859</t>
        </is>
      </c>
      <c r="W326" s="84" t="inlineStr">
        <is>
          <t>Electricity – purchased from grid [kWh]</t>
        </is>
      </c>
      <c r="X326" s="84" t="inlineStr">
        <is>
          <t>Electricity [kWh]</t>
        </is>
      </c>
      <c r="Y326" s="84" t="inlineStr">
        <is>
          <t>Ecotricity</t>
        </is>
      </c>
      <c r="Z326" s="84" t="inlineStr">
        <is>
          <t>Bitumen - Lyttleton</t>
        </is>
      </c>
      <c r="AA326" s="84" t="inlineStr">
        <is>
          <t>3041</t>
        </is>
      </c>
      <c r="AB326" s="84" t="inlineStr">
        <is>
          <t>Active</t>
        </is>
      </c>
      <c r="AC326" s="84" t="inlineStr">
        <is>
          <t>Connection ID is the account number suffix</t>
        </is>
      </c>
      <c r="AD326" s="85" t="inlineStr">
        <is>
          <t>Copy of Eco_ICP_0007202058RN859_CERTS; 3041_ICP_0007202058RN859; 5018_ICP_0007202058RN859</t>
        </is>
      </c>
      <c r="AE326" s="85" t="inlineStr">
        <is>
          <t>Copy of Eco_ICP_0006863450RN0A4_CERTS (at this location, different ID) - historical · Copy of Eco_ICP_0007202058RN859_CERTS - historical</t>
        </is>
      </c>
    </row>
    <row r="327" customFormat="1" s="72">
      <c r="A327" s="66" t="inlineStr">
        <is>
          <t>1000522230PCA6E</t>
        </is>
      </c>
      <c r="B327" s="67" t="inlineStr">
        <is>
          <t>Electricity</t>
        </is>
      </c>
      <c r="C327" s="67" t="inlineStr">
        <is>
          <t>New Zealand</t>
        </is>
      </c>
      <c r="D327" s="67" t="inlineStr">
        <is>
          <t>North Island</t>
        </is>
      </c>
      <c r="E327" s="67" t="inlineStr">
        <is>
          <t>NZ TOU Electricity</t>
        </is>
      </c>
      <c r="F327" s="67" t="n"/>
      <c r="G327" s="67" t="inlineStr">
        <is>
          <t>120 B AERODROME ROAD MOUNT MAUNGANUI 3116</t>
        </is>
      </c>
      <c r="H327" s="67" t="inlineStr">
        <is>
          <t>DOWNER NEW ZEALAND LIMITED (NZBN: 9429039194114)</t>
        </is>
      </c>
      <c r="I327" s="67" t="n"/>
      <c r="J327" s="67" t="inlineStr">
        <is>
          <t>kWh</t>
        </is>
      </c>
      <c r="K327" s="86" t="n">
        <v>48441.87999999999</v>
      </c>
      <c r="L327" s="67" t="inlineStr">
        <is>
          <t>Ecotricity</t>
        </is>
      </c>
      <c r="M327" s="87" t="inlineStr">
        <is>
          <t>Ecotricity</t>
        </is>
      </c>
      <c r="N327" s="87" t="n">
        <v>46204</v>
      </c>
      <c r="O327" s="87" t="n">
        <v>47483</v>
      </c>
      <c r="P327" s="67" t="inlineStr">
        <is>
          <t>42 months</t>
        </is>
      </c>
      <c r="Q327" s="88">
        <f t="array" ref="Q327:S327">IFERROR(ROUNDUP(_xlfn.XLOOKUP(A327,'Budget FY26-28'!A:A,'Budget FY26-28'!M:O)*(1+Summary!$C$2), -2), "")</f>
        <v/>
      </c>
      <c r="R327" s="88" t="n">
        <v>36700</v>
      </c>
      <c r="S327" s="88" t="n">
        <v>36700</v>
      </c>
      <c r="T327" s="67" t="inlineStr">
        <is>
          <t>Ready</t>
        </is>
      </c>
      <c r="U327" s="71" t="n"/>
      <c r="V327" s="84" t="inlineStr">
        <is>
          <t>Eco_ICP_1000522230PCA6E</t>
        </is>
      </c>
      <c r="W327" s="84" t="inlineStr">
        <is>
          <t>Electricity – purchased from grid [kWh]</t>
        </is>
      </c>
      <c r="X327" s="84" t="inlineStr">
        <is>
          <t>Electricity [kWh]</t>
        </is>
      </c>
      <c r="Y327" s="84" t="inlineStr">
        <is>
          <t>Ecotricity</t>
        </is>
      </c>
      <c r="Z327" s="84" t="inlineStr">
        <is>
          <t>Tauranga Area Manager</t>
        </is>
      </c>
      <c r="AA327" s="84" t="inlineStr">
        <is>
          <t>PG60110</t>
        </is>
      </c>
      <c r="AB327" s="84" t="inlineStr">
        <is>
          <t>Active</t>
        </is>
      </c>
      <c r="AC327" s="84" t="inlineStr">
        <is>
          <t>Connection ID is the account number suffix</t>
        </is>
      </c>
      <c r="AD327" s="85" t="inlineStr">
        <is>
          <t>Copy of Eco_ICP_1000522230PCA6E_CERTS; 5149_ICP_1000522230PCA6E; 5154_ICP_1000522230PCA6E; PG60110_ICP_1000522230PCA6E</t>
        </is>
      </c>
      <c r="AE327" s="85" t="inlineStr">
        <is>
          <t>Copy of Eco_ICP_1000522230PCA6E_CERTS - historical</t>
        </is>
      </c>
    </row>
    <row r="328" customFormat="1" s="72">
      <c r="A328" s="66" t="inlineStr">
        <is>
          <t>1000610486PC18D</t>
        </is>
      </c>
      <c r="B328" s="67" t="inlineStr">
        <is>
          <t>Electricity</t>
        </is>
      </c>
      <c r="C328" s="67" t="inlineStr">
        <is>
          <t>New Zealand</t>
        </is>
      </c>
      <c r="D328" s="67" t="inlineStr">
        <is>
          <t>North Island</t>
        </is>
      </c>
      <c r="E328" s="67" t="inlineStr">
        <is>
          <t>NZ TOU Electricity</t>
        </is>
      </c>
      <c r="F328" s="67" t="n"/>
      <c r="G328" s="67" t="inlineStr">
        <is>
          <t>Commercial  345 MATAKOKIRI DRIVE OMANAWA TAURANGA 3171</t>
        </is>
      </c>
      <c r="H328" s="67" t="inlineStr">
        <is>
          <t>DOWNER NEW ZEALAND LIMITED (NZBN: 9429039194114)</t>
        </is>
      </c>
      <c r="I328" s="67" t="n"/>
      <c r="J328" s="67" t="inlineStr">
        <is>
          <t>kWh</t>
        </is>
      </c>
      <c r="K328" s="86" t="n">
        <v>298706.66</v>
      </c>
      <c r="L328" s="67" t="inlineStr">
        <is>
          <t>Ecotricity</t>
        </is>
      </c>
      <c r="M328" s="87" t="inlineStr">
        <is>
          <t>Ecotricity</t>
        </is>
      </c>
      <c r="N328" s="87" t="n">
        <v>46204</v>
      </c>
      <c r="O328" s="87" t="n">
        <v>47483</v>
      </c>
      <c r="P328" s="67" t="inlineStr">
        <is>
          <t>42 months</t>
        </is>
      </c>
      <c r="Q328" s="88">
        <f t="array" ref="Q328:S328">IFERROR(ROUNDUP(_xlfn.XLOOKUP(A328,'Budget FY26-28'!A:A,'Budget FY26-28'!M:O)*(1+Summary!$C$2), -2), "")</f>
        <v/>
      </c>
      <c r="R328" s="88" t="n">
        <v>75500</v>
      </c>
      <c r="S328" s="88" t="n">
        <v>75500</v>
      </c>
      <c r="T328" s="67" t="inlineStr">
        <is>
          <t>Ready</t>
        </is>
      </c>
      <c r="U328" s="71" t="n"/>
      <c r="V328" s="84" t="inlineStr">
        <is>
          <t>Eco_ICP_1000610486PC18D</t>
        </is>
      </c>
      <c r="W328" s="84" t="inlineStr">
        <is>
          <t>Electricity – purchased from grid [kWh]</t>
        </is>
      </c>
      <c r="X328" s="84" t="inlineStr">
        <is>
          <t>Electricity [kWh]</t>
        </is>
      </c>
      <c r="Y328" s="84" t="inlineStr">
        <is>
          <t>Ecotricity</t>
        </is>
      </c>
      <c r="Z328" s="84" t="inlineStr">
        <is>
          <t>BOP Omanawa - 345 Matakokiri Drive, Tauranga</t>
        </is>
      </c>
      <c r="AA328" s="84" t="inlineStr">
        <is>
          <t>L9.DNZJ.3520</t>
        </is>
      </c>
      <c r="AB328" s="84" t="inlineStr">
        <is>
          <t>Active</t>
        </is>
      </c>
      <c r="AC328" s="84" t="inlineStr">
        <is>
          <t>Connection ID is the account number suffix</t>
        </is>
      </c>
      <c r="AD328" s="85" t="inlineStr">
        <is>
          <t>Copy of Eco_ICP_1000610486PC18D_CERTS</t>
        </is>
      </c>
      <c r="AE328" s="85" t="inlineStr">
        <is>
          <t>Copy of Eco_ICP_1000610486PC18D_CERTS - historical</t>
        </is>
      </c>
    </row>
    <row r="329" customFormat="1" s="72">
      <c r="A329" s="66" t="inlineStr">
        <is>
          <t>1001113152UNBF4</t>
        </is>
      </c>
      <c r="B329" s="67" t="inlineStr">
        <is>
          <t>Electricity</t>
        </is>
      </c>
      <c r="C329" s="67" t="inlineStr">
        <is>
          <t>New Zealand</t>
        </is>
      </c>
      <c r="D329" s="67" t="inlineStr">
        <is>
          <t>North Island</t>
        </is>
      </c>
      <c r="E329" s="67" t="inlineStr">
        <is>
          <t>NZ TOU Electricity</t>
        </is>
      </c>
      <c r="F329" s="67" t="n"/>
      <c r="G329" s="67" t="inlineStr">
        <is>
          <t>1 NGAURANGA GORGE ROAD NGAURANGA WELLINGTON 6035</t>
        </is>
      </c>
      <c r="H329" s="67" t="inlineStr">
        <is>
          <t>DOWNER NEW ZEALAND LIMITED (NZBN: 9429039194114)</t>
        </is>
      </c>
      <c r="I329" s="67" t="n"/>
      <c r="J329" s="67" t="inlineStr">
        <is>
          <t>kWh</t>
        </is>
      </c>
      <c r="K329" s="86" t="n">
        <v>913592.952</v>
      </c>
      <c r="L329" s="67" t="inlineStr">
        <is>
          <t>Ecotricity</t>
        </is>
      </c>
      <c r="M329" s="87" t="inlineStr">
        <is>
          <t>Ecotricity</t>
        </is>
      </c>
      <c r="N329" s="87" t="n">
        <v>46204</v>
      </c>
      <c r="O329" s="87" t="n">
        <v>47483</v>
      </c>
      <c r="P329" s="67" t="inlineStr">
        <is>
          <t>42 months</t>
        </is>
      </c>
      <c r="Q329" s="88">
        <f t="array" ref="Q329:S329">IFERROR(ROUNDUP(_xlfn.XLOOKUP(A329,'Budget FY26-28'!A:A,'Budget FY26-28'!M:O)*(1+Summary!$C$2), -2), "")</f>
        <v/>
      </c>
      <c r="R329" s="88" t="n">
        <v>178700</v>
      </c>
      <c r="S329" s="88" t="n">
        <v>178700</v>
      </c>
      <c r="T329" s="67" t="inlineStr">
        <is>
          <t>Ready</t>
        </is>
      </c>
      <c r="U329" s="71" t="n"/>
      <c r="V329" s="84" t="inlineStr">
        <is>
          <t>Eco_ICP_1001113152UNBF4</t>
        </is>
      </c>
      <c r="W329" s="84" t="inlineStr">
        <is>
          <t>Electricity – purchased from grid [kWh]</t>
        </is>
      </c>
      <c r="X329" s="84" t="inlineStr">
        <is>
          <t>Electricity [kWh]</t>
        </is>
      </c>
      <c r="Y329" s="84" t="inlineStr">
        <is>
          <t>Ecotricity</t>
        </is>
      </c>
      <c r="Z329" s="84" t="inlineStr">
        <is>
          <t>Asphalt Prod - Wellington</t>
        </is>
      </c>
      <c r="AA329" s="84" t="inlineStr">
        <is>
          <t>3507</t>
        </is>
      </c>
      <c r="AB329" s="84" t="inlineStr">
        <is>
          <t>Active</t>
        </is>
      </c>
      <c r="AC329" s="84" t="inlineStr">
        <is>
          <t>Connection ID is the account number suffix</t>
        </is>
      </c>
      <c r="AD329" s="85" t="inlineStr">
        <is>
          <t>Copy of Eco_ICP_1001113152UNBF4_CERTS; 3507_ICP_1001113152UNBF4; 5016_ICP_1001113152UNBF4</t>
        </is>
      </c>
      <c r="AE329" s="85" t="inlineStr">
        <is>
          <t>Copy of Eco_ICP_1001113152UNBF4_CERTS - historical</t>
        </is>
      </c>
    </row>
    <row r="330" customFormat="1" s="72">
      <c r="A330" s="66" t="inlineStr">
        <is>
          <t>1001126325LC57C</t>
        </is>
      </c>
      <c r="B330" s="67" t="inlineStr">
        <is>
          <t>Electricity</t>
        </is>
      </c>
      <c r="C330" s="67" t="inlineStr">
        <is>
          <t>New Zealand</t>
        </is>
      </c>
      <c r="D330" s="67" t="inlineStr">
        <is>
          <t>North Island</t>
        </is>
      </c>
      <c r="E330" s="67" t="inlineStr">
        <is>
          <t>NZ TOU Electricity</t>
        </is>
      </c>
      <c r="F330" s="67" t="n"/>
      <c r="G330" s="67" t="inlineStr">
        <is>
          <t>WORKS INFRASTRUCTURE ASPHALT PLANT  645 GREAT SOUTH ROAD PENROSE AUCKLAND 1061</t>
        </is>
      </c>
      <c r="H330" s="67" t="inlineStr">
        <is>
          <t>DOWNER NEW ZEALAND LIMITED (NZBN: 9429039194114)</t>
        </is>
      </c>
      <c r="I330" s="67" t="n"/>
      <c r="J330" s="67" t="inlineStr">
        <is>
          <t>kWh</t>
        </is>
      </c>
      <c r="K330" s="86" t="n">
        <v>1476649</v>
      </c>
      <c r="L330" s="67" t="inlineStr">
        <is>
          <t>Ecotricity</t>
        </is>
      </c>
      <c r="M330" s="87" t="inlineStr">
        <is>
          <t>Ecotricity</t>
        </is>
      </c>
      <c r="N330" s="87" t="n">
        <v>46204</v>
      </c>
      <c r="O330" s="87" t="n">
        <v>47483</v>
      </c>
      <c r="P330" s="67" t="inlineStr">
        <is>
          <t>42 months</t>
        </is>
      </c>
      <c r="Q330" s="88">
        <f t="array" ref="Q330:S330">IFERROR(ROUNDUP(_xlfn.XLOOKUP(A330,'Budget FY26-28'!A:A,'Budget FY26-28'!M:O)*(1+Summary!$C$2), -2), "")</f>
        <v/>
      </c>
      <c r="R330" s="88" t="n">
        <v>341400</v>
      </c>
      <c r="S330" s="88" t="n">
        <v>341400</v>
      </c>
      <c r="T330" s="67" t="inlineStr">
        <is>
          <t>Ready</t>
        </is>
      </c>
      <c r="U330" s="71" t="n"/>
      <c r="V330" s="84" t="inlineStr">
        <is>
          <t>Eco_ICP_1001126325LC57C</t>
        </is>
      </c>
      <c r="W330" s="84" t="inlineStr">
        <is>
          <t>Electricity – purchased from grid [kWh]</t>
        </is>
      </c>
      <c r="X330" s="84" t="inlineStr">
        <is>
          <t>Electricity [kWh]</t>
        </is>
      </c>
      <c r="Y330" s="84" t="inlineStr">
        <is>
          <t>Ecotricity</t>
        </is>
      </c>
      <c r="Z330" s="84" t="inlineStr">
        <is>
          <t>Asphalt Prod - Auckland</t>
        </is>
      </c>
      <c r="AA330" s="84" t="inlineStr">
        <is>
          <t>3503</t>
        </is>
      </c>
      <c r="AB330" s="84" t="inlineStr">
        <is>
          <t>Active</t>
        </is>
      </c>
      <c r="AC330" s="84" t="inlineStr">
        <is>
          <t>Connection ID is the account number suffix</t>
        </is>
      </c>
      <c r="AD330" s="85" t="inlineStr">
        <is>
          <t>Copy of Eco_ICP_1001126325LC57C_CERTS; 3503_ICP_1001126325LC57C; 5011_ICP_1001126325LC57C</t>
        </is>
      </c>
      <c r="AE330" s="85" t="inlineStr">
        <is>
          <t>Copy of Eco_ICP_1001126325LC57C_CERTS - historical</t>
        </is>
      </c>
    </row>
    <row r="331" customFormat="1" s="72">
      <c r="A331" s="66" t="inlineStr">
        <is>
          <t>1001151226CK008</t>
        </is>
      </c>
      <c r="B331" s="67" t="inlineStr">
        <is>
          <t>Electricity</t>
        </is>
      </c>
      <c r="C331" s="67" t="inlineStr">
        <is>
          <t>New Zealand</t>
        </is>
      </c>
      <c r="D331" s="67" t="inlineStr">
        <is>
          <t>North Island</t>
        </is>
      </c>
      <c r="E331" s="67" t="inlineStr">
        <is>
          <t>NZ TOU Electricity</t>
        </is>
      </c>
      <c r="F331" s="67" t="n"/>
      <c r="G331" s="67" t="inlineStr">
        <is>
          <t>14- 16 MAKARO STREET ELSDON PORIRUA 5022</t>
        </is>
      </c>
      <c r="H331" s="67" t="inlineStr">
        <is>
          <t>DOWNER NEW ZEALAND LIMITED (NZBN: 9429039194114)</t>
        </is>
      </c>
      <c r="I331" s="67" t="n"/>
      <c r="J331" s="67" t="inlineStr">
        <is>
          <t>kWh</t>
        </is>
      </c>
      <c r="K331" s="86" t="n">
        <v>445723.5699999999</v>
      </c>
      <c r="L331" s="67" t="inlineStr">
        <is>
          <t>Ecotricity</t>
        </is>
      </c>
      <c r="M331" s="87" t="inlineStr">
        <is>
          <t>Ecotricity</t>
        </is>
      </c>
      <c r="N331" s="87" t="n">
        <v>46204</v>
      </c>
      <c r="O331" s="87" t="n">
        <v>47483</v>
      </c>
      <c r="P331" s="67" t="inlineStr">
        <is>
          <t>42 months</t>
        </is>
      </c>
      <c r="Q331" s="88">
        <f t="array" ref="Q331:S331">IFERROR(ROUNDUP(_xlfn.XLOOKUP(A331,'Budget FY26-28'!A:A,'Budget FY26-28'!M:O)*(1+Summary!$C$2), -2), "")</f>
        <v/>
      </c>
      <c r="R331" s="88" t="n">
        <v>82900</v>
      </c>
      <c r="S331" s="88" t="n">
        <v>82900</v>
      </c>
      <c r="T331" s="67" t="inlineStr">
        <is>
          <t>Ready</t>
        </is>
      </c>
      <c r="U331" s="71" t="n"/>
      <c r="V331" s="84" t="inlineStr">
        <is>
          <t>Eco_ICP_1001151226CK008</t>
        </is>
      </c>
      <c r="W331" s="84" t="inlineStr">
        <is>
          <t>Electricity – purchased from grid [kWh]</t>
        </is>
      </c>
      <c r="X331" s="84" t="inlineStr">
        <is>
          <t>Electricity [kWh]</t>
        </is>
      </c>
      <c r="Y331" s="84" t="inlineStr">
        <is>
          <t>Ecotricity</t>
        </is>
      </c>
      <c r="Z331" s="84" t="inlineStr">
        <is>
          <t>Wellington Depot</t>
        </is>
      </c>
      <c r="AA331" s="84" t="inlineStr">
        <is>
          <t>55602</t>
        </is>
      </c>
      <c r="AB331" s="84" t="inlineStr">
        <is>
          <t>Active</t>
        </is>
      </c>
      <c r="AC331" s="84" t="inlineStr">
        <is>
          <t>Connection ID is the account number suffix</t>
        </is>
      </c>
      <c r="AD331" s="85" t="inlineStr">
        <is>
          <t>Copy of Eco_ICP_1001151226CK008_CERTS; 5070_ICP_1001151226CK008; 55602_ICP_1001151226CK008</t>
        </is>
      </c>
      <c r="AE331" s="85" t="inlineStr">
        <is>
          <t>Copy of Eco_ICP_1001151226CK008_CERTS - historical</t>
        </is>
      </c>
    </row>
    <row r="332" customFormat="1" s="72">
      <c r="A332" s="66" t="inlineStr">
        <is>
          <t>1001240514LC3EB</t>
        </is>
      </c>
      <c r="B332" s="67" t="inlineStr">
        <is>
          <t>Electricity</t>
        </is>
      </c>
      <c r="C332" s="67" t="inlineStr">
        <is>
          <t>New Zealand</t>
        </is>
      </c>
      <c r="D332" s="67" t="inlineStr">
        <is>
          <t>North Island</t>
        </is>
      </c>
      <c r="E332" s="67" t="inlineStr">
        <is>
          <t>NZ TOU Electricity</t>
        </is>
      </c>
      <c r="F332" s="67" t="n"/>
      <c r="G332" s="67" t="inlineStr">
        <is>
          <t>130 A KERRS ROAD WIRI AUCKLAND 2104</t>
        </is>
      </c>
      <c r="H332" s="67" t="inlineStr">
        <is>
          <t>DOWNER NEW ZEALAND LIMITED (NZBN: 9429039194114)</t>
        </is>
      </c>
      <c r="I332" s="67" t="n"/>
      <c r="J332" s="67" t="inlineStr">
        <is>
          <t>kWh</t>
        </is>
      </c>
      <c r="K332" s="86" t="n">
        <v>1152846.384</v>
      </c>
      <c r="L332" s="67" t="inlineStr">
        <is>
          <t>Ecotricity</t>
        </is>
      </c>
      <c r="M332" s="87" t="inlineStr">
        <is>
          <t>Ecotricity</t>
        </is>
      </c>
      <c r="N332" s="87" t="n">
        <v>46204</v>
      </c>
      <c r="O332" s="87" t="n">
        <v>47483</v>
      </c>
      <c r="P332" s="67" t="inlineStr">
        <is>
          <t>42 months</t>
        </is>
      </c>
      <c r="Q332" s="88">
        <f t="array" ref="Q332:S332">IFERROR(ROUNDUP(_xlfn.XLOOKUP(A332,'Budget FY26-28'!A:A,'Budget FY26-28'!M:O)*(1+Summary!$C$2), -2), "")</f>
        <v/>
      </c>
      <c r="R332" s="88" t="n">
        <v>267900</v>
      </c>
      <c r="S332" s="88" t="n">
        <v>267900</v>
      </c>
      <c r="T332" s="67" t="inlineStr">
        <is>
          <t>Ready</t>
        </is>
      </c>
      <c r="U332" s="71" t="n"/>
      <c r="V332" s="84" t="inlineStr">
        <is>
          <t>Eco_ICP_1001240514LC3EB</t>
        </is>
      </c>
      <c r="W332" s="84" t="inlineStr">
        <is>
          <t>Electricity – purchased from grid [kWh]</t>
        </is>
      </c>
      <c r="X332" s="84" t="inlineStr">
        <is>
          <t>Electricity [kWh]</t>
        </is>
      </c>
      <c r="Y332" s="84" t="inlineStr">
        <is>
          <t>Ecotricity</t>
        </is>
      </c>
      <c r="Z332" s="84" t="inlineStr">
        <is>
          <t>Wiri (130 Kerrs Rd)</t>
        </is>
      </c>
      <c r="AA332" s="84" t="inlineStr">
        <is>
          <t>91145</t>
        </is>
      </c>
      <c r="AB332" s="84" t="inlineStr">
        <is>
          <t>Active</t>
        </is>
      </c>
      <c r="AC332" s="84" t="inlineStr">
        <is>
          <t>Connection ID is the account number suffix</t>
        </is>
      </c>
      <c r="AD332" s="85" t="inlineStr">
        <is>
          <t>Copy of Eco_ICP_1001240514LC3EB_CERTS; 5005_ICP_1001240514LC3EB; 91145_ICP_1001240514LC3EB</t>
        </is>
      </c>
      <c r="AE332" s="85" t="inlineStr">
        <is>
          <t>Copy of Eco_ICP_1001240514LC3EB_CERTS - historical</t>
        </is>
      </c>
    </row>
    <row r="333" customFormat="1" s="72">
      <c r="A333" s="66" t="inlineStr">
        <is>
          <t>1002051460LC4EA</t>
        </is>
      </c>
      <c r="B333" s="67" t="inlineStr">
        <is>
          <t>Electricity</t>
        </is>
      </c>
      <c r="C333" s="67" t="inlineStr">
        <is>
          <t>New Zealand</t>
        </is>
      </c>
      <c r="D333" s="67" t="inlineStr">
        <is>
          <t>North Island</t>
        </is>
      </c>
      <c r="E333" s="67" t="inlineStr">
        <is>
          <t>NZ TOU Electricity</t>
        </is>
      </c>
      <c r="F333" s="67" t="n"/>
      <c r="G333" s="67" t="inlineStr">
        <is>
          <t>221 FLAT BUSH SCHOOL ROAD,
FLAT BUSH, AUCKLAND 2019</t>
        </is>
      </c>
      <c r="H333" s="67" t="inlineStr">
        <is>
          <t>SPOTLESS FACILITY SERVICES (NZ) LIMITED (NZBN: 9429040596099)</t>
        </is>
      </c>
      <c r="I333" s="67" t="n"/>
      <c r="J333" s="67" t="inlineStr">
        <is>
          <t>kWh</t>
        </is>
      </c>
      <c r="K333" s="86" t="n">
        <v>457000</v>
      </c>
      <c r="L333" s="67" t="inlineStr">
        <is>
          <t>Ecotricity</t>
        </is>
      </c>
      <c r="M333" s="87" t="inlineStr">
        <is>
          <t>Ecotricity</t>
        </is>
      </c>
      <c r="N333" s="87" t="n">
        <v>46204</v>
      </c>
      <c r="O333" s="87" t="n">
        <v>47483</v>
      </c>
      <c r="P333" s="67" t="inlineStr">
        <is>
          <t>42 months</t>
        </is>
      </c>
      <c r="Q333" s="88">
        <f t="array" ref="Q333:S333">IFERROR(ROUNDUP(_xlfn.XLOOKUP(A333,'Budget FY26-28'!A:A,'Budget FY26-28'!M:O)*(1+Summary!$C$2), -2), "")</f>
        <v/>
      </c>
      <c r="R333" s="88" t="n">
        <v>0</v>
      </c>
      <c r="S333" s="88" t="n">
        <v>0</v>
      </c>
      <c r="T333" s="67" t="inlineStr">
        <is>
          <t>Review required</t>
        </is>
      </c>
      <c r="U333" s="71" t="n"/>
      <c r="V333" s="84" t="inlineStr">
        <is>
          <t>Not found</t>
        </is>
      </c>
      <c r="W333" s="84" t="inlineStr"/>
      <c r="X333" s="84" t="inlineStr"/>
      <c r="Y333" s="84" t="inlineStr"/>
      <c r="Z333" s="84" t="inlineStr"/>
      <c r="AA333" s="84" t="inlineStr"/>
      <c r="AB333" s="84" t="inlineStr"/>
      <c r="AC333" s="84" t="inlineStr">
        <is>
          <t>No Envizi account ends in this Connection ID</t>
        </is>
      </c>
      <c r="AD333" s="85" t="inlineStr"/>
      <c r="AE333" s="85" t="inlineStr"/>
    </row>
    <row r="334" customFormat="1" s="72">
      <c r="A334" s="66" t="inlineStr">
        <is>
          <t>1002053509UN51B</t>
        </is>
      </c>
      <c r="B334" s="67" t="inlineStr">
        <is>
          <t>Electricity</t>
        </is>
      </c>
      <c r="C334" s="67" t="inlineStr">
        <is>
          <t>New Zealand</t>
        </is>
      </c>
      <c r="D334" s="67" t="inlineStr">
        <is>
          <t>North Island</t>
        </is>
      </c>
      <c r="E334" s="67" t="inlineStr">
        <is>
          <t>NZ TOU Electricity</t>
        </is>
      </c>
      <c r="F334" s="67" t="n"/>
      <c r="G334" s="67" t="inlineStr">
        <is>
          <t>1/47 GILBRANSEN ROAD,
KUMEU 0810</t>
        </is>
      </c>
      <c r="H334" s="67" t="inlineStr">
        <is>
          <t>SPOTLESS FACILITY SERVICES (NZ) LIMITED (NZBN: 9429040596099)</t>
        </is>
      </c>
      <c r="I334" s="67" t="n"/>
      <c r="J334" s="67" t="inlineStr">
        <is>
          <t>kWh</t>
        </is>
      </c>
      <c r="K334" s="86" t="n">
        <v>563000</v>
      </c>
      <c r="L334" s="67" t="inlineStr">
        <is>
          <t>Ecotricity</t>
        </is>
      </c>
      <c r="M334" s="87" t="inlineStr">
        <is>
          <t>Ecotricity</t>
        </is>
      </c>
      <c r="N334" s="87" t="n">
        <v>46204</v>
      </c>
      <c r="O334" s="87" t="n">
        <v>47483</v>
      </c>
      <c r="P334" s="67" t="inlineStr">
        <is>
          <t>42 months</t>
        </is>
      </c>
      <c r="Q334" s="88">
        <f t="array" ref="Q334:S334">IFERROR(ROUNDUP(_xlfn.XLOOKUP(A334,'Budget FY26-28'!A:A,'Budget FY26-28'!M:O)*(1+Summary!$C$2), -2), "")</f>
        <v/>
      </c>
      <c r="R334" s="88" t="n">
        <v>0</v>
      </c>
      <c r="S334" s="88" t="n">
        <v>0</v>
      </c>
      <c r="T334" s="67" t="inlineStr">
        <is>
          <t>Review required</t>
        </is>
      </c>
      <c r="U334" s="71" t="n"/>
      <c r="V334" s="84" t="inlineStr">
        <is>
          <t>Not found</t>
        </is>
      </c>
      <c r="W334" s="84" t="inlineStr"/>
      <c r="X334" s="84" t="inlineStr"/>
      <c r="Y334" s="84" t="inlineStr"/>
      <c r="Z334" s="84" t="inlineStr"/>
      <c r="AA334" s="84" t="inlineStr"/>
      <c r="AB334" s="84" t="inlineStr"/>
      <c r="AC334" s="84" t="inlineStr">
        <is>
          <t>No Envizi account ends in this Connection ID</t>
        </is>
      </c>
      <c r="AD334" s="85" t="inlineStr"/>
      <c r="AE334" s="85" t="inlineStr"/>
    </row>
    <row r="335" customFormat="1" s="72">
      <c r="A335" s="66" t="inlineStr">
        <is>
          <t>1002147325UN75B</t>
        </is>
      </c>
      <c r="B335" s="67" t="inlineStr">
        <is>
          <t>Electricity</t>
        </is>
      </c>
      <c r="C335" s="67" t="inlineStr">
        <is>
          <t>New Zealand</t>
        </is>
      </c>
      <c r="D335" s="67" t="inlineStr">
        <is>
          <t>North Island</t>
        </is>
      </c>
      <c r="E335" s="67" t="inlineStr">
        <is>
          <t>NZ TOU Electricity</t>
        </is>
      </c>
      <c r="F335" s="67" t="n"/>
      <c r="G335" s="67" t="inlineStr">
        <is>
          <t>BTS LOT 1 KAKANO ROAD WESTGATE AUCKLAND 814</t>
        </is>
      </c>
      <c r="H335" s="67" t="inlineStr">
        <is>
          <t>DOWNER NEW ZEALAND LIMITED (NZBN: 9429039194114)</t>
        </is>
      </c>
      <c r="I335" s="67" t="n"/>
      <c r="J335" s="67" t="inlineStr">
        <is>
          <t>kWh</t>
        </is>
      </c>
      <c r="K335" s="86" t="n">
        <v>32015.504</v>
      </c>
      <c r="L335" s="67" t="inlineStr">
        <is>
          <t>Ecotricity</t>
        </is>
      </c>
      <c r="M335" s="87" t="inlineStr">
        <is>
          <t>Ecotricity</t>
        </is>
      </c>
      <c r="N335" s="87" t="n">
        <v>46204</v>
      </c>
      <c r="O335" s="87" t="n">
        <v>47483</v>
      </c>
      <c r="P335" s="67" t="inlineStr">
        <is>
          <t>42 months</t>
        </is>
      </c>
      <c r="Q335" s="88">
        <f t="array" ref="Q335:S335">IFERROR(ROUNDUP(_xlfn.XLOOKUP(A335,'Budget FY26-28'!A:A,'Budget FY26-28'!M:O)*(1+Summary!$C$2), -2), "")</f>
        <v/>
      </c>
      <c r="R335" s="88" t="n">
        <v>42400</v>
      </c>
      <c r="S335" s="88" t="n">
        <v>42400</v>
      </c>
      <c r="T335" s="67" t="inlineStr">
        <is>
          <t>Ready</t>
        </is>
      </c>
      <c r="U335" s="71" t="n"/>
      <c r="V335" s="84" t="inlineStr">
        <is>
          <t>Eco_ICP_1002147325UN75B</t>
        </is>
      </c>
      <c r="W335" s="84" t="inlineStr">
        <is>
          <t>Electricity – purchased from grid [kWh]</t>
        </is>
      </c>
      <c r="X335" s="84" t="inlineStr">
        <is>
          <t>Electricity [kWh]</t>
        </is>
      </c>
      <c r="Y335" s="84" t="inlineStr">
        <is>
          <t>Ecotricity</t>
        </is>
      </c>
      <c r="Z335" s="84" t="inlineStr">
        <is>
          <t>Hawkins Construction Recharges</t>
        </is>
      </c>
      <c r="AA335" s="84" t="inlineStr">
        <is>
          <t>9010</t>
        </is>
      </c>
      <c r="AB335" s="84" t="inlineStr">
        <is>
          <t>Active</t>
        </is>
      </c>
      <c r="AC335" s="84" t="inlineStr">
        <is>
          <t>Connection ID is the account number suffix</t>
        </is>
      </c>
      <c r="AD335" s="85" t="inlineStr">
        <is>
          <t>Copy of Eco_ICP_1002147325UN75B_CERTS; 5003_ICP_1002147325UN75B; 9010_ICP_1002147325UN75B</t>
        </is>
      </c>
      <c r="AE335" s="85" t="inlineStr">
        <is>
          <t>Copy of Eco_ICP_0141534532LCA70_CERTS (at this location, different ID) - historical · Copy of Eco_ICP_1002147325UN75B_CERTS - historical</t>
        </is>
      </c>
    </row>
    <row r="336">
      <c r="A336" s="49" t="inlineStr">
        <is>
          <t>0000073603NAA76</t>
        </is>
      </c>
      <c r="B336" s="50" t="inlineStr">
        <is>
          <t>Natural Gas</t>
        </is>
      </c>
      <c r="C336" s="50" t="inlineStr">
        <is>
          <t>New Zealand</t>
        </is>
      </c>
      <c r="D336" s="50" t="inlineStr">
        <is>
          <t>North Island</t>
        </is>
      </c>
      <c r="E336" s="50" t="inlineStr">
        <is>
          <t>NZ TOU Natural Gas</t>
        </is>
      </c>
      <c r="F336" s="50" t="n"/>
      <c r="G336" s="50" t="inlineStr">
        <is>
          <t>139, Centennial Highway, Ngauranga, Wellington</t>
        </is>
      </c>
      <c r="H336" s="50" t="inlineStr">
        <is>
          <t>DOWNER NEW ZEALAND LIMITED (NZBN: 9429039194114)</t>
        </is>
      </c>
      <c r="I336" s="50" t="n"/>
      <c r="J336" s="50" t="inlineStr">
        <is>
          <t>GJ</t>
        </is>
      </c>
      <c r="K336" s="81" t="n">
        <v>23000</v>
      </c>
      <c r="L336" s="50" t="inlineStr">
        <is>
          <t>Nova Energy</t>
        </is>
      </c>
      <c r="M336" s="82" t="inlineStr">
        <is>
          <t>Nova</t>
        </is>
      </c>
      <c r="N336" s="82" t="n">
        <v>46296</v>
      </c>
      <c r="O336" s="82" t="n">
        <v>47756</v>
      </c>
      <c r="P336" s="50" t="inlineStr">
        <is>
          <t>48 months</t>
        </is>
      </c>
      <c r="Q336" s="83">
        <f t="array" ref="Q336:S336">IFERROR(ROUNDUP(_xlfn.XLOOKUP(A336,'Budget FY26-28'!A:A,'Budget FY26-28'!M:O)*(1+Summary!$C$2), -2), "")</f>
        <v/>
      </c>
      <c r="R336" s="83" t="n">
        <v>727900</v>
      </c>
      <c r="S336" s="83" t="n">
        <v>727900</v>
      </c>
      <c r="T336" s="50" t="inlineStr">
        <is>
          <t>Ready</t>
        </is>
      </c>
      <c r="U336" s="54" t="n"/>
      <c r="V336" s="84" t="inlineStr">
        <is>
          <t>3507_ICP_0000073603NAA76</t>
        </is>
      </c>
      <c r="W336" s="84" t="inlineStr">
        <is>
          <t>Natural Gas - MJ</t>
        </is>
      </c>
      <c r="X336" s="84" t="inlineStr">
        <is>
          <t>Natural Gas [MJ]</t>
        </is>
      </c>
      <c r="Y336" s="84" t="inlineStr">
        <is>
          <t>Downer</t>
        </is>
      </c>
      <c r="Z336" s="84" t="inlineStr">
        <is>
          <t>Asphalt Prod - Wellington</t>
        </is>
      </c>
      <c r="AA336" s="84" t="inlineStr">
        <is>
          <t>3507</t>
        </is>
      </c>
      <c r="AB336" s="84" t="inlineStr">
        <is>
          <t>Replaced 30 Jun 2023</t>
        </is>
      </c>
      <c r="AC336" s="84" t="inlineStr">
        <is>
          <t>Connection ID is the account number suffix</t>
        </is>
      </c>
      <c r="AD336" s="85" t="inlineStr">
        <is>
          <t>5016_ICP_0000073603NAA76</t>
        </is>
      </c>
      <c r="AE336" s="85" t="inlineStr">
        <is>
          <t>Copy of Eco_ICP_1001113152UNBF4_CERTS (at this location, different ID) - historical</t>
        </is>
      </c>
    </row>
    <row r="337">
      <c r="A337" s="49" t="inlineStr">
        <is>
          <t>0001022593NG2C3</t>
        </is>
      </c>
      <c r="B337" s="50" t="inlineStr">
        <is>
          <t>Natural Gas</t>
        </is>
      </c>
      <c r="C337" s="50" t="inlineStr">
        <is>
          <t>New Zealand</t>
        </is>
      </c>
      <c r="D337" s="50" t="inlineStr">
        <is>
          <t>North Island</t>
        </is>
      </c>
      <c r="E337" s="50" t="inlineStr">
        <is>
          <t>NZ TOU Natural Gas</t>
        </is>
      </c>
      <c r="F337" s="50" t="n"/>
      <c r="G337" s="50" t="inlineStr">
        <is>
          <t>16, Manchester Place, Te Rapa Straight, Hamilton</t>
        </is>
      </c>
      <c r="H337" s="50" t="inlineStr">
        <is>
          <t>DOWNER NEW ZEALAND LIMITED (NZBN: 9429039194114)</t>
        </is>
      </c>
      <c r="I337" s="50" t="n"/>
      <c r="J337" s="50" t="inlineStr">
        <is>
          <t>GJ</t>
        </is>
      </c>
      <c r="K337" s="81" t="n">
        <v>18591</v>
      </c>
      <c r="L337" s="50" t="inlineStr">
        <is>
          <t>Nova Energy</t>
        </is>
      </c>
      <c r="M337" s="82" t="inlineStr">
        <is>
          <t>Nova</t>
        </is>
      </c>
      <c r="N337" s="82" t="n">
        <v>46296</v>
      </c>
      <c r="O337" s="82" t="n">
        <v>47756</v>
      </c>
      <c r="P337" s="50" t="inlineStr">
        <is>
          <t>48 months</t>
        </is>
      </c>
      <c r="Q337" s="83">
        <f t="array" ref="Q337:S337">IFERROR(ROUNDUP(_xlfn.XLOOKUP(A337,'Budget FY26-28'!A:A,'Budget FY26-28'!M:O)*(1+Summary!$C$2), -2), "")</f>
        <v/>
      </c>
      <c r="R337" s="83" t="n">
        <v>693500</v>
      </c>
      <c r="S337" s="83" t="n">
        <v>693500</v>
      </c>
      <c r="T337" s="50" t="inlineStr">
        <is>
          <t>Ready</t>
        </is>
      </c>
      <c r="U337" s="54" t="n"/>
      <c r="V337" s="84" t="inlineStr">
        <is>
          <t>3504_ICP_0001022593NG2C3</t>
        </is>
      </c>
      <c r="W337" s="84" t="inlineStr">
        <is>
          <t>Natural Gas - MJ</t>
        </is>
      </c>
      <c r="X337" s="84" t="inlineStr">
        <is>
          <t>Natural Gas [MJ]</t>
        </is>
      </c>
      <c r="Y337" s="84" t="inlineStr">
        <is>
          <t>Downer</t>
        </is>
      </c>
      <c r="Z337" s="84" t="inlineStr">
        <is>
          <t>Asphalt Prod - Hamilton</t>
        </is>
      </c>
      <c r="AA337" s="84" t="inlineStr">
        <is>
          <t>3504</t>
        </is>
      </c>
      <c r="AB337" s="84" t="inlineStr">
        <is>
          <t>Replaced 30 Nov 2023</t>
        </is>
      </c>
      <c r="AC337" s="84" t="inlineStr">
        <is>
          <t>Connection ID is the account number suffix</t>
        </is>
      </c>
      <c r="AD337" s="85" t="inlineStr">
        <is>
          <t>5013_ICP_0001022593NG2C3</t>
        </is>
      </c>
      <c r="AE337" s="85" t="inlineStr">
        <is>
          <t>Copy of Eco_ICP_0000024050WE5E2_CERTS (at this location, different ID) - historical</t>
        </is>
      </c>
    </row>
    <row r="338">
      <c r="A338" s="49" t="inlineStr">
        <is>
          <t>0001510110PG48F</t>
        </is>
      </c>
      <c r="B338" s="50" t="inlineStr">
        <is>
          <t>Natural Gas</t>
        </is>
      </c>
      <c r="C338" s="50" t="inlineStr">
        <is>
          <t>New Zealand</t>
        </is>
      </c>
      <c r="D338" s="50" t="inlineStr">
        <is>
          <t>North Island</t>
        </is>
      </c>
      <c r="E338" s="50" t="inlineStr">
        <is>
          <t>NZ TOU Natural Gas</t>
        </is>
      </c>
      <c r="F338" s="50" t="n"/>
      <c r="G338" s="50" t="inlineStr">
        <is>
          <t>Breakwater Road, Moturoa, New Plymouth</t>
        </is>
      </c>
      <c r="H338" s="50" t="inlineStr">
        <is>
          <t>DOWNER NEW ZEALAND LIMITED (NZBN: 9429039194114)</t>
        </is>
      </c>
      <c r="I338" s="50" t="n"/>
      <c r="J338" s="50" t="inlineStr">
        <is>
          <t>GJ</t>
        </is>
      </c>
      <c r="K338" s="81" t="n">
        <v>8677</v>
      </c>
      <c r="L338" s="50" t="inlineStr">
        <is>
          <t>Nova Energy</t>
        </is>
      </c>
      <c r="M338" s="82" t="inlineStr">
        <is>
          <t>Nova</t>
        </is>
      </c>
      <c r="N338" s="82" t="n">
        <v>46296</v>
      </c>
      <c r="O338" s="82" t="n">
        <v>47756</v>
      </c>
      <c r="P338" s="50" t="inlineStr">
        <is>
          <t>48 months</t>
        </is>
      </c>
      <c r="Q338" s="83">
        <f t="array" ref="Q338:S338">IFERROR(ROUNDUP(_xlfn.XLOOKUP(A338,'Budget FY26-28'!A:A,'Budget FY26-28'!M:O)*(1+Summary!$C$2), -2), "")</f>
        <v/>
      </c>
      <c r="R338" s="83" t="n">
        <v>284600</v>
      </c>
      <c r="S338" s="83" t="n">
        <v>284600</v>
      </c>
      <c r="T338" s="50" t="inlineStr">
        <is>
          <t>Ready</t>
        </is>
      </c>
      <c r="U338" s="54" t="n"/>
      <c r="V338" s="84" t="inlineStr">
        <is>
          <t>3045_ICP_0001510110PG48F</t>
        </is>
      </c>
      <c r="W338" s="84" t="inlineStr">
        <is>
          <t>Natural Gas - MJ</t>
        </is>
      </c>
      <c r="X338" s="84" t="inlineStr">
        <is>
          <t>Natural Gas [MJ]</t>
        </is>
      </c>
      <c r="Y338" s="84" t="inlineStr">
        <is>
          <t>Downer</t>
        </is>
      </c>
      <c r="Z338" s="84" t="inlineStr">
        <is>
          <t>Bitumen - Taranaki</t>
        </is>
      </c>
      <c r="AA338" s="84" t="inlineStr">
        <is>
          <t>3045</t>
        </is>
      </c>
      <c r="AB338" s="84" t="inlineStr">
        <is>
          <t>Replaced 30 Jun 2023</t>
        </is>
      </c>
      <c r="AC338" s="84" t="inlineStr">
        <is>
          <t>Connection ID is the account number suffix</t>
        </is>
      </c>
      <c r="AD338" s="85" t="inlineStr">
        <is>
          <t>5020_ICP_0001510110PG48F</t>
        </is>
      </c>
      <c r="AE338" s="85" t="inlineStr">
        <is>
          <t>Copy of Eco_ICP_0001510110PCCA2_CERTS (at this location, different ID) - historical</t>
        </is>
      </c>
    </row>
    <row r="339">
      <c r="A339" s="49" t="inlineStr">
        <is>
          <t>0005591470PG214</t>
        </is>
      </c>
      <c r="B339" s="50" t="inlineStr">
        <is>
          <t>Natural Gas</t>
        </is>
      </c>
      <c r="C339" s="50" t="inlineStr">
        <is>
          <t>New Zealand</t>
        </is>
      </c>
      <c r="D339" s="50" t="inlineStr">
        <is>
          <t>North Island</t>
        </is>
      </c>
      <c r="E339" s="50" t="inlineStr">
        <is>
          <t>NZ TOU Natural Gas</t>
        </is>
      </c>
      <c r="F339" s="50" t="n"/>
      <c r="G339" s="50" t="inlineStr">
        <is>
          <t>106, Rifle Range Road, Waiwhakaiho, New Plymouth</t>
        </is>
      </c>
      <c r="H339" s="50" t="inlineStr">
        <is>
          <t>DOWNER NEW ZEALAND LIMITED (NZBN: 9429039194114)</t>
        </is>
      </c>
      <c r="I339" s="50" t="n"/>
      <c r="J339" s="50" t="inlineStr">
        <is>
          <t>GJ</t>
        </is>
      </c>
      <c r="K339" s="81" t="n">
        <v>8624</v>
      </c>
      <c r="L339" s="50" t="inlineStr">
        <is>
          <t>Nova Energy</t>
        </is>
      </c>
      <c r="M339" s="82" t="inlineStr">
        <is>
          <t>Nova</t>
        </is>
      </c>
      <c r="N339" s="82" t="n">
        <v>46296</v>
      </c>
      <c r="O339" s="82" t="n">
        <v>47756</v>
      </c>
      <c r="P339" s="50" t="inlineStr">
        <is>
          <t>48 months</t>
        </is>
      </c>
      <c r="Q339" s="83">
        <f t="array" ref="Q339:S339">IFERROR(ROUNDUP(_xlfn.XLOOKUP(A339,'Budget FY26-28'!A:A,'Budget FY26-28'!M:O)*(1+Summary!$C$2), -2), "")</f>
        <v/>
      </c>
      <c r="R339" s="83" t="n">
        <v>313500</v>
      </c>
      <c r="S339" s="83" t="n">
        <v>313500</v>
      </c>
      <c r="T339" s="50" t="inlineStr">
        <is>
          <t>Ready</t>
        </is>
      </c>
      <c r="U339" s="54" t="n"/>
      <c r="V339" s="84" t="inlineStr">
        <is>
          <t>3505_ICP_0005591470PG214</t>
        </is>
      </c>
      <c r="W339" s="84" t="inlineStr">
        <is>
          <t>Natural Gas - MJ</t>
        </is>
      </c>
      <c r="X339" s="84" t="inlineStr">
        <is>
          <t>Natural Gas [MJ]</t>
        </is>
      </c>
      <c r="Y339" s="84" t="inlineStr">
        <is>
          <t>Downer</t>
        </is>
      </c>
      <c r="Z339" s="84" t="inlineStr">
        <is>
          <t>Asphalt Prod - New Plymouth</t>
        </is>
      </c>
      <c r="AA339" s="84" t="inlineStr">
        <is>
          <t>3505</t>
        </is>
      </c>
      <c r="AB339" s="84" t="inlineStr">
        <is>
          <t>Replaced 30 Jun 2023</t>
        </is>
      </c>
      <c r="AC339" s="84" t="inlineStr">
        <is>
          <t>Connection ID is the account number suffix</t>
        </is>
      </c>
      <c r="AD339" s="85" t="inlineStr">
        <is>
          <t>5015_ICP_0005591470PG214</t>
        </is>
      </c>
      <c r="AE339" s="85" t="inlineStr"/>
    </row>
    <row r="340">
      <c r="A340" s="49" t="inlineStr">
        <is>
          <t>0009000218NG904</t>
        </is>
      </c>
      <c r="B340" s="50" t="inlineStr">
        <is>
          <t>Natural Gas</t>
        </is>
      </c>
      <c r="C340" s="50" t="inlineStr">
        <is>
          <t>New Zealand</t>
        </is>
      </c>
      <c r="D340" s="50" t="inlineStr">
        <is>
          <t>North Island</t>
        </is>
      </c>
      <c r="E340" s="50" t="inlineStr">
        <is>
          <t>NZ TOU Natural Gas</t>
        </is>
      </c>
      <c r="F340" s="50" t="n"/>
      <c r="G340" s="50" t="inlineStr">
        <is>
          <t>198, Totara Street, Mount Maunganui, Tauranga</t>
        </is>
      </c>
      <c r="H340" s="50" t="inlineStr">
        <is>
          <t>DOWNER NEW ZEALAND LIMITED (NZBN: 9429039194114)</t>
        </is>
      </c>
      <c r="I340" s="50" t="n"/>
      <c r="J340" s="50" t="inlineStr">
        <is>
          <t>GJ</t>
        </is>
      </c>
      <c r="K340" s="81" t="n">
        <v>13930</v>
      </c>
      <c r="L340" s="50" t="inlineStr">
        <is>
          <t>Nova Energy</t>
        </is>
      </c>
      <c r="M340" s="82" t="inlineStr">
        <is>
          <t>Nova</t>
        </is>
      </c>
      <c r="N340" s="82" t="n">
        <v>46296</v>
      </c>
      <c r="O340" s="82" t="n">
        <v>47756</v>
      </c>
      <c r="P340" s="50" t="inlineStr">
        <is>
          <t>48 months</t>
        </is>
      </c>
      <c r="Q340" s="83">
        <f t="array" ref="Q340:S340">IFERROR(ROUNDUP(_xlfn.XLOOKUP(A340,'Budget FY26-28'!A:A,'Budget FY26-28'!M:O)*(1+Summary!$C$2), -2), "")</f>
        <v/>
      </c>
      <c r="R340" s="83" t="n">
        <v>527000</v>
      </c>
      <c r="S340" s="83" t="n">
        <v>527000</v>
      </c>
      <c r="T340" s="50" t="inlineStr">
        <is>
          <t>Ready</t>
        </is>
      </c>
      <c r="U340" s="54" t="n"/>
      <c r="V340" s="84" t="inlineStr">
        <is>
          <t>3040_ICP_0009000218NG904</t>
        </is>
      </c>
      <c r="W340" s="84" t="inlineStr">
        <is>
          <t>Natural Gas - MJ</t>
        </is>
      </c>
      <c r="X340" s="84" t="inlineStr">
        <is>
          <t>Natural Gas [MJ]</t>
        </is>
      </c>
      <c r="Y340" s="84" t="inlineStr">
        <is>
          <t>Downer</t>
        </is>
      </c>
      <c r="Z340" s="84" t="inlineStr">
        <is>
          <t>Bitumen - Mt Maunganui</t>
        </is>
      </c>
      <c r="AA340" s="84" t="inlineStr">
        <is>
          <t>3040</t>
        </is>
      </c>
      <c r="AB340" s="84" t="inlineStr">
        <is>
          <t>Replaced 30 Jun 2023</t>
        </is>
      </c>
      <c r="AC340" s="84" t="inlineStr">
        <is>
          <t>Connection ID is the account number suffix</t>
        </is>
      </c>
      <c r="AD340" s="85" t="inlineStr">
        <is>
          <t>5019_ICP_0009000218NG904</t>
        </is>
      </c>
      <c r="AE340" s="85" t="inlineStr">
        <is>
          <t>Copy of Eco_ICP_0000939570TUEC4_CERTS (at this location, different ID) - historical</t>
        </is>
      </c>
    </row>
    <row r="341">
      <c r="A341" s="49" t="inlineStr">
        <is>
          <t>0009000601NG1F9</t>
        </is>
      </c>
      <c r="B341" s="50" t="inlineStr">
        <is>
          <t>Natural Gas</t>
        </is>
      </c>
      <c r="C341" s="50" t="inlineStr">
        <is>
          <t>New Zealand</t>
        </is>
      </c>
      <c r="D341" s="50" t="inlineStr">
        <is>
          <t>North Island</t>
        </is>
      </c>
      <c r="E341" s="50" t="inlineStr">
        <is>
          <t>NZ TOU Natural Gas</t>
        </is>
      </c>
      <c r="F341" s="50" t="n"/>
      <c r="G341" s="50" t="inlineStr">
        <is>
          <t>Awapuni Road, Awapuni, Gisborne</t>
        </is>
      </c>
      <c r="H341" s="50" t="inlineStr">
        <is>
          <t>DOWNER NEW ZEALAND LIMITED (NZBN: 9429039194114)</t>
        </is>
      </c>
      <c r="I341" s="50" t="n"/>
      <c r="J341" s="50" t="inlineStr">
        <is>
          <t>GJ</t>
        </is>
      </c>
      <c r="K341" s="81" t="n">
        <v>1148</v>
      </c>
      <c r="L341" s="50" t="inlineStr">
        <is>
          <t>Nova Energy</t>
        </is>
      </c>
      <c r="M341" s="82" t="inlineStr">
        <is>
          <t>Nova</t>
        </is>
      </c>
      <c r="N341" s="82" t="n">
        <v>46296</v>
      </c>
      <c r="O341" s="82" t="n">
        <v>47756</v>
      </c>
      <c r="P341" s="50" t="inlineStr">
        <is>
          <t>48 months</t>
        </is>
      </c>
      <c r="Q341" s="83">
        <f t="array" ref="Q341:S341">IFERROR(ROUNDUP(_xlfn.XLOOKUP(A341,'Budget FY26-28'!A:A,'Budget FY26-28'!M:O)*(1+Summary!$C$2), -2), "")</f>
        <v/>
      </c>
      <c r="R341" s="83" t="n">
        <v>48600</v>
      </c>
      <c r="S341" s="83" t="n">
        <v>48600</v>
      </c>
      <c r="T341" s="50" t="inlineStr">
        <is>
          <t>Ready</t>
        </is>
      </c>
      <c r="U341" s="54" t="n"/>
      <c r="V341" s="84" t="inlineStr">
        <is>
          <t>5071_ICP_0009000601NG1F9</t>
        </is>
      </c>
      <c r="W341" s="84" t="inlineStr">
        <is>
          <t>Natural Gas - MJ</t>
        </is>
      </c>
      <c r="X341" s="84" t="inlineStr">
        <is>
          <t>Natural Gas [MJ]</t>
        </is>
      </c>
      <c r="Y341" s="84" t="inlineStr">
        <is>
          <t>Downer</t>
        </is>
      </c>
      <c r="Z341" s="84" t="inlineStr">
        <is>
          <t>_CLOSED_Depot_T_Gisborne</t>
        </is>
      </c>
      <c r="AA341" s="84" t="inlineStr">
        <is>
          <t>5071</t>
        </is>
      </c>
      <c r="AB341" s="84" t="inlineStr">
        <is>
          <t>Replaced 30 Jun 2022</t>
        </is>
      </c>
      <c r="AC341" s="84" t="inlineStr">
        <is>
          <t>Connection ID is the account number suffix</t>
        </is>
      </c>
      <c r="AD341" s="85" t="inlineStr">
        <is>
          <t>55580_ICP_0009000601NG1F9</t>
        </is>
      </c>
      <c r="AE341" s="85" t="inlineStr"/>
    </row>
    <row r="342">
      <c r="A342" s="49" t="inlineStr">
        <is>
          <t>1000521442PG37D</t>
        </is>
      </c>
      <c r="B342" s="50" t="inlineStr">
        <is>
          <t>Natural Gas</t>
        </is>
      </c>
      <c r="C342" s="50" t="inlineStr">
        <is>
          <t>New Zealand</t>
        </is>
      </c>
      <c r="D342" s="50" t="inlineStr">
        <is>
          <t>North Island</t>
        </is>
      </c>
      <c r="E342" s="50" t="inlineStr">
        <is>
          <t>NZ TOU Natural Gas</t>
        </is>
      </c>
      <c r="F342" s="50" t="n"/>
      <c r="G342" s="50" t="inlineStr">
        <is>
          <t>Breakwater Road, Moturoa, New Plymouth</t>
        </is>
      </c>
      <c r="H342" s="50" t="inlineStr">
        <is>
          <t>DOWNER NEW ZEALAND LIMITED (NZBN: 9429039194114)</t>
        </is>
      </c>
      <c r="I342" s="50" t="n"/>
      <c r="J342" s="50" t="inlineStr">
        <is>
          <t>GJ</t>
        </is>
      </c>
      <c r="K342" s="81" t="n">
        <v>10285</v>
      </c>
      <c r="L342" s="50" t="inlineStr">
        <is>
          <t>Nova Energy</t>
        </is>
      </c>
      <c r="M342" s="82" t="inlineStr">
        <is>
          <t>Nova</t>
        </is>
      </c>
      <c r="N342" s="82" t="n">
        <v>46296</v>
      </c>
      <c r="O342" s="82" t="n">
        <v>47756</v>
      </c>
      <c r="P342" s="50" t="inlineStr">
        <is>
          <t>48 months</t>
        </is>
      </c>
      <c r="Q342" s="83">
        <f t="array" ref="Q342:S342">IFERROR(ROUNDUP(_xlfn.XLOOKUP(A342,'Budget FY26-28'!A:A,'Budget FY26-28'!M:O)*(1+Summary!$C$2), -2), "")</f>
        <v/>
      </c>
      <c r="R342" s="83" t="n">
        <v>358600</v>
      </c>
      <c r="S342" s="83" t="n">
        <v>358600</v>
      </c>
      <c r="T342" s="50" t="inlineStr">
        <is>
          <t>Ready</t>
        </is>
      </c>
      <c r="U342" s="54" t="n"/>
      <c r="V342" s="84" t="inlineStr">
        <is>
          <t>3045_ICP_1000521442PG37D</t>
        </is>
      </c>
      <c r="W342" s="84" t="inlineStr">
        <is>
          <t>Natural Gas - MJ</t>
        </is>
      </c>
      <c r="X342" s="84" t="inlineStr">
        <is>
          <t>Natural Gas [MJ]</t>
        </is>
      </c>
      <c r="Y342" s="84" t="inlineStr">
        <is>
          <t>Downer</t>
        </is>
      </c>
      <c r="Z342" s="84" t="inlineStr">
        <is>
          <t>Bitumen - Taranaki</t>
        </is>
      </c>
      <c r="AA342" s="84" t="inlineStr">
        <is>
          <t>3045</t>
        </is>
      </c>
      <c r="AB342" s="84" t="inlineStr">
        <is>
          <t>Replaced 30 Jun 2023</t>
        </is>
      </c>
      <c r="AC342" s="84" t="inlineStr">
        <is>
          <t>Connection ID is the account number suffix</t>
        </is>
      </c>
      <c r="AD342" s="85" t="inlineStr">
        <is>
          <t>5020_ICP_1000521442PG37D</t>
        </is>
      </c>
      <c r="AE342" s="85" t="inlineStr">
        <is>
          <t>Copy of Eco_ICP_0001510110PCCA2_CERTS (at this location, different ID) - historical</t>
        </is>
      </c>
    </row>
    <row r="343">
      <c r="A343" s="55" t="inlineStr">
        <is>
          <t>1001126516QT2A3</t>
        </is>
      </c>
      <c r="B343" s="56" t="inlineStr">
        <is>
          <t>Natural Gas</t>
        </is>
      </c>
      <c r="C343" s="56" t="inlineStr">
        <is>
          <t>New Zealand</t>
        </is>
      </c>
      <c r="D343" s="56" t="inlineStr">
        <is>
          <t>North Island</t>
        </is>
      </c>
      <c r="E343" s="50" t="inlineStr">
        <is>
          <t>NZ TOU Natural Gas</t>
        </is>
      </c>
      <c r="F343" s="56" t="n"/>
      <c r="G343" s="56" t="inlineStr">
        <is>
          <t>645, Great South Road, Penrose, Auckland</t>
        </is>
      </c>
      <c r="H343" s="56" t="inlineStr">
        <is>
          <t>DOWNER NEW ZEALAND LIMITED (NZBN: 9429039194114)</t>
        </is>
      </c>
      <c r="I343" s="56" t="n"/>
      <c r="J343" s="56" t="inlineStr">
        <is>
          <t>GJ</t>
        </is>
      </c>
      <c r="K343" s="92" t="n">
        <v>49433</v>
      </c>
      <c r="L343" s="56" t="inlineStr">
        <is>
          <t>Nova Energy</t>
        </is>
      </c>
      <c r="M343" s="93" t="inlineStr">
        <is>
          <t>Nova</t>
        </is>
      </c>
      <c r="N343" s="93" t="n">
        <v>46296</v>
      </c>
      <c r="O343" s="93" t="n">
        <v>47756</v>
      </c>
      <c r="P343" s="56" t="inlineStr">
        <is>
          <t>48 months</t>
        </is>
      </c>
      <c r="Q343" s="83">
        <f t="array" ref="Q343:S343">IFERROR(ROUNDUP(_xlfn.XLOOKUP(A343,'Budget FY26-28'!A:A,'Budget FY26-28'!M:O)*(1+Summary!$C$2), -2), "")</f>
        <v/>
      </c>
      <c r="R343" s="94" t="n">
        <v>1649100</v>
      </c>
      <c r="S343" s="94" t="n">
        <v>1649100</v>
      </c>
      <c r="T343" s="56" t="inlineStr">
        <is>
          <t>Ready</t>
        </is>
      </c>
      <c r="U343" s="60" t="n"/>
      <c r="V343" s="84" t="inlineStr">
        <is>
          <t>3503_ICP_1001126516QT2A3</t>
        </is>
      </c>
      <c r="W343" s="84" t="inlineStr">
        <is>
          <t>Natural Gas - MJ</t>
        </is>
      </c>
      <c r="X343" s="84" t="inlineStr">
        <is>
          <t>Natural Gas [MJ]</t>
        </is>
      </c>
      <c r="Y343" s="84" t="inlineStr">
        <is>
          <t>Downer</t>
        </is>
      </c>
      <c r="Z343" s="84" t="inlineStr">
        <is>
          <t>Asphalt Prod - Auckland</t>
        </is>
      </c>
      <c r="AA343" s="84" t="inlineStr">
        <is>
          <t>3503</t>
        </is>
      </c>
      <c r="AB343" s="84" t="inlineStr">
        <is>
          <t>Replaced 30 Jun 2023</t>
        </is>
      </c>
      <c r="AC343" s="84" t="inlineStr">
        <is>
          <t>Connection ID is the account number suffix</t>
        </is>
      </c>
      <c r="AD343" s="85" t="inlineStr">
        <is>
          <t>5011_ICP_1001126516QT2A3</t>
        </is>
      </c>
      <c r="AE343" s="85" t="inlineStr">
        <is>
          <t>Copy of Eco_ICP_1001126325LC57C_CERTS (at this location, different ID) - historical</t>
        </is>
      </c>
    </row>
  </sheetData>
  <autoFilter ref="A2:AE343"/>
  <conditionalFormatting sqref="T3:T343">
    <cfRule type="containsText" priority="1" operator="containsText" dxfId="0" text="Review required"/>
  </conditionalFormatting>
  <conditionalFormatting sqref="V3:AE343">
    <cfRule type="expression" priority="2" dxfId="17" stopIfTrue="0">
      <formula>$V3="Not found"</formula>
    </cfRule>
  </conditionalFormatting>
  <conditionalFormatting sqref="AB3:AB343">
    <cfRule type="expression" priority="3" dxfId="18" stopIfTrue="0">
      <formula>AND($AB3&lt;&gt;"Active",$AB3&lt;&gt;"")</formula>
    </cfRule>
  </conditionalFormatting>
  <conditionalFormatting sqref="AD3:AD343">
    <cfRule type="expression" priority="4" dxfId="19" stopIfTrue="0">
      <formula>AND($AD3&lt;&gt;"",COUNTIF(DoubleCount,$A3)&gt;0)</formula>
    </cfRule>
  </conditionalFormatting>
  <conditionalFormatting sqref="AE3:AE343">
    <cfRule type="expression" priority="5" dxfId="20" stopIfTrue="0">
      <formula>ISNUMBER(SEARCH("(live)",$AE3))</formula>
    </cfRule>
    <cfRule type="expression" priority="6" dxfId="18" stopIfTrue="0">
      <formula>ISNUMBER(SEARCH("TEMPORARY",$AE3))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43"/>
  <sheetViews>
    <sheetView showGridLines="0" zoomScale="80" zoomScaleNormal="80" workbookViewId="0">
      <selection activeCell="E5" sqref="E5"/>
    </sheetView>
  </sheetViews>
  <sheetFormatPr baseColWidth="8" defaultRowHeight="21.75"/>
  <cols>
    <col width="18" customWidth="1" style="1" min="1" max="1"/>
    <col width="14" customWidth="1" style="1" min="2" max="4"/>
    <col width="29.875" customWidth="1" style="1" min="5" max="5"/>
    <col width="10" customWidth="1" style="1" min="6" max="6"/>
    <col width="16" customWidth="1" style="1" min="7" max="7"/>
    <col width="14" customWidth="1" style="1" min="8" max="9"/>
    <col width="10" customWidth="1" style="1" min="10" max="10"/>
    <col width="14" customWidth="1" style="1" min="11" max="12"/>
    <col width="16" customWidth="1" style="1" min="13" max="16"/>
    <col width="48" customWidth="1" style="1" min="17" max="17"/>
    <col width="9" customWidth="1" style="1" min="18" max="16384"/>
  </cols>
  <sheetData>
    <row r="1" ht="30.75" customHeight="1">
      <c r="A1" s="34" t="inlineStr">
        <is>
          <t>FY26–FY28 Budget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4" t="n"/>
      <c r="O1" s="34" t="n"/>
      <c r="P1" s="34" t="n"/>
      <c r="Q1" s="34" t="n"/>
    </row>
    <row r="2" ht="65.25" customHeight="1">
      <c r="A2" s="35" t="inlineStr">
        <is>
          <t>Connection ID</t>
        </is>
      </c>
      <c r="B2" s="36" t="inlineStr">
        <is>
          <t>Country</t>
        </is>
      </c>
      <c r="C2" s="36" t="inlineStr">
        <is>
          <t>Commodity</t>
        </is>
      </c>
      <c r="D2" s="40" t="inlineStr">
        <is>
          <t>State / Region</t>
        </is>
      </c>
      <c r="E2" s="36" t="inlineStr">
        <is>
          <t>Portfolio Group</t>
        </is>
      </c>
      <c r="F2" s="36" t="inlineStr">
        <is>
          <t>Units</t>
        </is>
      </c>
      <c r="G2" s="36" t="inlineStr">
        <is>
          <t>Annual Consumption</t>
        </is>
      </c>
      <c r="H2" s="36" t="inlineStr">
        <is>
          <t>Contract Start</t>
        </is>
      </c>
      <c r="I2" s="36" t="inlineStr">
        <is>
          <t>Contract End</t>
        </is>
      </c>
      <c r="J2" s="36" t="inlineStr">
        <is>
          <t>Currency</t>
        </is>
      </c>
      <c r="K2" s="36" t="inlineStr">
        <is>
          <t>Annual Input (current term)</t>
        </is>
      </c>
      <c r="L2" s="36" t="inlineStr">
        <is>
          <t>Renewal / FY28 Input</t>
        </is>
      </c>
      <c r="M2" s="36" t="inlineStr">
        <is>
          <t>FY26 Budget</t>
        </is>
      </c>
      <c r="N2" s="36" t="inlineStr">
        <is>
          <t>FY27 Budget</t>
        </is>
      </c>
      <c r="O2" s="36" t="inlineStr">
        <is>
          <t>FY28 Budget</t>
        </is>
      </c>
      <c r="P2" s="36" t="inlineStr">
        <is>
          <t>Budget Status</t>
        </is>
      </c>
      <c r="Q2" s="36" t="inlineStr">
        <is>
          <t>Notes</t>
        </is>
      </c>
    </row>
    <row r="3">
      <c r="A3" s="2" t="n">
        <v>5265773931</v>
      </c>
      <c r="B3" s="8">
        <f t="array" ref="B3:E3">_xlfn.XLOOKUP(A3,'Site Register'!A:A,'Site Register'!B:E)</f>
        <v/>
      </c>
      <c r="C3" s="8" t="inlineStr">
        <is>
          <t>Australia</t>
        </is>
      </c>
      <c r="D3" s="8" t="inlineStr">
        <is>
          <t>ACT</t>
        </is>
      </c>
      <c r="E3" s="8" t="inlineStr">
        <is>
          <t>AU Large Natural Gas</t>
        </is>
      </c>
      <c r="F3" s="8" t="inlineStr">
        <is>
          <t>GJ</t>
        </is>
      </c>
      <c r="G3" s="95" t="n">
        <v>30729.026</v>
      </c>
      <c r="H3" s="96" t="n">
        <v>46388</v>
      </c>
      <c r="I3" s="96" t="n">
        <v>47483</v>
      </c>
      <c r="J3" s="8" t="inlineStr">
        <is>
          <t>AUD</t>
        </is>
      </c>
      <c r="K3" s="97">
        <f>'Rate Inputs'!E134</f>
        <v/>
      </c>
      <c r="L3" s="97">
        <f>'Rate Inputs'!F134</f>
        <v/>
      </c>
      <c r="M3" s="98">
        <f>IF(OR($P3="Ready",$P3="FY26 provisional",$P3="FY26 secured"),IF($H3&lt;=DATE(2025,7,1),ROUNDUP($K3,-2),IF('Rate Inputs'!$J134="","",ROUNDUP(IF($H3&gt;DATE(2026,6,30),'Rate Inputs'!$J134,'Rate Inputs'!$J134*($H3-DATE(2025,7,1))/365+$K3*(DATE(2026,6,30)-$H3+1)/365),-2))),"")</f>
        <v/>
      </c>
      <c r="N3" s="98">
        <f>IF($P3="Ready",ROUNDUP(IFERROR($K3,0),-2),IF(OR($P3="FY26 provisional",$P3="FY26 secured"),"",0))</f>
        <v/>
      </c>
      <c r="O3" s="98">
        <f>IF($P3="Ready",IF('Rate Inputs'!$F134="","",ROUNDUP(IFERROR($L3,0),-2)),IF(OR($P3="FY26 provisional",$P3="FY26 secured"),"",0))</f>
        <v/>
      </c>
      <c r="P3" s="8" t="inlineStr">
        <is>
          <t>Ready</t>
        </is>
      </c>
      <c r="Q3" s="11" t="n"/>
    </row>
    <row r="4">
      <c r="A4" s="2" t="n">
        <v>5242077399</v>
      </c>
      <c r="B4" s="8">
        <f t="array" ref="B4:E4">_xlfn.XLOOKUP(A4,'Site Register'!A:A,'Site Register'!B:E)</f>
        <v/>
      </c>
      <c r="C4" s="8" t="inlineStr">
        <is>
          <t>Australia</t>
        </is>
      </c>
      <c r="D4" s="8" t="inlineStr">
        <is>
          <t>NSW</t>
        </is>
      </c>
      <c r="E4" s="8" t="inlineStr">
        <is>
          <t>AU Large Natural Gas</t>
        </is>
      </c>
      <c r="F4" s="8" t="inlineStr">
        <is>
          <t>GJ</t>
        </is>
      </c>
      <c r="G4" s="95" t="n">
        <v>19847.41099999998</v>
      </c>
      <c r="H4" s="96" t="n">
        <v>46023</v>
      </c>
      <c r="I4" s="96" t="n">
        <v>46752</v>
      </c>
      <c r="J4" s="8" t="inlineStr">
        <is>
          <t>AUD</t>
        </is>
      </c>
      <c r="K4" s="97">
        <f>'Rate Inputs'!E136</f>
        <v/>
      </c>
      <c r="L4" s="97">
        <f>'Rate Inputs'!F136</f>
        <v/>
      </c>
      <c r="M4" s="98">
        <f>IF(OR($P4="Ready",$P4="FY26 provisional",$P4="FY26 secured"),IF($H4&lt;=DATE(2025,7,1),ROUNDUP($K4,-2),IF('Rate Inputs'!$J136="","",ROUNDUP(IF($H4&gt;DATE(2026,6,30),'Rate Inputs'!$J136,'Rate Inputs'!$J136*($H4-DATE(2025,7,1))/365+$K4*(DATE(2026,6,30)-$H4+1)/365),-2))),"")</f>
        <v/>
      </c>
      <c r="N4" s="98">
        <f>IF($P4="Ready",ROUNDUP(IFERROR($K4,0),-2),IF(OR($P4="FY26 provisional",$P4="FY26 secured"),"",0))</f>
        <v/>
      </c>
      <c r="O4" s="98">
        <f>IF($P4="Ready",IF('Rate Inputs'!$F136="","",ROUNDUP(IFERROR($L4,0),-2)),IF(OR($P4="FY26 provisional",$P4="FY26 secured"),"",0))</f>
        <v/>
      </c>
      <c r="P4" s="8" t="inlineStr">
        <is>
          <t>Ready</t>
        </is>
      </c>
      <c r="Q4" s="11" t="n"/>
    </row>
    <row r="5">
      <c r="A5" s="2" t="n">
        <v>5247064745</v>
      </c>
      <c r="B5" s="8">
        <f t="array" ref="B5:E5">_xlfn.XLOOKUP(A5,'Site Register'!A:A,'Site Register'!B:E)</f>
        <v/>
      </c>
      <c r="C5" s="8" t="inlineStr">
        <is>
          <t>Australia</t>
        </is>
      </c>
      <c r="D5" s="8" t="inlineStr">
        <is>
          <t>NSW</t>
        </is>
      </c>
      <c r="E5" s="8" t="inlineStr">
        <is>
          <t>AU Large Natural Gas</t>
        </is>
      </c>
      <c r="F5" s="8" t="inlineStr">
        <is>
          <t>GJ</t>
        </is>
      </c>
      <c r="G5" s="95" t="n">
        <v>2500</v>
      </c>
      <c r="H5" s="96" t="n">
        <v>46388</v>
      </c>
      <c r="I5" s="96" t="n">
        <v>47483</v>
      </c>
      <c r="J5" s="8" t="inlineStr">
        <is>
          <t>AUD</t>
        </is>
      </c>
      <c r="K5" s="97">
        <f>'Rate Inputs'!E141</f>
        <v/>
      </c>
      <c r="L5" s="97">
        <f>'Rate Inputs'!F141</f>
        <v/>
      </c>
      <c r="M5" s="98">
        <f>IF(OR($P5="Ready",$P5="FY26 provisional",$P5="FY26 secured"),IF($H5&lt;=DATE(2025,7,1),ROUNDUP($K5,-2),IF('Rate Inputs'!$J141="","",ROUNDUP(IF($H5&gt;DATE(2026,6,30),'Rate Inputs'!$J141,'Rate Inputs'!$J141*($H5-DATE(2025,7,1))/365+$K5*(DATE(2026,6,30)-$H5+1)/365),-2))),"")</f>
        <v/>
      </c>
      <c r="N5" s="98">
        <f>IF($P5="Ready",ROUNDUP(IFERROR($K5,0),-2),IF(OR($P5="FY26 provisional",$P5="FY26 secured"),"",0))</f>
        <v/>
      </c>
      <c r="O5" s="98">
        <f>IF($P5="Ready",IF('Rate Inputs'!$F141="","",ROUNDUP(IFERROR($L5,0),-2)),IF(OR($P5="FY26 provisional",$P5="FY26 secured"),"",0))</f>
        <v/>
      </c>
      <c r="P5" s="8" t="inlineStr">
        <is>
          <t>Ready</t>
        </is>
      </c>
      <c r="Q5" s="11" t="n"/>
    </row>
    <row r="6">
      <c r="A6" s="2" t="n">
        <v>5248353654</v>
      </c>
      <c r="B6" s="8">
        <f t="array" ref="B6:E6">_xlfn.XLOOKUP(A6,'Site Register'!A:A,'Site Register'!B:E)</f>
        <v/>
      </c>
      <c r="C6" s="8" t="inlineStr">
        <is>
          <t>Australia</t>
        </is>
      </c>
      <c r="D6" s="8" t="inlineStr">
        <is>
          <t>NSW</t>
        </is>
      </c>
      <c r="E6" s="8" t="inlineStr">
        <is>
          <t>AU Large Natural Gas</t>
        </is>
      </c>
      <c r="F6" s="8" t="inlineStr">
        <is>
          <t>GJ</t>
        </is>
      </c>
      <c r="G6" s="95" t="n">
        <v>108015.3710000001</v>
      </c>
      <c r="H6" s="96" t="n">
        <v>46023</v>
      </c>
      <c r="I6" s="96" t="n">
        <v>46752</v>
      </c>
      <c r="J6" s="8" t="inlineStr">
        <is>
          <t>AUD</t>
        </is>
      </c>
      <c r="K6" s="97">
        <f>'Rate Inputs'!E147</f>
        <v/>
      </c>
      <c r="L6" s="97">
        <f>'Rate Inputs'!F147</f>
        <v/>
      </c>
      <c r="M6" s="98">
        <f>IF(OR($P6="Ready",$P6="FY26 provisional",$P6="FY26 secured"),IF($H6&lt;=DATE(2025,7,1),ROUNDUP($K6,-2),IF('Rate Inputs'!$J147="","",ROUNDUP(IF($H6&gt;DATE(2026,6,30),'Rate Inputs'!$J147,'Rate Inputs'!$J147*($H6-DATE(2025,7,1))/365+$K6*(DATE(2026,6,30)-$H6+1)/365),-2))),"")</f>
        <v/>
      </c>
      <c r="N6" s="98">
        <f>IF($P6="Ready",ROUNDUP(IFERROR($K6,0),-2),IF(OR($P6="FY26 provisional",$P6="FY26 secured"),"",0))</f>
        <v/>
      </c>
      <c r="O6" s="98">
        <f>IF($P6="Ready",IF('Rate Inputs'!$F147="","",ROUNDUP(IFERROR($L6,0),-2)),IF(OR($P6="FY26 provisional",$P6="FY26 secured"),"",0))</f>
        <v/>
      </c>
      <c r="P6" s="8" t="inlineStr">
        <is>
          <t>Ready</t>
        </is>
      </c>
      <c r="Q6" s="11" t="n"/>
    </row>
    <row r="7">
      <c r="A7" s="2" t="n">
        <v>5265761108</v>
      </c>
      <c r="B7" s="8">
        <f t="array" ref="B7:E7">_xlfn.XLOOKUP(A7,'Site Register'!A:A,'Site Register'!B:E)</f>
        <v/>
      </c>
      <c r="C7" s="8" t="inlineStr">
        <is>
          <t>Australia</t>
        </is>
      </c>
      <c r="D7" s="8" t="inlineStr">
        <is>
          <t>NSW</t>
        </is>
      </c>
      <c r="E7" s="8" t="inlineStr">
        <is>
          <t>AU Large Natural Gas</t>
        </is>
      </c>
      <c r="F7" s="8" t="inlineStr">
        <is>
          <t>GJ</t>
        </is>
      </c>
      <c r="G7" s="95" t="n">
        <v>1300</v>
      </c>
      <c r="H7" s="96" t="n">
        <v>46388</v>
      </c>
      <c r="I7" s="96" t="n">
        <v>46752</v>
      </c>
      <c r="J7" s="8" t="inlineStr">
        <is>
          <t>AUD</t>
        </is>
      </c>
      <c r="K7" s="97">
        <f>'Rate Inputs'!E148</f>
        <v/>
      </c>
      <c r="L7" s="97">
        <f>'Rate Inputs'!F148</f>
        <v/>
      </c>
      <c r="M7" s="98">
        <f>IF(OR($P7="Ready",$P7="FY26 provisional",$P7="FY26 secured"),IF($H7&lt;=DATE(2025,7,1),ROUNDUP($K7,-2),IF('Rate Inputs'!$J148="","",ROUNDUP(IF($H7&gt;DATE(2026,6,30),'Rate Inputs'!$J148,'Rate Inputs'!$J148*($H7-DATE(2025,7,1))/365+$K7*(DATE(2026,6,30)-$H7+1)/365),-2))),"")</f>
        <v/>
      </c>
      <c r="N7" s="98">
        <f>IF($P7="Ready",ROUNDUP(IFERROR($K7,0),-2),IF(OR($P7="FY26 provisional",$P7="FY26 secured"),"",0))</f>
        <v/>
      </c>
      <c r="O7" s="98">
        <f>IF($P7="Ready",IF('Rate Inputs'!$F148="","",ROUNDUP(IFERROR($L7,0),-2)),IF(OR($P7="FY26 provisional",$P7="FY26 secured"),"",0))</f>
        <v/>
      </c>
      <c r="P7" s="8" t="inlineStr">
        <is>
          <t>Ready</t>
        </is>
      </c>
      <c r="Q7" s="11" t="n"/>
    </row>
    <row r="8">
      <c r="A8" s="2" t="n">
        <v>5510072233</v>
      </c>
      <c r="B8" s="8">
        <f t="array" ref="B8:E8">_xlfn.XLOOKUP(A8,'Site Register'!A:A,'Site Register'!B:E)</f>
        <v/>
      </c>
      <c r="C8" s="8" t="inlineStr">
        <is>
          <t>Australia</t>
        </is>
      </c>
      <c r="D8" s="8" t="inlineStr">
        <is>
          <t>SA</t>
        </is>
      </c>
      <c r="E8" s="8" t="inlineStr">
        <is>
          <t>AU Large Natural Gas</t>
        </is>
      </c>
      <c r="F8" s="8" t="inlineStr">
        <is>
          <t>GJ</t>
        </is>
      </c>
      <c r="G8" s="95" t="n">
        <v>92565.36000000002</v>
      </c>
      <c r="H8" s="96" t="n">
        <v>46023</v>
      </c>
      <c r="I8" s="96" t="n">
        <v>46752</v>
      </c>
      <c r="J8" s="8" t="inlineStr">
        <is>
          <t>AUD</t>
        </is>
      </c>
      <c r="K8" s="97">
        <f>'Rate Inputs'!E154</f>
        <v/>
      </c>
      <c r="L8" s="97">
        <f>'Rate Inputs'!F154</f>
        <v/>
      </c>
      <c r="M8" s="98">
        <f>IF(OR($P8="Ready",$P8="FY26 provisional",$P8="FY26 secured"),IF($H8&lt;=DATE(2025,7,1),ROUNDUP($K8,-2),IF('Rate Inputs'!$J154="","",ROUNDUP(IF($H8&gt;DATE(2026,6,30),'Rate Inputs'!$J154,'Rate Inputs'!$J154*($H8-DATE(2025,7,1))/365+$K8*(DATE(2026,6,30)-$H8+1)/365),-2))),"")</f>
        <v/>
      </c>
      <c r="N8" s="98">
        <f>IF($P8="Ready",ROUNDUP(IFERROR($K8,0),-2),IF(OR($P8="FY26 provisional",$P8="FY26 secured"),"",0))</f>
        <v/>
      </c>
      <c r="O8" s="98">
        <f>IF($P8="Ready",IF('Rate Inputs'!$F154="","",ROUNDUP(IFERROR($L8,0),-2)),IF(OR($P8="FY26 provisional",$P8="FY26 secured"),"",0))</f>
        <v/>
      </c>
      <c r="P8" s="8" t="inlineStr">
        <is>
          <t>Ready</t>
        </is>
      </c>
      <c r="Q8" s="11" t="n"/>
    </row>
    <row r="9">
      <c r="A9" s="2" t="n">
        <v>5510485000</v>
      </c>
      <c r="B9" s="8">
        <f t="array" ref="B9:E9">_xlfn.XLOOKUP(A9,'Site Register'!A:A,'Site Register'!B:E)</f>
        <v/>
      </c>
      <c r="C9" s="8" t="inlineStr">
        <is>
          <t>Australia</t>
        </is>
      </c>
      <c r="D9" s="8" t="inlineStr">
        <is>
          <t>SA</t>
        </is>
      </c>
      <c r="E9" s="8" t="inlineStr">
        <is>
          <t>AU Large Natural Gas</t>
        </is>
      </c>
      <c r="F9" s="8" t="inlineStr">
        <is>
          <t>GJ</t>
        </is>
      </c>
      <c r="G9" s="95" t="n">
        <v>13214.10399999999</v>
      </c>
      <c r="H9" s="96" t="n">
        <v>46023</v>
      </c>
      <c r="I9" s="96" t="n">
        <v>46752</v>
      </c>
      <c r="J9" s="8" t="inlineStr">
        <is>
          <t>AUD</t>
        </is>
      </c>
      <c r="K9" s="97">
        <f>'Rate Inputs'!E156</f>
        <v/>
      </c>
      <c r="L9" s="97">
        <f>'Rate Inputs'!F156</f>
        <v/>
      </c>
      <c r="M9" s="98">
        <f>IF(OR($P9="Ready",$P9="FY26 provisional",$P9="FY26 secured"),IF($H9&lt;=DATE(2025,7,1),ROUNDUP($K9,-2),IF('Rate Inputs'!$J156="","",ROUNDUP(IF($H9&gt;DATE(2026,6,30),'Rate Inputs'!$J156,'Rate Inputs'!$J156*($H9-DATE(2025,7,1))/365+$K9*(DATE(2026,6,30)-$H9+1)/365),-2))),"")</f>
        <v/>
      </c>
      <c r="N9" s="98">
        <f>IF($P9="Ready",ROUNDUP(IFERROR($K9,0),-2),IF(OR($P9="FY26 provisional",$P9="FY26 secured"),"",0))</f>
        <v/>
      </c>
      <c r="O9" s="98">
        <f>IF($P9="Ready",IF('Rate Inputs'!$F156="","",ROUNDUP(IFERROR($L9,0),-2)),IF(OR($P9="FY26 provisional",$P9="FY26 secured"),"",0))</f>
        <v/>
      </c>
      <c r="P9" s="8" t="inlineStr">
        <is>
          <t>Ready</t>
        </is>
      </c>
      <c r="Q9" s="11" t="n"/>
    </row>
    <row r="10">
      <c r="A10" s="2" t="n">
        <v>5762711908</v>
      </c>
      <c r="B10" s="8">
        <f t="array" ref="B10:E10">_xlfn.XLOOKUP(A10,'Site Register'!A:A,'Site Register'!B:E)</f>
        <v/>
      </c>
      <c r="C10" s="8" t="inlineStr">
        <is>
          <t>Australia</t>
        </is>
      </c>
      <c r="D10" s="8" t="inlineStr">
        <is>
          <t>TAS</t>
        </is>
      </c>
      <c r="E10" s="8" t="inlineStr">
        <is>
          <t>AU Large Natural Gas</t>
        </is>
      </c>
      <c r="F10" s="8" t="inlineStr">
        <is>
          <t>GJ</t>
        </is>
      </c>
      <c r="G10" s="95" t="n">
        <v>15621.56412</v>
      </c>
      <c r="H10" s="96" t="n">
        <v>45658</v>
      </c>
      <c r="I10" s="96" t="n">
        <v>46387</v>
      </c>
      <c r="J10" s="8" t="inlineStr">
        <is>
          <t>AUD</t>
        </is>
      </c>
      <c r="K10" s="97">
        <f>'Rate Inputs'!E157</f>
        <v/>
      </c>
      <c r="L10" s="99">
        <f>K10</f>
        <v/>
      </c>
      <c r="M10" s="98">
        <f>IF(OR($P10="Ready",$P10="FY26 provisional",$P10="FY26 secured"),IF($H10&lt;=DATE(2025,7,1),ROUNDUP($K10,-2),IF('Rate Inputs'!$J157="","",ROUNDUP(IF($H10&gt;DATE(2026,6,30),'Rate Inputs'!$J157,'Rate Inputs'!$J157*($H10-DATE(2025,7,1))/365+$K10*(DATE(2026,6,30)-$H10+1)/365),-2))),"")</f>
        <v/>
      </c>
      <c r="N10" s="100">
        <f>IF($P10="Ready",ROUNDUP(IFERROR($K10,0),-2),IF(OR($P10="FY26 provisional",$P10="FY26 secured"),"",0))</f>
        <v/>
      </c>
      <c r="O10" s="100">
        <f>N10</f>
        <v/>
      </c>
      <c r="P10" s="8" t="inlineStr">
        <is>
          <t>Ready</t>
        </is>
      </c>
      <c r="Q10" s="11" t="inlineStr">
        <is>
          <t>Estimated FY27/FY28 based on FY26 contract</t>
        </is>
      </c>
    </row>
    <row r="11">
      <c r="A11" s="2" t="n">
        <v>5310000243</v>
      </c>
      <c r="B11" s="8">
        <f t="array" ref="B11:E11">_xlfn.XLOOKUP(A11,'Site Register'!A:A,'Site Register'!B:E)</f>
        <v/>
      </c>
      <c r="C11" s="8" t="inlineStr">
        <is>
          <t>Australia</t>
        </is>
      </c>
      <c r="D11" s="8" t="inlineStr">
        <is>
          <t>VIC</t>
        </is>
      </c>
      <c r="E11" s="8" t="inlineStr">
        <is>
          <t>AU Large Natural Gas</t>
        </is>
      </c>
      <c r="F11" s="8" t="inlineStr">
        <is>
          <t>GJ</t>
        </is>
      </c>
      <c r="G11" s="95" t="n">
        <v>57783.717189303</v>
      </c>
      <c r="H11" s="96" t="n">
        <v>46023</v>
      </c>
      <c r="I11" s="96" t="n">
        <v>46752</v>
      </c>
      <c r="J11" s="8" t="inlineStr">
        <is>
          <t>AUD</t>
        </is>
      </c>
      <c r="K11" s="97">
        <f>'Rate Inputs'!E158</f>
        <v/>
      </c>
      <c r="L11" s="97">
        <f>'Rate Inputs'!F158</f>
        <v/>
      </c>
      <c r="M11" s="98">
        <f>IF(OR($P11="Ready",$P11="FY26 provisional",$P11="FY26 secured"),IF($H11&lt;=DATE(2025,7,1),ROUNDUP($K11,-2),IF('Rate Inputs'!$J158="","",ROUNDUP(IF($H11&gt;DATE(2026,6,30),'Rate Inputs'!$J158,'Rate Inputs'!$J158*($H11-DATE(2025,7,1))/365+$K11*(DATE(2026,6,30)-$H11+1)/365),-2))),"")</f>
        <v/>
      </c>
      <c r="N11" s="98">
        <f>IF($P11="Ready",ROUNDUP(IFERROR($K11,0),-2),IF(OR($P11="FY26 provisional",$P11="FY26 secured"),"",0))</f>
        <v/>
      </c>
      <c r="O11" s="98">
        <f>IF($P11="Ready",IF('Rate Inputs'!$F158="","",ROUNDUP(IFERROR($L11,0),-2)),IF(OR($P11="FY26 provisional",$P11="FY26 secured"),"",0))</f>
        <v/>
      </c>
      <c r="P11" s="8" t="inlineStr">
        <is>
          <t>Ready</t>
        </is>
      </c>
      <c r="Q11" s="11" t="n"/>
    </row>
    <row r="12">
      <c r="A12" s="2" t="n">
        <v>5320000943</v>
      </c>
      <c r="B12" s="8">
        <f t="array" ref="B12:E12">_xlfn.XLOOKUP(A12,'Site Register'!A:A,'Site Register'!B:E)</f>
        <v/>
      </c>
      <c r="C12" s="8" t="inlineStr">
        <is>
          <t>Australia</t>
        </is>
      </c>
      <c r="D12" s="8" t="inlineStr">
        <is>
          <t>VIC</t>
        </is>
      </c>
      <c r="E12" s="8" t="inlineStr">
        <is>
          <t>AU Large Natural Gas</t>
        </is>
      </c>
      <c r="F12" s="8" t="inlineStr">
        <is>
          <t>GJ</t>
        </is>
      </c>
      <c r="G12" s="95" t="n">
        <v>23114.486190759</v>
      </c>
      <c r="H12" s="96" t="n">
        <v>46023</v>
      </c>
      <c r="I12" s="96" t="n">
        <v>46752</v>
      </c>
      <c r="J12" s="8" t="inlineStr">
        <is>
          <t>AUD</t>
        </is>
      </c>
      <c r="K12" s="97">
        <f>'Rate Inputs'!E159</f>
        <v/>
      </c>
      <c r="L12" s="97">
        <f>'Rate Inputs'!F159</f>
        <v/>
      </c>
      <c r="M12" s="98">
        <f>IF(OR($P12="Ready",$P12="FY26 provisional",$P12="FY26 secured"),IF($H12&lt;=DATE(2025,7,1),ROUNDUP($K12,-2),IF('Rate Inputs'!$J159="","",ROUNDUP(IF($H12&gt;DATE(2026,6,30),'Rate Inputs'!$J159,'Rate Inputs'!$J159*($H12-DATE(2025,7,1))/365+$K12*(DATE(2026,6,30)-$H12+1)/365),-2))),"")</f>
        <v/>
      </c>
      <c r="N12" s="98">
        <f>IF($P12="Ready",ROUNDUP(IFERROR($K12,0),-2),IF(OR($P12="FY26 provisional",$P12="FY26 secured"),"",0))</f>
        <v/>
      </c>
      <c r="O12" s="98">
        <f>IF($P12="Ready",IF('Rate Inputs'!$F159="","",ROUNDUP(IFERROR($L12,0),-2)),IF(OR($P12="FY26 provisional",$P12="FY26 secured"),"",0))</f>
        <v/>
      </c>
      <c r="P12" s="8" t="inlineStr">
        <is>
          <t>Ready</t>
        </is>
      </c>
      <c r="Q12" s="11" t="n"/>
    </row>
    <row r="13">
      <c r="A13" s="2" t="n">
        <v>5330662312</v>
      </c>
      <c r="B13" s="8">
        <f t="array" ref="B13:E13">_xlfn.XLOOKUP(A13,'Site Register'!A:A,'Site Register'!B:E)</f>
        <v/>
      </c>
      <c r="C13" s="8" t="inlineStr">
        <is>
          <t>Australia</t>
        </is>
      </c>
      <c r="D13" s="8" t="inlineStr">
        <is>
          <t>VIC</t>
        </is>
      </c>
      <c r="E13" s="8" t="inlineStr">
        <is>
          <t>AU Large Natural Gas</t>
        </is>
      </c>
      <c r="F13" s="8" t="inlineStr">
        <is>
          <t>GJ</t>
        </is>
      </c>
      <c r="G13" s="95" t="n">
        <v>103871.24325094</v>
      </c>
      <c r="H13" s="96" t="n">
        <v>46023</v>
      </c>
      <c r="I13" s="96" t="n">
        <v>46752</v>
      </c>
      <c r="J13" s="8" t="inlineStr">
        <is>
          <t>AUD</t>
        </is>
      </c>
      <c r="K13" s="97">
        <f>'Rate Inputs'!E161</f>
        <v/>
      </c>
      <c r="L13" s="97">
        <f>'Rate Inputs'!F161</f>
        <v/>
      </c>
      <c r="M13" s="98">
        <f>IF(OR($P13="Ready",$P13="FY26 provisional",$P13="FY26 secured"),IF($H13&lt;=DATE(2025,7,1),ROUNDUP($K13,-2),IF('Rate Inputs'!$J161="","",ROUNDUP(IF($H13&gt;DATE(2026,6,30),'Rate Inputs'!$J161,'Rate Inputs'!$J161*($H13-DATE(2025,7,1))/365+$K13*(DATE(2026,6,30)-$H13+1)/365),-2))),"")</f>
        <v/>
      </c>
      <c r="N13" s="98">
        <f>IF($P13="Ready",ROUNDUP(IFERROR($K13,0),-2),IF(OR($P13="FY26 provisional",$P13="FY26 secured"),"",0))</f>
        <v/>
      </c>
      <c r="O13" s="98">
        <f>IF($P13="Ready",IF('Rate Inputs'!$F161="","",ROUNDUP(IFERROR($L13,0),-2)),IF(OR($P13="FY26 provisional",$P13="FY26 secured"),"",0))</f>
        <v/>
      </c>
      <c r="P13" s="8" t="inlineStr">
        <is>
          <t>Ready</t>
        </is>
      </c>
      <c r="Q13" s="11" t="n"/>
    </row>
    <row r="14">
      <c r="A14" s="2" t="n">
        <v>5600405263</v>
      </c>
      <c r="B14" s="8">
        <f t="array" ref="B14:E14">_xlfn.XLOOKUP(A14,'Site Register'!A:A,'Site Register'!B:E)</f>
        <v/>
      </c>
      <c r="C14" s="8" t="inlineStr">
        <is>
          <t>Australia</t>
        </is>
      </c>
      <c r="D14" s="8" t="inlineStr">
        <is>
          <t>WA</t>
        </is>
      </c>
      <c r="E14" s="8" t="inlineStr">
        <is>
          <t>AU Large Natural Gas</t>
        </is>
      </c>
      <c r="F14" s="8" t="inlineStr">
        <is>
          <t>GJ</t>
        </is>
      </c>
      <c r="G14" s="95" t="n">
        <v>590</v>
      </c>
      <c r="H14" s="96" t="n">
        <v>46023</v>
      </c>
      <c r="I14" s="96" t="n">
        <v>46752</v>
      </c>
      <c r="J14" s="8" t="inlineStr">
        <is>
          <t>AUD</t>
        </is>
      </c>
      <c r="K14" s="97">
        <f>'Rate Inputs'!E162</f>
        <v/>
      </c>
      <c r="L14" s="99">
        <f>'Rate Inputs'!F162</f>
        <v/>
      </c>
      <c r="M14" s="98">
        <f>IF(OR($P14="Ready",$P14="FY26 provisional",$P14="FY26 secured"),IF($H14&lt;=DATE(2025,7,1),ROUNDUP($K14,-2),IF('Rate Inputs'!$J162="","",ROUNDUP(IF($H14&gt;DATE(2026,6,30),'Rate Inputs'!$J162,'Rate Inputs'!$J162*($H14-DATE(2025,7,1))/365+$K14*(DATE(2026,6,30)-$H14+1)/365),-2))),"")</f>
        <v/>
      </c>
      <c r="N14" s="98">
        <f>IF($P14="Ready",ROUNDUP(IFERROR($K14,0),-2),IF(OR($P14="FY26 provisional",$P14="FY26 secured"),"",0))</f>
        <v/>
      </c>
      <c r="O14" s="100">
        <f>N14</f>
        <v/>
      </c>
      <c r="P14" s="8" t="inlineStr">
        <is>
          <t>Ready</t>
        </is>
      </c>
      <c r="Q14" s="11" t="inlineStr">
        <is>
          <t>Estimated FY28 based on FY27 contract</t>
        </is>
      </c>
    </row>
    <row r="15">
      <c r="A15" s="2" t="n">
        <v>5600436929</v>
      </c>
      <c r="B15" s="8">
        <f t="array" ref="B15:E15">_xlfn.XLOOKUP(A15,'Site Register'!A:A,'Site Register'!B:E)</f>
        <v/>
      </c>
      <c r="C15" s="8" t="inlineStr">
        <is>
          <t>Australia</t>
        </is>
      </c>
      <c r="D15" s="8" t="inlineStr">
        <is>
          <t>WA</t>
        </is>
      </c>
      <c r="E15" s="8" t="inlineStr">
        <is>
          <t>AU Large Natural Gas</t>
        </is>
      </c>
      <c r="F15" s="8" t="inlineStr">
        <is>
          <t>GJ</t>
        </is>
      </c>
      <c r="G15" s="95" t="n">
        <v>23242.13673913043</v>
      </c>
      <c r="H15" s="96" t="n">
        <v>46023</v>
      </c>
      <c r="I15" s="96" t="n">
        <v>46752</v>
      </c>
      <c r="J15" s="8" t="inlineStr">
        <is>
          <t>AUD</t>
        </is>
      </c>
      <c r="K15" s="97">
        <f>'Rate Inputs'!E163</f>
        <v/>
      </c>
      <c r="L15" s="99">
        <f>'Rate Inputs'!F163</f>
        <v/>
      </c>
      <c r="M15" s="98">
        <f>IF(OR($P15="Ready",$P15="FY26 provisional",$P15="FY26 secured"),IF($H15&lt;=DATE(2025,7,1),ROUNDUP($K15,-2),IF('Rate Inputs'!$J163="","",ROUNDUP(IF($H15&gt;DATE(2026,6,30),'Rate Inputs'!$J163,'Rate Inputs'!$J163*($H15-DATE(2025,7,1))/365+$K15*(DATE(2026,6,30)-$H15+1)/365),-2))),"")</f>
        <v/>
      </c>
      <c r="N15" s="98">
        <f>IF($P15="Ready",ROUNDUP(IFERROR($K15,0),-2),IF(OR($P15="FY26 provisional",$P15="FY26 secured"),"",0))</f>
        <v/>
      </c>
      <c r="O15" s="100">
        <f>N15</f>
        <v/>
      </c>
      <c r="P15" s="8" t="inlineStr">
        <is>
          <t>Ready</t>
        </is>
      </c>
      <c r="Q15" s="11" t="inlineStr">
        <is>
          <t>Estimated FY28 based on FY27 contract</t>
        </is>
      </c>
    </row>
    <row r="16">
      <c r="A16" s="2" t="n">
        <v>5600604830</v>
      </c>
      <c r="B16" s="8">
        <f t="array" ref="B16:E16">_xlfn.XLOOKUP(A16,'Site Register'!A:A,'Site Register'!B:E)</f>
        <v/>
      </c>
      <c r="C16" s="8" t="inlineStr">
        <is>
          <t>Australia</t>
        </is>
      </c>
      <c r="D16" s="8" t="inlineStr">
        <is>
          <t>WA</t>
        </is>
      </c>
      <c r="E16" s="8" t="inlineStr">
        <is>
          <t>AU Large Natural Gas</t>
        </is>
      </c>
      <c r="F16" s="8" t="inlineStr">
        <is>
          <t>GJ</t>
        </is>
      </c>
      <c r="G16" s="95" t="n">
        <v>9471.607275641016</v>
      </c>
      <c r="H16" s="96" t="n">
        <v>46023</v>
      </c>
      <c r="I16" s="96" t="n">
        <v>46752</v>
      </c>
      <c r="J16" s="8" t="inlineStr">
        <is>
          <t>AUD</t>
        </is>
      </c>
      <c r="K16" s="97">
        <f>'Rate Inputs'!E164</f>
        <v/>
      </c>
      <c r="L16" s="99">
        <f>'Rate Inputs'!F164</f>
        <v/>
      </c>
      <c r="M16" s="98">
        <f>IF(OR($P16="Ready",$P16="FY26 provisional",$P16="FY26 secured"),IF($H16&lt;=DATE(2025,7,1),ROUNDUP($K16,-2),IF('Rate Inputs'!$J164="","",ROUNDUP(IF($H16&gt;DATE(2026,6,30),'Rate Inputs'!$J164,'Rate Inputs'!$J164*($H16-DATE(2025,7,1))/365+$K16*(DATE(2026,6,30)-$H16+1)/365),-2))),"")</f>
        <v/>
      </c>
      <c r="N16" s="98">
        <f>IF($P16="Ready",ROUNDUP(IFERROR($K16,0),-2),IF(OR($P16="FY26 provisional",$P16="FY26 secured"),"",0))</f>
        <v/>
      </c>
      <c r="O16" s="100">
        <f>N16</f>
        <v/>
      </c>
      <c r="P16" s="8" t="inlineStr">
        <is>
          <t>Ready</t>
        </is>
      </c>
      <c r="Q16" s="11" t="inlineStr">
        <is>
          <t>Estimated FY28 based on FY27 contract</t>
        </is>
      </c>
    </row>
    <row r="17">
      <c r="A17" s="2" t="n">
        <v>5600945901</v>
      </c>
      <c r="B17" s="8">
        <f t="array" ref="B17:E17">_xlfn.XLOOKUP(A17,'Site Register'!A:A,'Site Register'!B:E)</f>
        <v/>
      </c>
      <c r="C17" s="8" t="inlineStr">
        <is>
          <t>Australia</t>
        </is>
      </c>
      <c r="D17" s="8" t="inlineStr">
        <is>
          <t>WA</t>
        </is>
      </c>
      <c r="E17" s="8" t="inlineStr">
        <is>
          <t>AU Large Natural Gas</t>
        </is>
      </c>
      <c r="F17" s="8" t="inlineStr">
        <is>
          <t>GJ</t>
        </is>
      </c>
      <c r="G17" s="95" t="n">
        <v>34066.92792410716</v>
      </c>
      <c r="H17" s="96" t="n">
        <v>46023</v>
      </c>
      <c r="I17" s="96" t="n">
        <v>46752</v>
      </c>
      <c r="J17" s="8" t="inlineStr">
        <is>
          <t>AUD</t>
        </is>
      </c>
      <c r="K17" s="97">
        <f>'Rate Inputs'!E165</f>
        <v/>
      </c>
      <c r="L17" s="99">
        <f>'Rate Inputs'!F165</f>
        <v/>
      </c>
      <c r="M17" s="98">
        <f>IF(OR($P17="Ready",$P17="FY26 provisional",$P17="FY26 secured"),IF($H17&lt;=DATE(2025,7,1),ROUNDUP($K17,-2),IF('Rate Inputs'!$J165="","",ROUNDUP(IF($H17&gt;DATE(2026,6,30),'Rate Inputs'!$J165,'Rate Inputs'!$J165*($H17-DATE(2025,7,1))/365+$K17*(DATE(2026,6,30)-$H17+1)/365),-2))),"")</f>
        <v/>
      </c>
      <c r="N17" s="98">
        <f>IF($P17="Ready",ROUNDUP(IFERROR($K17,0),-2),IF(OR($P17="FY26 provisional",$P17="FY26 secured"),"",0))</f>
        <v/>
      </c>
      <c r="O17" s="100">
        <f>N17</f>
        <v/>
      </c>
      <c r="P17" s="8" t="inlineStr">
        <is>
          <t>Ready</t>
        </is>
      </c>
      <c r="Q17" s="11" t="inlineStr">
        <is>
          <t>Estimated FY28 based on FY27 contract</t>
        </is>
      </c>
    </row>
    <row r="18">
      <c r="A18" s="2" t="n">
        <v>3053253239</v>
      </c>
      <c r="B18" s="8">
        <f t="array" ref="B18:E18">_xlfn.XLOOKUP(A18,'Site Register'!A:A,'Site Register'!B:E)</f>
        <v/>
      </c>
      <c r="C18" s="8" t="inlineStr">
        <is>
          <t>Australia</t>
        </is>
      </c>
      <c r="D18" s="8" t="inlineStr">
        <is>
          <t>QLD</t>
        </is>
      </c>
      <c r="E18" s="8" t="inlineStr">
        <is>
          <t>AU Large Electricity</t>
        </is>
      </c>
      <c r="F18" s="8" t="inlineStr">
        <is>
          <t>kWh</t>
        </is>
      </c>
      <c r="G18" s="95" t="n">
        <v>6208798</v>
      </c>
      <c r="H18" s="96" t="n">
        <v>46204</v>
      </c>
      <c r="I18" s="96" t="n">
        <v>46934</v>
      </c>
      <c r="J18" s="8" t="inlineStr">
        <is>
          <t>AUD</t>
        </is>
      </c>
      <c r="K18" s="97">
        <f>'Rate Inputs'!E59</f>
        <v/>
      </c>
      <c r="L18" s="97">
        <f>'Rate Inputs'!F59</f>
        <v/>
      </c>
      <c r="M18" s="98">
        <f>IF(OR($P18="Ready",$P18="FY26 provisional",$P18="FY26 secured"),IF($H18&lt;=DATE(2025,7,1),ROUNDUP($K18,-2),IF('Rate Inputs'!$J59="","",ROUNDUP(IF($H18&gt;DATE(2026,6,30),'Rate Inputs'!$J59,'Rate Inputs'!$J59*($H18-DATE(2025,7,1))/365+$K18*(DATE(2026,6,30)-$H18+1)/365),-2))),"")</f>
        <v/>
      </c>
      <c r="N18" s="98">
        <f>IF($P18="Ready",ROUNDUP(IFERROR($K18,0),-2),IF(OR($P18="FY26 provisional",$P18="FY26 secured"),"",0))</f>
        <v/>
      </c>
      <c r="O18" s="98">
        <f>IF($P18="Ready",IF('Rate Inputs'!$F59="","",ROUNDUP(IFERROR($L18,0),-2)),IF(OR($P18="FY26 provisional",$P18="FY26 secured"),"",0))</f>
        <v/>
      </c>
      <c r="P18" s="8" t="inlineStr">
        <is>
          <t>Ready</t>
        </is>
      </c>
      <c r="Q18" s="11" t="n"/>
    </row>
    <row r="19">
      <c r="A19" s="2" t="n">
        <v>6305885252</v>
      </c>
      <c r="B19" s="8">
        <f t="array" ref="B19:E19">_xlfn.XLOOKUP(A19,'Site Register'!A:A,'Site Register'!B:E)</f>
        <v/>
      </c>
      <c r="C19" s="8" t="inlineStr">
        <is>
          <t>Australia</t>
        </is>
      </c>
      <c r="D19" s="8" t="inlineStr">
        <is>
          <t>VIC</t>
        </is>
      </c>
      <c r="E19" s="8" t="inlineStr">
        <is>
          <t>AU Large Electricity</t>
        </is>
      </c>
      <c r="F19" s="8" t="inlineStr">
        <is>
          <t>kWh</t>
        </is>
      </c>
      <c r="G19" s="95" t="n">
        <v>201844</v>
      </c>
      <c r="H19" s="96" t="n">
        <v>46204</v>
      </c>
      <c r="I19" s="96" t="n">
        <v>46934</v>
      </c>
      <c r="J19" s="8" t="inlineStr">
        <is>
          <t>AUD</t>
        </is>
      </c>
      <c r="K19" s="97">
        <f>'Rate Inputs'!E116</f>
        <v/>
      </c>
      <c r="L19" s="97">
        <f>'Rate Inputs'!F116</f>
        <v/>
      </c>
      <c r="M19" s="98">
        <f>IF(OR($P19="Ready",$P19="FY26 provisional",$P19="FY26 secured"),IF($H19&lt;=DATE(2025,7,1),ROUNDUP($K19,-2),IF('Rate Inputs'!$J116="","",ROUNDUP(IF($H19&gt;DATE(2026,6,30),'Rate Inputs'!$J116,'Rate Inputs'!$J116*($H19-DATE(2025,7,1))/365+$K19*(DATE(2026,6,30)-$H19+1)/365),-2))),"")</f>
        <v/>
      </c>
      <c r="N19" s="98">
        <f>IF($P19="Ready",ROUNDUP(IFERROR($K19,0),-2),IF(OR($P19="FY26 provisional",$P19="FY26 secured"),"",0))</f>
        <v/>
      </c>
      <c r="O19" s="98">
        <f>IF($P19="Ready",IF('Rate Inputs'!$F116="","",ROUNDUP(IFERROR($L19,0),-2)),IF(OR($P19="FY26 provisional",$P19="FY26 secured"),"",0))</f>
        <v/>
      </c>
      <c r="P19" s="8" t="inlineStr">
        <is>
          <t>Ready</t>
        </is>
      </c>
      <c r="Q19" s="11" t="n"/>
    </row>
    <row r="20">
      <c r="A20" s="2" t="n">
        <v>4001050448</v>
      </c>
      <c r="B20" s="8">
        <f t="array" ref="B20:E20">_xlfn.XLOOKUP(A20,'Site Register'!A:A,'Site Register'!B:E)</f>
        <v/>
      </c>
      <c r="C20" s="8" t="inlineStr">
        <is>
          <t>Australia</t>
        </is>
      </c>
      <c r="D20" s="8" t="inlineStr">
        <is>
          <t>NSW</t>
        </is>
      </c>
      <c r="E20" s="8" t="inlineStr">
        <is>
          <t>AU Small Energy</t>
        </is>
      </c>
      <c r="F20" s="8" t="inlineStr">
        <is>
          <t>kWh</t>
        </is>
      </c>
      <c r="G20" s="95" t="n">
        <v>28354</v>
      </c>
      <c r="H20" s="96" t="n">
        <v>46204</v>
      </c>
      <c r="I20" s="96" t="n">
        <v>46934</v>
      </c>
      <c r="J20" s="8" t="inlineStr">
        <is>
          <t>AUD</t>
        </is>
      </c>
      <c r="K20" s="97">
        <f>'Rate Inputs'!E4</f>
        <v/>
      </c>
      <c r="L20" s="97">
        <f>'Rate Inputs'!F4</f>
        <v/>
      </c>
      <c r="M20" s="98">
        <f>IF(OR($P20="Ready",$P20="FY26 provisional",$P20="FY26 secured"),IF($H20&lt;=DATE(2025,7,1),ROUNDUP($K20,-2),IF('Rate Inputs'!$J4="","",ROUNDUP(IF($H20&gt;DATE(2026,6,30),'Rate Inputs'!$J4,'Rate Inputs'!$J4*($H20-DATE(2025,7,1))/365+$K20*(DATE(2026,6,30)-$H20+1)/365),-2))),"")</f>
        <v/>
      </c>
      <c r="N20" s="98">
        <f>IF($P20="Ready",ROUNDUP(IFERROR($K20,0),-2),IF(OR($P20="FY26 provisional",$P20="FY26 secured"),"",0))</f>
        <v/>
      </c>
      <c r="O20" s="98">
        <f>IF($P20="Ready",IF('Rate Inputs'!$F4="","",ROUNDUP(IFERROR($L20,0),-2)),IF(OR($P20="FY26 provisional",$P20="FY26 secured"),"",0))</f>
        <v/>
      </c>
      <c r="P20" s="8" t="inlineStr">
        <is>
          <t>Ready</t>
        </is>
      </c>
      <c r="Q20" s="11" t="n"/>
    </row>
    <row r="21">
      <c r="A21" s="2" t="n">
        <v>4001128707</v>
      </c>
      <c r="B21" s="8">
        <f t="array" ref="B21:E21">_xlfn.XLOOKUP(A21,'Site Register'!A:A,'Site Register'!B:E)</f>
        <v/>
      </c>
      <c r="C21" s="8" t="inlineStr">
        <is>
          <t>Australia</t>
        </is>
      </c>
      <c r="D21" s="8" t="inlineStr">
        <is>
          <t>NSW</t>
        </is>
      </c>
      <c r="E21" s="8" t="inlineStr">
        <is>
          <t>AU Small Energy</t>
        </is>
      </c>
      <c r="F21" s="8" t="inlineStr">
        <is>
          <t>kWh</t>
        </is>
      </c>
      <c r="G21" s="95" t="n">
        <v>0</v>
      </c>
      <c r="H21" s="96" t="n">
        <v>46204</v>
      </c>
      <c r="I21" s="96" t="n">
        <v>46934</v>
      </c>
      <c r="J21" s="8" t="inlineStr">
        <is>
          <t>AUD</t>
        </is>
      </c>
      <c r="K21" s="97">
        <f>'Rate Inputs'!E6</f>
        <v/>
      </c>
      <c r="L21" s="97">
        <f>'Rate Inputs'!F6</f>
        <v/>
      </c>
      <c r="M21" s="98">
        <f>IF(OR($P21="Ready",$P21="FY26 provisional",$P21="FY26 secured"),IF($H21&lt;=DATE(2025,7,1),ROUNDUP($K21,-2),IF('Rate Inputs'!$J6="","",ROUNDUP(IF($H21&gt;DATE(2026,6,30),'Rate Inputs'!$J6,'Rate Inputs'!$J6*($H21-DATE(2025,7,1))/365+$K21*(DATE(2026,6,30)-$H21+1)/365),-2))),"")</f>
        <v/>
      </c>
      <c r="N21" s="98">
        <f>IF($P21="Ready",ROUNDUP(IFERROR($K21,0),-2),IF(OR($P21="FY26 provisional",$P21="FY26 secured"),"",0))</f>
        <v/>
      </c>
      <c r="O21" s="98">
        <f>IF($P21="Ready",IF('Rate Inputs'!$F6="","",ROUNDUP(IFERROR($L21,0),-2)),IF(OR($P21="FY26 provisional",$P21="FY26 secured"),"",0))</f>
        <v/>
      </c>
      <c r="P21" s="8" t="inlineStr">
        <is>
          <t>Review required</t>
        </is>
      </c>
      <c r="Q21" s="11" t="n"/>
    </row>
    <row r="22">
      <c r="A22" s="2" t="n">
        <v>4001174306</v>
      </c>
      <c r="B22" s="8">
        <f t="array" ref="B22:E22">_xlfn.XLOOKUP(A22,'Site Register'!A:A,'Site Register'!B:E)</f>
        <v/>
      </c>
      <c r="C22" s="8" t="inlineStr">
        <is>
          <t>Australia</t>
        </is>
      </c>
      <c r="D22" s="8" t="inlineStr">
        <is>
          <t>NSW</t>
        </is>
      </c>
      <c r="E22" s="8" t="inlineStr">
        <is>
          <t>AU Small Energy</t>
        </is>
      </c>
      <c r="F22" s="8" t="inlineStr">
        <is>
          <t>kWh</t>
        </is>
      </c>
      <c r="G22" s="95" t="n">
        <v>254401</v>
      </c>
      <c r="H22" s="96" t="n">
        <v>46204</v>
      </c>
      <c r="I22" s="96" t="n">
        <v>46934</v>
      </c>
      <c r="J22" s="8" t="inlineStr">
        <is>
          <t>AUD</t>
        </is>
      </c>
      <c r="K22" s="97">
        <f>'Rate Inputs'!E8</f>
        <v/>
      </c>
      <c r="L22" s="97">
        <f>'Rate Inputs'!F8</f>
        <v/>
      </c>
      <c r="M22" s="98">
        <f>IF(OR($P22="Ready",$P22="FY26 provisional",$P22="FY26 secured"),IF($H22&lt;=DATE(2025,7,1),ROUNDUP($K22,-2),IF('Rate Inputs'!$J8="","",ROUNDUP(IF($H22&gt;DATE(2026,6,30),'Rate Inputs'!$J8,'Rate Inputs'!$J8*($H22-DATE(2025,7,1))/365+$K22*(DATE(2026,6,30)-$H22+1)/365),-2))),"")</f>
        <v/>
      </c>
      <c r="N22" s="98">
        <f>IF($P22="Ready",ROUNDUP(IFERROR($K22,0),-2),IF(OR($P22="FY26 provisional",$P22="FY26 secured"),"",0))</f>
        <v/>
      </c>
      <c r="O22" s="98">
        <f>IF($P22="Ready",IF('Rate Inputs'!$F8="","",ROUNDUP(IFERROR($L22,0),-2)),IF(OR($P22="FY26 provisional",$P22="FY26 secured"),"",0))</f>
        <v/>
      </c>
      <c r="P22" s="8" t="inlineStr">
        <is>
          <t>Ready</t>
        </is>
      </c>
      <c r="Q22" s="11" t="n"/>
    </row>
    <row r="23">
      <c r="A23" s="2" t="n">
        <v>4001231357</v>
      </c>
      <c r="B23" s="8">
        <f t="array" ref="B23:E23">_xlfn.XLOOKUP(A23,'Site Register'!A:A,'Site Register'!B:E)</f>
        <v/>
      </c>
      <c r="C23" s="8" t="inlineStr">
        <is>
          <t>Australia</t>
        </is>
      </c>
      <c r="D23" s="8" t="inlineStr">
        <is>
          <t>NSW</t>
        </is>
      </c>
      <c r="E23" s="8" t="inlineStr">
        <is>
          <t>AU Small Energy</t>
        </is>
      </c>
      <c r="F23" s="8" t="inlineStr">
        <is>
          <t>kWh</t>
        </is>
      </c>
      <c r="G23" s="95" t="n">
        <v>30776</v>
      </c>
      <c r="H23" s="96" t="n">
        <v>46204</v>
      </c>
      <c r="I23" s="96" t="n">
        <v>46934</v>
      </c>
      <c r="J23" s="8" t="inlineStr">
        <is>
          <t>AUD</t>
        </is>
      </c>
      <c r="K23" s="97">
        <f>'Rate Inputs'!E11</f>
        <v/>
      </c>
      <c r="L23" s="97">
        <f>'Rate Inputs'!F11</f>
        <v/>
      </c>
      <c r="M23" s="98">
        <f>IF(OR($P23="Ready",$P23="FY26 provisional",$P23="FY26 secured"),IF($H23&lt;=DATE(2025,7,1),ROUNDUP($K23,-2),IF('Rate Inputs'!$J11="","",ROUNDUP(IF($H23&gt;DATE(2026,6,30),'Rate Inputs'!$J11,'Rate Inputs'!$J11*($H23-DATE(2025,7,1))/365+$K23*(DATE(2026,6,30)-$H23+1)/365),-2))),"")</f>
        <v/>
      </c>
      <c r="N23" s="98">
        <f>IF($P23="Ready",ROUNDUP(IFERROR($K23,0),-2),IF(OR($P23="FY26 provisional",$P23="FY26 secured"),"",0))</f>
        <v/>
      </c>
      <c r="O23" s="98">
        <f>IF($P23="Ready",IF('Rate Inputs'!$F11="","",ROUNDUP(IFERROR($L23,0),-2)),IF(OR($P23="FY26 provisional",$P23="FY26 secured"),"",0))</f>
        <v/>
      </c>
      <c r="P23" s="8" t="inlineStr">
        <is>
          <t>Ready</t>
        </is>
      </c>
      <c r="Q23" s="11" t="n"/>
    </row>
    <row r="24">
      <c r="A24" s="2" t="n">
        <v>4001277522</v>
      </c>
      <c r="B24" s="8">
        <f t="array" ref="B24:E24">_xlfn.XLOOKUP(A24,'Site Register'!A:A,'Site Register'!B:E)</f>
        <v/>
      </c>
      <c r="C24" s="8" t="inlineStr">
        <is>
          <t>Australia</t>
        </is>
      </c>
      <c r="D24" s="8" t="inlineStr">
        <is>
          <t>NSW</t>
        </is>
      </c>
      <c r="E24" s="8" t="inlineStr">
        <is>
          <t>AU Small Energy</t>
        </is>
      </c>
      <c r="F24" s="8" t="inlineStr">
        <is>
          <t>kWh</t>
        </is>
      </c>
      <c r="G24" s="95" t="n">
        <v>9299</v>
      </c>
      <c r="H24" s="96" t="n">
        <v>46204</v>
      </c>
      <c r="I24" s="96" t="n">
        <v>46934</v>
      </c>
      <c r="J24" s="8" t="inlineStr">
        <is>
          <t>AUD</t>
        </is>
      </c>
      <c r="K24" s="97">
        <f>'Rate Inputs'!E12</f>
        <v/>
      </c>
      <c r="L24" s="97">
        <f>'Rate Inputs'!F12</f>
        <v/>
      </c>
      <c r="M24" s="98">
        <f>IF(OR($P24="Ready",$P24="FY26 provisional",$P24="FY26 secured"),IF($H24&lt;=DATE(2025,7,1),ROUNDUP($K24,-2),IF('Rate Inputs'!$J12="","",ROUNDUP(IF($H24&gt;DATE(2026,6,30),'Rate Inputs'!$J12,'Rate Inputs'!$J12*($H24-DATE(2025,7,1))/365+$K24*(DATE(2026,6,30)-$H24+1)/365),-2))),"")</f>
        <v/>
      </c>
      <c r="N24" s="98">
        <f>IF($P24="Ready",ROUNDUP(IFERROR($K24,0),-2),IF(OR($P24="FY26 provisional",$P24="FY26 secured"),"",0))</f>
        <v/>
      </c>
      <c r="O24" s="98">
        <f>IF($P24="Ready",IF('Rate Inputs'!$F12="","",ROUNDUP(IFERROR($L24,0),-2)),IF(OR($P24="FY26 provisional",$P24="FY26 secured"),"",0))</f>
        <v/>
      </c>
      <c r="P24" s="8" t="inlineStr">
        <is>
          <t>Ready</t>
        </is>
      </c>
      <c r="Q24" s="11" t="n"/>
    </row>
    <row r="25">
      <c r="A25" s="2" t="n">
        <v>4103512903</v>
      </c>
      <c r="B25" s="8">
        <f t="array" ref="B25:E25">_xlfn.XLOOKUP(A25,'Site Register'!A:A,'Site Register'!B:E)</f>
        <v/>
      </c>
      <c r="C25" s="8" t="inlineStr">
        <is>
          <t>Australia</t>
        </is>
      </c>
      <c r="D25" s="8" t="inlineStr">
        <is>
          <t>NSW</t>
        </is>
      </c>
      <c r="E25" s="8" t="inlineStr">
        <is>
          <t>AU Small Energy</t>
        </is>
      </c>
      <c r="F25" s="8" t="inlineStr">
        <is>
          <t>kWh</t>
        </is>
      </c>
      <c r="G25" s="95" t="n">
        <v>15039</v>
      </c>
      <c r="H25" s="96" t="n">
        <v>46204</v>
      </c>
      <c r="I25" s="96" t="n">
        <v>46934</v>
      </c>
      <c r="J25" s="8" t="inlineStr">
        <is>
          <t>AUD</t>
        </is>
      </c>
      <c r="K25" s="97">
        <f>'Rate Inputs'!E14</f>
        <v/>
      </c>
      <c r="L25" s="97">
        <f>'Rate Inputs'!F14</f>
        <v/>
      </c>
      <c r="M25" s="98">
        <f>IF(OR($P25="Ready",$P25="FY26 provisional",$P25="FY26 secured"),IF($H25&lt;=DATE(2025,7,1),ROUNDUP($K25,-2),IF('Rate Inputs'!$J14="","",ROUNDUP(IF($H25&gt;DATE(2026,6,30),'Rate Inputs'!$J14,'Rate Inputs'!$J14*($H25-DATE(2025,7,1))/365+$K25*(DATE(2026,6,30)-$H25+1)/365),-2))),"")</f>
        <v/>
      </c>
      <c r="N25" s="98">
        <f>IF($P25="Ready",ROUNDUP(IFERROR($K25,0),-2),IF(OR($P25="FY26 provisional",$P25="FY26 secured"),"",0))</f>
        <v/>
      </c>
      <c r="O25" s="98">
        <f>IF($P25="Ready",IF('Rate Inputs'!$F14="","",ROUNDUP(IFERROR($L25,0),-2)),IF(OR($P25="FY26 provisional",$P25="FY26 secured"),"",0))</f>
        <v/>
      </c>
      <c r="P25" s="8" t="inlineStr">
        <is>
          <t>Ready</t>
        </is>
      </c>
      <c r="Q25" s="11" t="n"/>
    </row>
    <row r="26">
      <c r="A26" s="2" t="n">
        <v>4104037195</v>
      </c>
      <c r="B26" s="8">
        <f t="array" ref="B26:E26">_xlfn.XLOOKUP(A26,'Site Register'!A:A,'Site Register'!B:E)</f>
        <v/>
      </c>
      <c r="C26" s="8" t="inlineStr">
        <is>
          <t>Australia</t>
        </is>
      </c>
      <c r="D26" s="8" t="inlineStr">
        <is>
          <t>NSW</t>
        </is>
      </c>
      <c r="E26" s="8" t="inlineStr">
        <is>
          <t>AU Small Energy</t>
        </is>
      </c>
      <c r="F26" s="8" t="inlineStr">
        <is>
          <t>kWh</t>
        </is>
      </c>
      <c r="G26" s="95" t="n">
        <v>2938</v>
      </c>
      <c r="H26" s="96" t="n">
        <v>46204</v>
      </c>
      <c r="I26" s="96" t="n">
        <v>46934</v>
      </c>
      <c r="J26" s="8" t="inlineStr">
        <is>
          <t>AUD</t>
        </is>
      </c>
      <c r="K26" s="97">
        <f>'Rate Inputs'!E33</f>
        <v/>
      </c>
      <c r="L26" s="97">
        <f>'Rate Inputs'!F33</f>
        <v/>
      </c>
      <c r="M26" s="98">
        <f>IF(OR($P26="Ready",$P26="FY26 provisional",$P26="FY26 secured"),IF($H26&lt;=DATE(2025,7,1),ROUNDUP($K26,-2),IF('Rate Inputs'!$J33="","",ROUNDUP(IF($H26&gt;DATE(2026,6,30),'Rate Inputs'!$J33,'Rate Inputs'!$J33*($H26-DATE(2025,7,1))/365+$K26*(DATE(2026,6,30)-$H26+1)/365),-2))),"")</f>
        <v/>
      </c>
      <c r="N26" s="98">
        <f>IF($P26="Ready",ROUNDUP(IFERROR($K26,0),-2),IF(OR($P26="FY26 provisional",$P26="FY26 secured"),"",0))</f>
        <v/>
      </c>
      <c r="O26" s="98">
        <f>IF($P26="Ready",IF('Rate Inputs'!$F33="","",ROUNDUP(IFERROR($L26,0),-2)),IF(OR($P26="FY26 provisional",$P26="FY26 secured"),"",0))</f>
        <v/>
      </c>
      <c r="P26" s="8" t="inlineStr">
        <is>
          <t>Ready</t>
        </is>
      </c>
      <c r="Q26" s="11" t="n"/>
    </row>
    <row r="27">
      <c r="A27" s="2" t="n">
        <v>4204234430</v>
      </c>
      <c r="B27" s="8">
        <f t="array" ref="B27:E27">_xlfn.XLOOKUP(A27,'Site Register'!A:A,'Site Register'!B:E)</f>
        <v/>
      </c>
      <c r="C27" s="8" t="inlineStr">
        <is>
          <t>Australia</t>
        </is>
      </c>
      <c r="D27" s="8" t="inlineStr">
        <is>
          <t>NSW</t>
        </is>
      </c>
      <c r="E27" s="8" t="inlineStr">
        <is>
          <t>AU Small Energy</t>
        </is>
      </c>
      <c r="F27" s="8" t="inlineStr">
        <is>
          <t>kWh</t>
        </is>
      </c>
      <c r="G27" s="95" t="n">
        <v>16709</v>
      </c>
      <c r="H27" s="96" t="n">
        <v>46204</v>
      </c>
      <c r="I27" s="96" t="n">
        <v>46934</v>
      </c>
      <c r="J27" s="8" t="inlineStr">
        <is>
          <t>AUD</t>
        </is>
      </c>
      <c r="K27" s="97">
        <f>'Rate Inputs'!E35</f>
        <v/>
      </c>
      <c r="L27" s="97">
        <f>'Rate Inputs'!F35</f>
        <v/>
      </c>
      <c r="M27" s="98">
        <f>IF(OR($P27="Ready",$P27="FY26 provisional",$P27="FY26 secured"),IF($H27&lt;=DATE(2025,7,1),ROUNDUP($K27,-2),IF('Rate Inputs'!$J35="","",ROUNDUP(IF($H27&gt;DATE(2026,6,30),'Rate Inputs'!$J35,'Rate Inputs'!$J35*($H27-DATE(2025,7,1))/365+$K27*(DATE(2026,6,30)-$H27+1)/365),-2))),"")</f>
        <v/>
      </c>
      <c r="N27" s="98">
        <f>IF($P27="Ready",ROUNDUP(IFERROR($K27,0),-2),IF(OR($P27="FY26 provisional",$P27="FY26 secured"),"",0))</f>
        <v/>
      </c>
      <c r="O27" s="98">
        <f>IF($P27="Ready",IF('Rate Inputs'!$F35="","",ROUNDUP(IFERROR($L27,0),-2)),IF(OR($P27="FY26 provisional",$P27="FY26 secured"),"",0))</f>
        <v/>
      </c>
      <c r="P27" s="8" t="inlineStr">
        <is>
          <t>Ready</t>
        </is>
      </c>
      <c r="Q27" s="11" t="n"/>
    </row>
    <row r="28">
      <c r="A28" s="2" t="n">
        <v>4310027807</v>
      </c>
      <c r="B28" s="8">
        <f t="array" ref="B28:E28">_xlfn.XLOOKUP(A28,'Site Register'!A:A,'Site Register'!B:E)</f>
        <v/>
      </c>
      <c r="C28" s="8" t="inlineStr">
        <is>
          <t>Australia</t>
        </is>
      </c>
      <c r="D28" s="8" t="inlineStr">
        <is>
          <t>NSW</t>
        </is>
      </c>
      <c r="E28" s="8" t="inlineStr">
        <is>
          <t>AU Small Energy</t>
        </is>
      </c>
      <c r="F28" s="8" t="inlineStr">
        <is>
          <t>kWh</t>
        </is>
      </c>
      <c r="G28" s="95" t="n">
        <v>65379</v>
      </c>
      <c r="H28" s="96" t="n">
        <v>46204</v>
      </c>
      <c r="I28" s="96" t="n">
        <v>46934</v>
      </c>
      <c r="J28" s="8" t="inlineStr">
        <is>
          <t>AUD</t>
        </is>
      </c>
      <c r="K28" s="97">
        <f>'Rate Inputs'!E36</f>
        <v/>
      </c>
      <c r="L28" s="97">
        <f>'Rate Inputs'!F36</f>
        <v/>
      </c>
      <c r="M28" s="98">
        <f>IF(OR($P28="Ready",$P28="FY26 provisional",$P28="FY26 secured"),IF($H28&lt;=DATE(2025,7,1),ROUNDUP($K28,-2),IF('Rate Inputs'!$J36="","",ROUNDUP(IF($H28&gt;DATE(2026,6,30),'Rate Inputs'!$J36,'Rate Inputs'!$J36*($H28-DATE(2025,7,1))/365+$K28*(DATE(2026,6,30)-$H28+1)/365),-2))),"")</f>
        <v/>
      </c>
      <c r="N28" s="98">
        <f>IF($P28="Ready",ROUNDUP(IFERROR($K28,0),-2),IF(OR($P28="FY26 provisional",$P28="FY26 secured"),"",0))</f>
        <v/>
      </c>
      <c r="O28" s="98">
        <f>IF($P28="Ready",IF('Rate Inputs'!$F36="","",ROUNDUP(IFERROR($L28,0),-2)),IF(OR($P28="FY26 provisional",$P28="FY26 secured"),"",0))</f>
        <v/>
      </c>
      <c r="P28" s="8" t="inlineStr">
        <is>
          <t>Ready</t>
        </is>
      </c>
      <c r="Q28" s="11" t="n"/>
    </row>
    <row r="29">
      <c r="A29" s="2" t="n">
        <v>4311422527</v>
      </c>
      <c r="B29" s="8">
        <f t="array" ref="B29:E29">_xlfn.XLOOKUP(A29,'Site Register'!A:A,'Site Register'!B:E)</f>
        <v/>
      </c>
      <c r="C29" s="8" t="inlineStr">
        <is>
          <t>Australia</t>
        </is>
      </c>
      <c r="D29" s="8" t="inlineStr">
        <is>
          <t>NSW</t>
        </is>
      </c>
      <c r="E29" s="8" t="inlineStr">
        <is>
          <t>AU Small Energy</t>
        </is>
      </c>
      <c r="F29" s="8" t="inlineStr">
        <is>
          <t>kWh</t>
        </is>
      </c>
      <c r="G29" s="95" t="n">
        <v>33060</v>
      </c>
      <c r="H29" s="96" t="n">
        <v>46204</v>
      </c>
      <c r="I29" s="96" t="n">
        <v>46934</v>
      </c>
      <c r="J29" s="8" t="inlineStr">
        <is>
          <t>AUD</t>
        </is>
      </c>
      <c r="K29" s="97">
        <f>'Rate Inputs'!E47</f>
        <v/>
      </c>
      <c r="L29" s="97">
        <f>'Rate Inputs'!F47</f>
        <v/>
      </c>
      <c r="M29" s="98">
        <f>IF(OR($P29="Ready",$P29="FY26 provisional",$P29="FY26 secured"),IF($H29&lt;=DATE(2025,7,1),ROUNDUP($K29,-2),IF('Rate Inputs'!$J47="","",ROUNDUP(IF($H29&gt;DATE(2026,6,30),'Rate Inputs'!$J47,'Rate Inputs'!$J47*($H29-DATE(2025,7,1))/365+$K29*(DATE(2026,6,30)-$H29+1)/365),-2))),"")</f>
        <v/>
      </c>
      <c r="N29" s="98">
        <f>IF($P29="Ready",ROUNDUP(IFERROR($K29,0),-2),IF(OR($P29="FY26 provisional",$P29="FY26 secured"),"",0))</f>
        <v/>
      </c>
      <c r="O29" s="98">
        <f>IF($P29="Ready",IF('Rate Inputs'!$F47="","",ROUNDUP(IFERROR($L29,0),-2)),IF(OR($P29="FY26 provisional",$P29="FY26 secured"),"",0))</f>
        <v/>
      </c>
      <c r="P29" s="8" t="inlineStr">
        <is>
          <t>Ready</t>
        </is>
      </c>
      <c r="Q29" s="11" t="n"/>
    </row>
    <row r="30">
      <c r="A30" s="2" t="n">
        <v>4407159044</v>
      </c>
      <c r="B30" s="8">
        <f t="array" ref="B30:E30">_xlfn.XLOOKUP(A30,'Site Register'!A:A,'Site Register'!B:E)</f>
        <v/>
      </c>
      <c r="C30" s="8" t="inlineStr">
        <is>
          <t>Australia</t>
        </is>
      </c>
      <c r="D30" s="8" t="inlineStr">
        <is>
          <t>NSW</t>
        </is>
      </c>
      <c r="E30" s="8" t="inlineStr">
        <is>
          <t>AU Small Energy</t>
        </is>
      </c>
      <c r="F30" s="8" t="inlineStr">
        <is>
          <t>kWh</t>
        </is>
      </c>
      <c r="G30" s="95" t="n">
        <v>33872</v>
      </c>
      <c r="H30" s="96" t="n">
        <v>46204</v>
      </c>
      <c r="I30" s="96" t="n">
        <v>46934</v>
      </c>
      <c r="J30" s="8" t="inlineStr">
        <is>
          <t>AUD</t>
        </is>
      </c>
      <c r="K30" s="97">
        <f>'Rate Inputs'!E48</f>
        <v/>
      </c>
      <c r="L30" s="97">
        <f>'Rate Inputs'!F48</f>
        <v/>
      </c>
      <c r="M30" s="98">
        <f>IF(OR($P30="Ready",$P30="FY26 provisional",$P30="FY26 secured"),IF($H30&lt;=DATE(2025,7,1),ROUNDUP($K30,-2),IF('Rate Inputs'!$J48="","",ROUNDUP(IF($H30&gt;DATE(2026,6,30),'Rate Inputs'!$J48,'Rate Inputs'!$J48*($H30-DATE(2025,7,1))/365+$K30*(DATE(2026,6,30)-$H30+1)/365),-2))),"")</f>
        <v/>
      </c>
      <c r="N30" s="98">
        <f>IF($P30="Ready",ROUNDUP(IFERROR($K30,0),-2),IF(OR($P30="FY26 provisional",$P30="FY26 secured"),"",0))</f>
        <v/>
      </c>
      <c r="O30" s="98">
        <f>IF($P30="Ready",IF('Rate Inputs'!$F48="","",ROUNDUP(IFERROR($L30,0),-2)),IF(OR($P30="FY26 provisional",$P30="FY26 secured"),"",0))</f>
        <v/>
      </c>
      <c r="P30" s="8" t="inlineStr">
        <is>
          <t>Ready</t>
        </is>
      </c>
      <c r="Q30" s="11" t="n"/>
    </row>
    <row r="31">
      <c r="A31" s="2" t="n">
        <v>3038502933</v>
      </c>
      <c r="B31" s="8">
        <f t="array" ref="B31:E31">_xlfn.XLOOKUP(A31,'Site Register'!A:A,'Site Register'!B:E)</f>
        <v/>
      </c>
      <c r="C31" s="8" t="inlineStr">
        <is>
          <t>Australia</t>
        </is>
      </c>
      <c r="D31" s="8" t="inlineStr">
        <is>
          <t>QLD</t>
        </is>
      </c>
      <c r="E31" s="8" t="inlineStr">
        <is>
          <t>AU Small Energy</t>
        </is>
      </c>
      <c r="F31" s="8" t="inlineStr">
        <is>
          <t>kWh</t>
        </is>
      </c>
      <c r="G31" s="95" t="n">
        <v>38380</v>
      </c>
      <c r="H31" s="96" t="n">
        <v>46204</v>
      </c>
      <c r="I31" s="96" t="n">
        <v>46934</v>
      </c>
      <c r="J31" s="8" t="inlineStr">
        <is>
          <t>AUD</t>
        </is>
      </c>
      <c r="K31" s="97">
        <f>'Rate Inputs'!E55</f>
        <v/>
      </c>
      <c r="L31" s="97">
        <f>'Rate Inputs'!F55</f>
        <v/>
      </c>
      <c r="M31" s="98">
        <f>IF(OR($P31="Ready",$P31="FY26 provisional",$P31="FY26 secured"),IF($H31&lt;=DATE(2025,7,1),ROUNDUP($K31,-2),IF('Rate Inputs'!$J55="","",ROUNDUP(IF($H31&gt;DATE(2026,6,30),'Rate Inputs'!$J55,'Rate Inputs'!$J55*($H31-DATE(2025,7,1))/365+$K31*(DATE(2026,6,30)-$H31+1)/365),-2))),"")</f>
        <v/>
      </c>
      <c r="N31" s="98">
        <f>IF($P31="Ready",ROUNDUP(IFERROR($K31,0),-2),IF(OR($P31="FY26 provisional",$P31="FY26 secured"),"",0))</f>
        <v/>
      </c>
      <c r="O31" s="98">
        <f>IF($P31="Ready",IF('Rate Inputs'!$F55="","",ROUNDUP(IFERROR($L31,0),-2)),IF(OR($P31="FY26 provisional",$P31="FY26 secured"),"",0))</f>
        <v/>
      </c>
      <c r="P31" s="8" t="inlineStr">
        <is>
          <t>Ready</t>
        </is>
      </c>
      <c r="Q31" s="11" t="n"/>
    </row>
    <row r="32">
      <c r="A32" s="2" t="n">
        <v>3039040879</v>
      </c>
      <c r="B32" s="8">
        <f t="array" ref="B32:E32">_xlfn.XLOOKUP(A32,'Site Register'!A:A,'Site Register'!B:E)</f>
        <v/>
      </c>
      <c r="C32" s="8" t="inlineStr">
        <is>
          <t>Australia</t>
        </is>
      </c>
      <c r="D32" s="8" t="inlineStr">
        <is>
          <t>QLD</t>
        </is>
      </c>
      <c r="E32" s="8" t="inlineStr">
        <is>
          <t>AU Small Energy</t>
        </is>
      </c>
      <c r="F32" s="8" t="inlineStr">
        <is>
          <t>kWh</t>
        </is>
      </c>
      <c r="G32" s="95" t="n">
        <v>70195</v>
      </c>
      <c r="H32" s="96" t="n">
        <v>46204</v>
      </c>
      <c r="I32" s="96" t="n">
        <v>46934</v>
      </c>
      <c r="J32" s="8" t="inlineStr">
        <is>
          <t>AUD</t>
        </is>
      </c>
      <c r="K32" s="97">
        <f>'Rate Inputs'!E56</f>
        <v/>
      </c>
      <c r="L32" s="97">
        <f>'Rate Inputs'!F56</f>
        <v/>
      </c>
      <c r="M32" s="98">
        <f>IF(OR($P32="Ready",$P32="FY26 provisional",$P32="FY26 secured"),IF($H32&lt;=DATE(2025,7,1),ROUNDUP($K32,-2),IF('Rate Inputs'!$J56="","",ROUNDUP(IF($H32&gt;DATE(2026,6,30),'Rate Inputs'!$J56,'Rate Inputs'!$J56*($H32-DATE(2025,7,1))/365+$K32*(DATE(2026,6,30)-$H32+1)/365),-2))),"")</f>
        <v/>
      </c>
      <c r="N32" s="98">
        <f>IF($P32="Ready",ROUNDUP(IFERROR($K32,0),-2),IF(OR($P32="FY26 provisional",$P32="FY26 secured"),"",0))</f>
        <v/>
      </c>
      <c r="O32" s="98">
        <f>IF($P32="Ready",IF('Rate Inputs'!$F56="","",ROUNDUP(IFERROR($L32,0),-2)),IF(OR($P32="FY26 provisional",$P32="FY26 secured"),"",0))</f>
        <v/>
      </c>
      <c r="P32" s="8" t="inlineStr">
        <is>
          <t>Ready</t>
        </is>
      </c>
      <c r="Q32" s="11" t="n"/>
    </row>
    <row r="33">
      <c r="A33" s="2" t="n">
        <v>3041781236</v>
      </c>
      <c r="B33" s="8">
        <f t="array" ref="B33:E33">_xlfn.XLOOKUP(A33,'Site Register'!A:A,'Site Register'!B:E)</f>
        <v/>
      </c>
      <c r="C33" s="8" t="inlineStr">
        <is>
          <t>Australia</t>
        </is>
      </c>
      <c r="D33" s="8" t="inlineStr">
        <is>
          <t>QLD</t>
        </is>
      </c>
      <c r="E33" s="8" t="inlineStr">
        <is>
          <t>AU Small Energy</t>
        </is>
      </c>
      <c r="F33" s="8" t="inlineStr">
        <is>
          <t>kWh</t>
        </is>
      </c>
      <c r="G33" s="95" t="n">
        <v>53331</v>
      </c>
      <c r="H33" s="96" t="n">
        <v>46204</v>
      </c>
      <c r="I33" s="96" t="n">
        <v>46934</v>
      </c>
      <c r="J33" s="8" t="inlineStr">
        <is>
          <t>AUD</t>
        </is>
      </c>
      <c r="K33" s="97">
        <f>'Rate Inputs'!E57</f>
        <v/>
      </c>
      <c r="L33" s="97">
        <f>'Rate Inputs'!F57</f>
        <v/>
      </c>
      <c r="M33" s="98">
        <f>IF(OR($P33="Ready",$P33="FY26 provisional",$P33="FY26 secured"),IF($H33&lt;=DATE(2025,7,1),ROUNDUP($K33,-2),IF('Rate Inputs'!$J57="","",ROUNDUP(IF($H33&gt;DATE(2026,6,30),'Rate Inputs'!$J57,'Rate Inputs'!$J57*($H33-DATE(2025,7,1))/365+$K33*(DATE(2026,6,30)-$H33+1)/365),-2))),"")</f>
        <v/>
      </c>
      <c r="N33" s="98">
        <f>IF($P33="Ready",ROUNDUP(IFERROR($K33,0),-2),IF(OR($P33="FY26 provisional",$P33="FY26 secured"),"",0))</f>
        <v/>
      </c>
      <c r="O33" s="98">
        <f>IF($P33="Ready",IF('Rate Inputs'!$F57="","",ROUNDUP(IFERROR($L33,0),-2)),IF(OR($P33="FY26 provisional",$P33="FY26 secured"),"",0))</f>
        <v/>
      </c>
      <c r="P33" s="8" t="inlineStr">
        <is>
          <t>Ready</t>
        </is>
      </c>
      <c r="Q33" s="11" t="n"/>
    </row>
    <row r="34">
      <c r="A34" s="2" t="inlineStr">
        <is>
          <t>QB07736452</t>
        </is>
      </c>
      <c r="B34" s="8">
        <f t="array" ref="B34:E34">_xlfn.XLOOKUP(A34,'Site Register'!A:A,'Site Register'!B:E)</f>
        <v/>
      </c>
      <c r="C34" s="8" t="inlineStr">
        <is>
          <t>Australia</t>
        </is>
      </c>
      <c r="D34" s="8" t="inlineStr">
        <is>
          <t>QLD</t>
        </is>
      </c>
      <c r="E34" s="8" t="inlineStr">
        <is>
          <t>AU Small Energy</t>
        </is>
      </c>
      <c r="F34" s="8" t="inlineStr">
        <is>
          <t>kWh</t>
        </is>
      </c>
      <c r="G34" s="95" t="n">
        <v>24596</v>
      </c>
      <c r="H34" s="96" t="n">
        <v>46204</v>
      </c>
      <c r="I34" s="96" t="n">
        <v>46934</v>
      </c>
      <c r="J34" s="8" t="inlineStr">
        <is>
          <t>AUD</t>
        </is>
      </c>
      <c r="K34" s="97">
        <f>'Rate Inputs'!E72</f>
        <v/>
      </c>
      <c r="L34" s="97">
        <f>'Rate Inputs'!F72</f>
        <v/>
      </c>
      <c r="M34" s="98">
        <f>IF(OR($P34="Ready",$P34="FY26 provisional",$P34="FY26 secured"),IF($H34&lt;=DATE(2025,7,1),ROUNDUP($K34,-2),IF('Rate Inputs'!$J72="","",ROUNDUP(IF($H34&gt;DATE(2026,6,30),'Rate Inputs'!$J72,'Rate Inputs'!$J72*($H34-DATE(2025,7,1))/365+$K34*(DATE(2026,6,30)-$H34+1)/365),-2))),"")</f>
        <v/>
      </c>
      <c r="N34" s="98">
        <f>IF($P34="Ready",ROUNDUP(IFERROR($K34,0),-2),IF(OR($P34="FY26 provisional",$P34="FY26 secured"),"",0))</f>
        <v/>
      </c>
      <c r="O34" s="98">
        <f>IF($P34="Ready",IF('Rate Inputs'!$F72="","",ROUNDUP(IFERROR($L34,0),-2)),IF(OR($P34="FY26 provisional",$P34="FY26 secured"),"",0))</f>
        <v/>
      </c>
      <c r="P34" s="8" t="inlineStr">
        <is>
          <t>Ready</t>
        </is>
      </c>
      <c r="Q34" s="11" t="n"/>
    </row>
    <row r="35">
      <c r="A35" s="2" t="inlineStr">
        <is>
          <t>QB13869604</t>
        </is>
      </c>
      <c r="B35" s="8">
        <f t="array" ref="B35:E35">_xlfn.XLOOKUP(A35,'Site Register'!A:A,'Site Register'!B:E)</f>
        <v/>
      </c>
      <c r="C35" s="8" t="inlineStr">
        <is>
          <t>Australia</t>
        </is>
      </c>
      <c r="D35" s="8" t="inlineStr">
        <is>
          <t>QLD</t>
        </is>
      </c>
      <c r="E35" s="8" t="inlineStr">
        <is>
          <t>AU Small Energy</t>
        </is>
      </c>
      <c r="F35" s="8" t="inlineStr">
        <is>
          <t>kWh</t>
        </is>
      </c>
      <c r="G35" s="95" t="n">
        <v>16289</v>
      </c>
      <c r="H35" s="96" t="n">
        <v>46204</v>
      </c>
      <c r="I35" s="96" t="n">
        <v>46934</v>
      </c>
      <c r="J35" s="8" t="inlineStr">
        <is>
          <t>AUD</t>
        </is>
      </c>
      <c r="K35" s="97">
        <f>'Rate Inputs'!E73</f>
        <v/>
      </c>
      <c r="L35" s="97">
        <f>'Rate Inputs'!F73</f>
        <v/>
      </c>
      <c r="M35" s="98">
        <f>IF(OR($P35="Ready",$P35="FY26 provisional",$P35="FY26 secured"),IF($H35&lt;=DATE(2025,7,1),ROUNDUP($K35,-2),IF('Rate Inputs'!$J73="","",ROUNDUP(IF($H35&gt;DATE(2026,6,30),'Rate Inputs'!$J73,'Rate Inputs'!$J73*($H35-DATE(2025,7,1))/365+$K35*(DATE(2026,6,30)-$H35+1)/365),-2))),"")</f>
        <v/>
      </c>
      <c r="N35" s="98">
        <f>IF($P35="Ready",ROUNDUP(IFERROR($K35,0),-2),IF(OR($P35="FY26 provisional",$P35="FY26 secured"),"",0))</f>
        <v/>
      </c>
      <c r="O35" s="98">
        <f>IF($P35="Ready",IF('Rate Inputs'!$F73="","",ROUNDUP(IFERROR($L35,0),-2)),IF(OR($P35="FY26 provisional",$P35="FY26 secured"),"",0))</f>
        <v/>
      </c>
      <c r="P35" s="8" t="inlineStr">
        <is>
          <t>Ready</t>
        </is>
      </c>
      <c r="Q35" s="11" t="n"/>
    </row>
    <row r="36">
      <c r="A36" s="2" t="n">
        <v>2001130961</v>
      </c>
      <c r="B36" s="8">
        <f t="array" ref="B36:E36">_xlfn.XLOOKUP(A36,'Site Register'!A:A,'Site Register'!B:E)</f>
        <v/>
      </c>
      <c r="C36" s="8" t="inlineStr">
        <is>
          <t>Australia</t>
        </is>
      </c>
      <c r="D36" s="8" t="inlineStr">
        <is>
          <t>SA</t>
        </is>
      </c>
      <c r="E36" s="8" t="inlineStr">
        <is>
          <t>AU Small Energy</t>
        </is>
      </c>
      <c r="F36" s="8" t="inlineStr">
        <is>
          <t>kWh</t>
        </is>
      </c>
      <c r="G36" s="95" t="n">
        <v>22458</v>
      </c>
      <c r="H36" s="96" t="n">
        <v>46204</v>
      </c>
      <c r="I36" s="96" t="n">
        <v>46934</v>
      </c>
      <c r="J36" s="8" t="inlineStr">
        <is>
          <t>AUD</t>
        </is>
      </c>
      <c r="K36" s="97">
        <f>'Rate Inputs'!E76</f>
        <v/>
      </c>
      <c r="L36" s="97">
        <f>'Rate Inputs'!F76</f>
        <v/>
      </c>
      <c r="M36" s="98">
        <f>IF(OR($P36="Ready",$P36="FY26 provisional",$P36="FY26 secured"),IF($H36&lt;=DATE(2025,7,1),ROUNDUP($K36,-2),IF('Rate Inputs'!$J76="","",ROUNDUP(IF($H36&gt;DATE(2026,6,30),'Rate Inputs'!$J76,'Rate Inputs'!$J76*($H36-DATE(2025,7,1))/365+$K36*(DATE(2026,6,30)-$H36+1)/365),-2))),"")</f>
        <v/>
      </c>
      <c r="N36" s="98">
        <f>IF($P36="Ready",ROUNDUP(IFERROR($K36,0),-2),IF(OR($P36="FY26 provisional",$P36="FY26 secured"),"",0))</f>
        <v/>
      </c>
      <c r="O36" s="98">
        <f>IF($P36="Ready",IF('Rate Inputs'!$F76="","",ROUNDUP(IFERROR($L36,0),-2)),IF(OR($P36="FY26 provisional",$P36="FY26 secured"),"",0))</f>
        <v/>
      </c>
      <c r="P36" s="8" t="inlineStr">
        <is>
          <t>Ready</t>
        </is>
      </c>
      <c r="Q36" s="11" t="n"/>
    </row>
    <row r="37">
      <c r="A37" s="2" t="n">
        <v>2001160686</v>
      </c>
      <c r="B37" s="8">
        <f t="array" ref="B37:E37">_xlfn.XLOOKUP(A37,'Site Register'!A:A,'Site Register'!B:E)</f>
        <v/>
      </c>
      <c r="C37" s="8" t="inlineStr">
        <is>
          <t>Australia</t>
        </is>
      </c>
      <c r="D37" s="8" t="inlineStr">
        <is>
          <t>SA</t>
        </is>
      </c>
      <c r="E37" s="8" t="inlineStr">
        <is>
          <t>AU Small Energy</t>
        </is>
      </c>
      <c r="F37" s="8" t="inlineStr">
        <is>
          <t>kWh</t>
        </is>
      </c>
      <c r="G37" s="95" t="n">
        <v>36782</v>
      </c>
      <c r="H37" s="96" t="n">
        <v>46204</v>
      </c>
      <c r="I37" s="96" t="n">
        <v>46934</v>
      </c>
      <c r="J37" s="8" t="inlineStr">
        <is>
          <t>AUD</t>
        </is>
      </c>
      <c r="K37" s="97">
        <f>'Rate Inputs'!E77</f>
        <v/>
      </c>
      <c r="L37" s="97">
        <f>'Rate Inputs'!F77</f>
        <v/>
      </c>
      <c r="M37" s="98">
        <f>IF(OR($P37="Ready",$P37="FY26 provisional",$P37="FY26 secured"),IF($H37&lt;=DATE(2025,7,1),ROUNDUP($K37,-2),IF('Rate Inputs'!$J77="","",ROUNDUP(IF($H37&gt;DATE(2026,6,30),'Rate Inputs'!$J77,'Rate Inputs'!$J77*($H37-DATE(2025,7,1))/365+$K37*(DATE(2026,6,30)-$H37+1)/365),-2))),"")</f>
        <v/>
      </c>
      <c r="N37" s="98">
        <f>IF($P37="Ready",ROUNDUP(IFERROR($K37,0),-2),IF(OR($P37="FY26 provisional",$P37="FY26 secured"),"",0))</f>
        <v/>
      </c>
      <c r="O37" s="98">
        <f>IF($P37="Ready",IF('Rate Inputs'!$F77="","",ROUNDUP(IFERROR($L37,0),-2)),IF(OR($P37="FY26 provisional",$P37="FY26 secured"),"",0))</f>
        <v/>
      </c>
      <c r="P37" s="8" t="inlineStr">
        <is>
          <t>Ready</t>
        </is>
      </c>
      <c r="Q37" s="11" t="n"/>
    </row>
    <row r="38">
      <c r="A38" s="2" t="n">
        <v>2001223248</v>
      </c>
      <c r="B38" s="8">
        <f t="array" ref="B38:E38">_xlfn.XLOOKUP(A38,'Site Register'!A:A,'Site Register'!B:E)</f>
        <v/>
      </c>
      <c r="C38" s="8" t="inlineStr">
        <is>
          <t>Australia</t>
        </is>
      </c>
      <c r="D38" s="8" t="inlineStr">
        <is>
          <t>SA</t>
        </is>
      </c>
      <c r="E38" s="8" t="inlineStr">
        <is>
          <t>AU Small Energy</t>
        </is>
      </c>
      <c r="F38" s="8" t="inlineStr">
        <is>
          <t>kWh</t>
        </is>
      </c>
      <c r="G38" s="95" t="n">
        <v>5840</v>
      </c>
      <c r="H38" s="96" t="n">
        <v>46204</v>
      </c>
      <c r="I38" s="96" t="n">
        <v>46934</v>
      </c>
      <c r="J38" s="8" t="inlineStr">
        <is>
          <t>AUD</t>
        </is>
      </c>
      <c r="K38" s="97">
        <f>'Rate Inputs'!E79</f>
        <v/>
      </c>
      <c r="L38" s="97">
        <f>'Rate Inputs'!F79</f>
        <v/>
      </c>
      <c r="M38" s="98">
        <f>IF(OR($P38="Ready",$P38="FY26 provisional",$P38="FY26 secured"),IF($H38&lt;=DATE(2025,7,1),ROUNDUP($K38,-2),IF('Rate Inputs'!$J79="","",ROUNDUP(IF($H38&gt;DATE(2026,6,30),'Rate Inputs'!$J79,'Rate Inputs'!$J79*($H38-DATE(2025,7,1))/365+$K38*(DATE(2026,6,30)-$H38+1)/365),-2))),"")</f>
        <v/>
      </c>
      <c r="N38" s="98">
        <f>IF($P38="Ready",ROUNDUP(IFERROR($K38,0),-2),IF(OR($P38="FY26 provisional",$P38="FY26 secured"),"",0))</f>
        <v/>
      </c>
      <c r="O38" s="98">
        <f>IF($P38="Ready",IF('Rate Inputs'!$F79="","",ROUNDUP(IFERROR($L38,0),-2)),IF(OR($P38="FY26 provisional",$P38="FY26 secured"),"",0))</f>
        <v/>
      </c>
      <c r="P38" s="8" t="inlineStr">
        <is>
          <t>Ready</t>
        </is>
      </c>
      <c r="Q38" s="11" t="n"/>
    </row>
    <row r="39">
      <c r="A39" s="2" t="n">
        <v>2001341166</v>
      </c>
      <c r="B39" s="8">
        <f t="array" ref="B39:E39">_xlfn.XLOOKUP(A39,'Site Register'!A:A,'Site Register'!B:E)</f>
        <v/>
      </c>
      <c r="C39" s="8" t="inlineStr">
        <is>
          <t>Australia</t>
        </is>
      </c>
      <c r="D39" s="8" t="inlineStr">
        <is>
          <t>SA</t>
        </is>
      </c>
      <c r="E39" s="8" t="inlineStr">
        <is>
          <t>AU Small Energy</t>
        </is>
      </c>
      <c r="F39" s="8" t="inlineStr">
        <is>
          <t>kWh</t>
        </is>
      </c>
      <c r="G39" s="95" t="n">
        <v>3902</v>
      </c>
      <c r="H39" s="96" t="n">
        <v>46204</v>
      </c>
      <c r="I39" s="96" t="n">
        <v>46934</v>
      </c>
      <c r="J39" s="8" t="inlineStr">
        <is>
          <t>AUD</t>
        </is>
      </c>
      <c r="K39" s="97">
        <f>'Rate Inputs'!E80</f>
        <v/>
      </c>
      <c r="L39" s="97">
        <f>'Rate Inputs'!F80</f>
        <v/>
      </c>
      <c r="M39" s="98">
        <f>IF(OR($P39="Ready",$P39="FY26 provisional",$P39="FY26 secured"),IF($H39&lt;=DATE(2025,7,1),ROUNDUP($K39,-2),IF('Rate Inputs'!$J80="","",ROUNDUP(IF($H39&gt;DATE(2026,6,30),'Rate Inputs'!$J80,'Rate Inputs'!$J80*($H39-DATE(2025,7,1))/365+$K39*(DATE(2026,6,30)-$H39+1)/365),-2))),"")</f>
        <v/>
      </c>
      <c r="N39" s="98">
        <f>IF($P39="Ready",ROUNDUP(IFERROR($K39,0),-2),IF(OR($P39="FY26 provisional",$P39="FY26 secured"),"",0))</f>
        <v/>
      </c>
      <c r="O39" s="98">
        <f>IF($P39="Ready",IF('Rate Inputs'!$F80="","",ROUNDUP(IFERROR($L39,0),-2)),IF(OR($P39="FY26 provisional",$P39="FY26 secured"),"",0))</f>
        <v/>
      </c>
      <c r="P39" s="8" t="inlineStr">
        <is>
          <t>Ready</t>
        </is>
      </c>
      <c r="Q39" s="11" t="n"/>
    </row>
    <row r="40">
      <c r="A40" s="2" t="n">
        <v>2001341167</v>
      </c>
      <c r="B40" s="8">
        <f t="array" ref="B40:E40">_xlfn.XLOOKUP(A40,'Site Register'!A:A,'Site Register'!B:E)</f>
        <v/>
      </c>
      <c r="C40" s="8" t="inlineStr">
        <is>
          <t>Australia</t>
        </is>
      </c>
      <c r="D40" s="8" t="inlineStr">
        <is>
          <t>SA</t>
        </is>
      </c>
      <c r="E40" s="8" t="inlineStr">
        <is>
          <t>AU Small Energy</t>
        </is>
      </c>
      <c r="F40" s="8" t="inlineStr">
        <is>
          <t>kWh</t>
        </is>
      </c>
      <c r="G40" s="95" t="n">
        <v>21166</v>
      </c>
      <c r="H40" s="96" t="n">
        <v>46204</v>
      </c>
      <c r="I40" s="96" t="n">
        <v>46934</v>
      </c>
      <c r="J40" s="8" t="inlineStr">
        <is>
          <t>AUD</t>
        </is>
      </c>
      <c r="K40" s="97">
        <f>'Rate Inputs'!E81</f>
        <v/>
      </c>
      <c r="L40" s="97">
        <f>'Rate Inputs'!F81</f>
        <v/>
      </c>
      <c r="M40" s="98">
        <f>IF(OR($P40="Ready",$P40="FY26 provisional",$P40="FY26 secured"),IF($H40&lt;=DATE(2025,7,1),ROUNDUP($K40,-2),IF('Rate Inputs'!$J81="","",ROUNDUP(IF($H40&gt;DATE(2026,6,30),'Rate Inputs'!$J81,'Rate Inputs'!$J81*($H40-DATE(2025,7,1))/365+$K40*(DATE(2026,6,30)-$H40+1)/365),-2))),"")</f>
        <v/>
      </c>
      <c r="N40" s="98">
        <f>IF($P40="Ready",ROUNDUP(IFERROR($K40,0),-2),IF(OR($P40="FY26 provisional",$P40="FY26 secured"),"",0))</f>
        <v/>
      </c>
      <c r="O40" s="98">
        <f>IF($P40="Ready",IF('Rate Inputs'!$F81="","",ROUNDUP(IFERROR($L40,0),-2)),IF(OR($P40="FY26 provisional",$P40="FY26 secured"),"",0))</f>
        <v/>
      </c>
      <c r="P40" s="8" t="inlineStr">
        <is>
          <t>Ready</t>
        </is>
      </c>
      <c r="Q40" s="11" t="n"/>
    </row>
    <row r="41">
      <c r="A41" s="2" t="n">
        <v>2001515449</v>
      </c>
      <c r="B41" s="8">
        <f t="array" ref="B41:E41">_xlfn.XLOOKUP(A41,'Site Register'!A:A,'Site Register'!B:E)</f>
        <v/>
      </c>
      <c r="C41" s="8" t="inlineStr">
        <is>
          <t>Australia</t>
        </is>
      </c>
      <c r="D41" s="8" t="inlineStr">
        <is>
          <t>SA</t>
        </is>
      </c>
      <c r="E41" s="8" t="inlineStr">
        <is>
          <t>AU Small Energy</t>
        </is>
      </c>
      <c r="F41" s="8" t="inlineStr">
        <is>
          <t>kWh</t>
        </is>
      </c>
      <c r="G41" s="95" t="n">
        <v>10660</v>
      </c>
      <c r="H41" s="96" t="n">
        <v>46204</v>
      </c>
      <c r="I41" s="96" t="n">
        <v>46934</v>
      </c>
      <c r="J41" s="8" t="inlineStr">
        <is>
          <t>AUD</t>
        </is>
      </c>
      <c r="K41" s="97">
        <f>'Rate Inputs'!E82</f>
        <v/>
      </c>
      <c r="L41" s="97">
        <f>'Rate Inputs'!F82</f>
        <v/>
      </c>
      <c r="M41" s="98">
        <f>IF(OR($P41="Ready",$P41="FY26 provisional",$P41="FY26 secured"),IF($H41&lt;=DATE(2025,7,1),ROUNDUP($K41,-2),IF('Rate Inputs'!$J82="","",ROUNDUP(IF($H41&gt;DATE(2026,6,30),'Rate Inputs'!$J82,'Rate Inputs'!$J82*($H41-DATE(2025,7,1))/365+$K41*(DATE(2026,6,30)-$H41+1)/365),-2))),"")</f>
        <v/>
      </c>
      <c r="N41" s="98">
        <f>IF($P41="Ready",ROUNDUP(IFERROR($K41,0),-2),IF(OR($P41="FY26 provisional",$P41="FY26 secured"),"",0))</f>
        <v/>
      </c>
      <c r="O41" s="98">
        <f>IF($P41="Ready",IF('Rate Inputs'!$F82="","",ROUNDUP(IFERROR($L41,0),-2)),IF(OR($P41="FY26 provisional",$P41="FY26 secured"),"",0))</f>
        <v/>
      </c>
      <c r="P41" s="8" t="inlineStr">
        <is>
          <t>Ready</t>
        </is>
      </c>
      <c r="Q41" s="11" t="n"/>
    </row>
    <row r="42">
      <c r="A42" s="2" t="n">
        <v>2001600008</v>
      </c>
      <c r="B42" s="8">
        <f t="array" ref="B42:E42">_xlfn.XLOOKUP(A42,'Site Register'!A:A,'Site Register'!B:E)</f>
        <v/>
      </c>
      <c r="C42" s="8" t="inlineStr">
        <is>
          <t>Australia</t>
        </is>
      </c>
      <c r="D42" s="8" t="inlineStr">
        <is>
          <t>SA</t>
        </is>
      </c>
      <c r="E42" s="8" t="inlineStr">
        <is>
          <t>AU Small Energy</t>
        </is>
      </c>
      <c r="F42" s="8" t="inlineStr">
        <is>
          <t>kWh</t>
        </is>
      </c>
      <c r="G42" s="95" t="n">
        <v>3495</v>
      </c>
      <c r="H42" s="96" t="n">
        <v>46204</v>
      </c>
      <c r="I42" s="96" t="n">
        <v>46934</v>
      </c>
      <c r="J42" s="8" t="inlineStr">
        <is>
          <t>AUD</t>
        </is>
      </c>
      <c r="K42" s="97">
        <f>'Rate Inputs'!E83</f>
        <v/>
      </c>
      <c r="L42" s="97">
        <f>'Rate Inputs'!F83</f>
        <v/>
      </c>
      <c r="M42" s="98">
        <f>IF(OR($P42="Ready",$P42="FY26 provisional",$P42="FY26 secured"),IF($H42&lt;=DATE(2025,7,1),ROUNDUP($K42,-2),IF('Rate Inputs'!$J83="","",ROUNDUP(IF($H42&gt;DATE(2026,6,30),'Rate Inputs'!$J83,'Rate Inputs'!$J83*($H42-DATE(2025,7,1))/365+$K42*(DATE(2026,6,30)-$H42+1)/365),-2))),"")</f>
        <v/>
      </c>
      <c r="N42" s="98">
        <f>IF($P42="Ready",ROUNDUP(IFERROR($K42,0),-2),IF(OR($P42="FY26 provisional",$P42="FY26 secured"),"",0))</f>
        <v/>
      </c>
      <c r="O42" s="98">
        <f>IF($P42="Ready",IF('Rate Inputs'!$F83="","",ROUNDUP(IFERROR($L42,0),-2)),IF(OR($P42="FY26 provisional",$P42="FY26 secured"),"",0))</f>
        <v/>
      </c>
      <c r="P42" s="8" t="inlineStr">
        <is>
          <t>Ready</t>
        </is>
      </c>
      <c r="Q42" s="11" t="n"/>
    </row>
    <row r="43">
      <c r="A43" s="2" t="n">
        <v>2001676115</v>
      </c>
      <c r="B43" s="8">
        <f t="array" ref="B43:E43">_xlfn.XLOOKUP(A43,'Site Register'!A:A,'Site Register'!B:E)</f>
        <v/>
      </c>
      <c r="C43" s="8" t="inlineStr">
        <is>
          <t>Australia</t>
        </is>
      </c>
      <c r="D43" s="8" t="inlineStr">
        <is>
          <t>SA</t>
        </is>
      </c>
      <c r="E43" s="8" t="inlineStr">
        <is>
          <t>AU Small Energy</t>
        </is>
      </c>
      <c r="F43" s="8" t="inlineStr">
        <is>
          <t>kWh</t>
        </is>
      </c>
      <c r="G43" s="95" t="n">
        <v>28791</v>
      </c>
      <c r="H43" s="96" t="n">
        <v>46204</v>
      </c>
      <c r="I43" s="96" t="n">
        <v>46934</v>
      </c>
      <c r="J43" s="8" t="inlineStr">
        <is>
          <t>AUD</t>
        </is>
      </c>
      <c r="K43" s="97">
        <f>'Rate Inputs'!E84</f>
        <v/>
      </c>
      <c r="L43" s="97">
        <f>'Rate Inputs'!F84</f>
        <v/>
      </c>
      <c r="M43" s="98">
        <f>IF(OR($P43="Ready",$P43="FY26 provisional",$P43="FY26 secured"),IF($H43&lt;=DATE(2025,7,1),ROUNDUP($K43,-2),IF('Rate Inputs'!$J84="","",ROUNDUP(IF($H43&gt;DATE(2026,6,30),'Rate Inputs'!$J84,'Rate Inputs'!$J84*($H43-DATE(2025,7,1))/365+$K43*(DATE(2026,6,30)-$H43+1)/365),-2))),"")</f>
        <v/>
      </c>
      <c r="N43" s="98">
        <f>IF($P43="Ready",ROUNDUP(IFERROR($K43,0),-2),IF(OR($P43="FY26 provisional",$P43="FY26 secured"),"",0))</f>
        <v/>
      </c>
      <c r="O43" s="98">
        <f>IF($P43="Ready",IF('Rate Inputs'!$F84="","",ROUNDUP(IFERROR($L43,0),-2)),IF(OR($P43="FY26 provisional",$P43="FY26 secured"),"",0))</f>
        <v/>
      </c>
      <c r="P43" s="8" t="inlineStr">
        <is>
          <t>Ready</t>
        </is>
      </c>
      <c r="Q43" s="11" t="n"/>
    </row>
    <row r="44">
      <c r="A44" s="2" t="n">
        <v>2002190876</v>
      </c>
      <c r="B44" s="8">
        <f t="array" ref="B44:E44">_xlfn.XLOOKUP(A44,'Site Register'!A:A,'Site Register'!B:E)</f>
        <v/>
      </c>
      <c r="C44" s="8" t="inlineStr">
        <is>
          <t>Australia</t>
        </is>
      </c>
      <c r="D44" s="8" t="inlineStr">
        <is>
          <t>SA</t>
        </is>
      </c>
      <c r="E44" s="8" t="inlineStr">
        <is>
          <t>AU Small Energy</t>
        </is>
      </c>
      <c r="F44" s="8" t="inlineStr">
        <is>
          <t>kWh</t>
        </is>
      </c>
      <c r="G44" s="95" t="n">
        <v>29818</v>
      </c>
      <c r="H44" s="96" t="n">
        <v>46204</v>
      </c>
      <c r="I44" s="96" t="n">
        <v>46934</v>
      </c>
      <c r="J44" s="8" t="inlineStr">
        <is>
          <t>AUD</t>
        </is>
      </c>
      <c r="K44" s="97">
        <f>'Rate Inputs'!E85</f>
        <v/>
      </c>
      <c r="L44" s="97">
        <f>'Rate Inputs'!F85</f>
        <v/>
      </c>
      <c r="M44" s="98">
        <f>IF(OR($P44="Ready",$P44="FY26 provisional",$P44="FY26 secured"),IF($H44&lt;=DATE(2025,7,1),ROUNDUP($K44,-2),IF('Rate Inputs'!$J85="","",ROUNDUP(IF($H44&gt;DATE(2026,6,30),'Rate Inputs'!$J85,'Rate Inputs'!$J85*($H44-DATE(2025,7,1))/365+$K44*(DATE(2026,6,30)-$H44+1)/365),-2))),"")</f>
        <v/>
      </c>
      <c r="N44" s="98">
        <f>IF($P44="Ready",ROUNDUP(IFERROR($K44,0),-2),IF(OR($P44="FY26 provisional",$P44="FY26 secured"),"",0))</f>
        <v/>
      </c>
      <c r="O44" s="98">
        <f>IF($P44="Ready",IF('Rate Inputs'!$F85="","",ROUNDUP(IFERROR($L44,0),-2)),IF(OR($P44="FY26 provisional",$P44="FY26 secured"),"",0))</f>
        <v/>
      </c>
      <c r="P44" s="8" t="inlineStr">
        <is>
          <t>Ready</t>
        </is>
      </c>
      <c r="Q44" s="11" t="n"/>
    </row>
    <row r="45">
      <c r="A45" s="2" t="n">
        <v>2002601115</v>
      </c>
      <c r="B45" s="8">
        <f t="array" ref="B45:E45">_xlfn.XLOOKUP(A45,'Site Register'!A:A,'Site Register'!B:E)</f>
        <v/>
      </c>
      <c r="C45" s="8" t="inlineStr">
        <is>
          <t>Australia</t>
        </is>
      </c>
      <c r="D45" s="8" t="inlineStr">
        <is>
          <t>SA</t>
        </is>
      </c>
      <c r="E45" s="8" t="inlineStr">
        <is>
          <t>AU Small Energy</t>
        </is>
      </c>
      <c r="F45" s="8" t="inlineStr">
        <is>
          <t>kWh</t>
        </is>
      </c>
      <c r="G45" s="95" t="n">
        <v>4380</v>
      </c>
      <c r="H45" s="96" t="n">
        <v>46204</v>
      </c>
      <c r="I45" s="96" t="n">
        <v>46934</v>
      </c>
      <c r="J45" s="8" t="inlineStr">
        <is>
          <t>AUD</t>
        </is>
      </c>
      <c r="K45" s="97">
        <f>'Rate Inputs'!E87</f>
        <v/>
      </c>
      <c r="L45" s="97">
        <f>'Rate Inputs'!F87</f>
        <v/>
      </c>
      <c r="M45" s="98">
        <f>IF(OR($P45="Ready",$P45="FY26 provisional",$P45="FY26 secured"),IF($H45&lt;=DATE(2025,7,1),ROUNDUP($K45,-2),IF('Rate Inputs'!$J87="","",ROUNDUP(IF($H45&gt;DATE(2026,6,30),'Rate Inputs'!$J87,'Rate Inputs'!$J87*($H45-DATE(2025,7,1))/365+$K45*(DATE(2026,6,30)-$H45+1)/365),-2))),"")</f>
        <v/>
      </c>
      <c r="N45" s="98">
        <f>IF($P45="Ready",ROUNDUP(IFERROR($K45,0),-2),IF(OR($P45="FY26 provisional",$P45="FY26 secured"),"",0))</f>
        <v/>
      </c>
      <c r="O45" s="98">
        <f>IF($P45="Ready",IF('Rate Inputs'!$F87="","",ROUNDUP(IFERROR($L45,0),-2)),IF(OR($P45="FY26 provisional",$P45="FY26 secured"),"",0))</f>
        <v/>
      </c>
      <c r="P45" s="8" t="inlineStr">
        <is>
          <t>Ready</t>
        </is>
      </c>
      <c r="Q45" s="11" t="n"/>
    </row>
    <row r="46">
      <c r="A46" s="2" t="n">
        <v>6001295311</v>
      </c>
      <c r="B46" s="8">
        <f t="array" ref="B46:E46">_xlfn.XLOOKUP(A46,'Site Register'!A:A,'Site Register'!B:E)</f>
        <v/>
      </c>
      <c r="C46" s="8" t="inlineStr">
        <is>
          <t>Australia</t>
        </is>
      </c>
      <c r="D46" s="8" t="inlineStr">
        <is>
          <t>VIC</t>
        </is>
      </c>
      <c r="E46" s="8" t="inlineStr">
        <is>
          <t>AU Small Energy</t>
        </is>
      </c>
      <c r="F46" s="8" t="inlineStr">
        <is>
          <t>kWh</t>
        </is>
      </c>
      <c r="G46" s="95" t="n">
        <v>22391</v>
      </c>
      <c r="H46" s="96" t="n">
        <v>46204</v>
      </c>
      <c r="I46" s="96" t="n">
        <v>46934</v>
      </c>
      <c r="J46" s="8" t="inlineStr">
        <is>
          <t>AUD</t>
        </is>
      </c>
      <c r="K46" s="97">
        <f>'Rate Inputs'!E93</f>
        <v/>
      </c>
      <c r="L46" s="97">
        <f>'Rate Inputs'!F93</f>
        <v/>
      </c>
      <c r="M46" s="98">
        <f>IF(OR($P46="Ready",$P46="FY26 provisional",$P46="FY26 secured"),IF($H46&lt;=DATE(2025,7,1),ROUNDUP($K46,-2),IF('Rate Inputs'!$J93="","",ROUNDUP(IF($H46&gt;DATE(2026,6,30),'Rate Inputs'!$J93,'Rate Inputs'!$J93*($H46-DATE(2025,7,1))/365+$K46*(DATE(2026,6,30)-$H46+1)/365),-2))),"")</f>
        <v/>
      </c>
      <c r="N46" s="98">
        <f>IF($P46="Ready",ROUNDUP(IFERROR($K46,0),-2),IF(OR($P46="FY26 provisional",$P46="FY26 secured"),"",0))</f>
        <v/>
      </c>
      <c r="O46" s="98">
        <f>IF($P46="Ready",IF('Rate Inputs'!$F93="","",ROUNDUP(IFERROR($L46,0),-2)),IF(OR($P46="FY26 provisional",$P46="FY26 secured"),"",0))</f>
        <v/>
      </c>
      <c r="P46" s="8" t="inlineStr">
        <is>
          <t>Ready</t>
        </is>
      </c>
      <c r="Q46" s="11" t="n"/>
    </row>
    <row r="47">
      <c r="A47" s="2" t="n">
        <v>6001399332</v>
      </c>
      <c r="B47" s="8">
        <f t="array" ref="B47:E47">_xlfn.XLOOKUP(A47,'Site Register'!A:A,'Site Register'!B:E)</f>
        <v/>
      </c>
      <c r="C47" s="8" t="inlineStr">
        <is>
          <t>Australia</t>
        </is>
      </c>
      <c r="D47" s="8" t="inlineStr">
        <is>
          <t>VIC</t>
        </is>
      </c>
      <c r="E47" s="8" t="inlineStr">
        <is>
          <t>AU Small Energy</t>
        </is>
      </c>
      <c r="F47" s="8" t="inlineStr">
        <is>
          <t>kWh</t>
        </is>
      </c>
      <c r="G47" s="95" t="n">
        <v>58945</v>
      </c>
      <c r="H47" s="96" t="n">
        <v>46204</v>
      </c>
      <c r="I47" s="96" t="n">
        <v>46934</v>
      </c>
      <c r="J47" s="8" t="inlineStr">
        <is>
          <t>AUD</t>
        </is>
      </c>
      <c r="K47" s="97">
        <f>'Rate Inputs'!E95</f>
        <v/>
      </c>
      <c r="L47" s="97">
        <f>'Rate Inputs'!F95</f>
        <v/>
      </c>
      <c r="M47" s="98">
        <f>IF(OR($P47="Ready",$P47="FY26 provisional",$P47="FY26 secured"),IF($H47&lt;=DATE(2025,7,1),ROUNDUP($K47,-2),IF('Rate Inputs'!$J95="","",ROUNDUP(IF($H47&gt;DATE(2026,6,30),'Rate Inputs'!$J95,'Rate Inputs'!$J95*($H47-DATE(2025,7,1))/365+$K47*(DATE(2026,6,30)-$H47+1)/365),-2))),"")</f>
        <v/>
      </c>
      <c r="N47" s="98">
        <f>IF($P47="Ready",ROUNDUP(IFERROR($K47,0),-2),IF(OR($P47="FY26 provisional",$P47="FY26 secured"),"",0))</f>
        <v/>
      </c>
      <c r="O47" s="98">
        <f>IF($P47="Ready",IF('Rate Inputs'!$F95="","",ROUNDUP(IFERROR($L47,0),-2)),IF(OR($P47="FY26 provisional",$P47="FY26 secured"),"",0))</f>
        <v/>
      </c>
      <c r="P47" s="8" t="inlineStr">
        <is>
          <t>Ready</t>
        </is>
      </c>
      <c r="Q47" s="11" t="n"/>
    </row>
    <row r="48">
      <c r="A48" s="2" t="n">
        <v>6103034554</v>
      </c>
      <c r="B48" s="8">
        <f t="array" ref="B48:E48">_xlfn.XLOOKUP(A48,'Site Register'!A:A,'Site Register'!B:E)</f>
        <v/>
      </c>
      <c r="C48" s="8" t="inlineStr">
        <is>
          <t>Australia</t>
        </is>
      </c>
      <c r="D48" s="8" t="inlineStr">
        <is>
          <t>VIC</t>
        </is>
      </c>
      <c r="E48" s="8" t="inlineStr">
        <is>
          <t>AU Small Energy</t>
        </is>
      </c>
      <c r="F48" s="8" t="inlineStr">
        <is>
          <t>kWh</t>
        </is>
      </c>
      <c r="G48" s="95" t="n">
        <v>30794</v>
      </c>
      <c r="H48" s="96" t="n">
        <v>46204</v>
      </c>
      <c r="I48" s="96" t="n">
        <v>46934</v>
      </c>
      <c r="J48" s="8" t="inlineStr">
        <is>
          <t>AUD</t>
        </is>
      </c>
      <c r="K48" s="97">
        <f>'Rate Inputs'!E96</f>
        <v/>
      </c>
      <c r="L48" s="97">
        <f>'Rate Inputs'!F96</f>
        <v/>
      </c>
      <c r="M48" s="98">
        <f>IF(OR($P48="Ready",$P48="FY26 provisional",$P48="FY26 secured"),IF($H48&lt;=DATE(2025,7,1),ROUNDUP($K48,-2),IF('Rate Inputs'!$J96="","",ROUNDUP(IF($H48&gt;DATE(2026,6,30),'Rate Inputs'!$J96,'Rate Inputs'!$J96*($H48-DATE(2025,7,1))/365+$K48*(DATE(2026,6,30)-$H48+1)/365),-2))),"")</f>
        <v/>
      </c>
      <c r="N48" s="98">
        <f>IF($P48="Ready",ROUNDUP(IFERROR($K48,0),-2),IF(OR($P48="FY26 provisional",$P48="FY26 secured"),"",0))</f>
        <v/>
      </c>
      <c r="O48" s="98">
        <f>IF($P48="Ready",IF('Rate Inputs'!$F96="","",ROUNDUP(IFERROR($L48,0),-2)),IF(OR($P48="FY26 provisional",$P48="FY26 secured"),"",0))</f>
        <v/>
      </c>
      <c r="P48" s="8" t="inlineStr">
        <is>
          <t>Ready</t>
        </is>
      </c>
      <c r="Q48" s="11" t="n"/>
    </row>
    <row r="49">
      <c r="A49" s="2" t="n">
        <v>6103034564</v>
      </c>
      <c r="B49" s="8">
        <f t="array" ref="B49:E49">_xlfn.XLOOKUP(A49,'Site Register'!A:A,'Site Register'!B:E)</f>
        <v/>
      </c>
      <c r="C49" s="8" t="inlineStr">
        <is>
          <t>Australia</t>
        </is>
      </c>
      <c r="D49" s="8" t="inlineStr">
        <is>
          <t>VIC</t>
        </is>
      </c>
      <c r="E49" s="8" t="inlineStr">
        <is>
          <t>AU Small Energy</t>
        </is>
      </c>
      <c r="F49" s="8" t="inlineStr">
        <is>
          <t>kWh</t>
        </is>
      </c>
      <c r="G49" s="95" t="n">
        <v>37745</v>
      </c>
      <c r="H49" s="96" t="n">
        <v>46204</v>
      </c>
      <c r="I49" s="96" t="n">
        <v>46934</v>
      </c>
      <c r="J49" s="8" t="inlineStr">
        <is>
          <t>AUD</t>
        </is>
      </c>
      <c r="K49" s="97">
        <f>'Rate Inputs'!E97</f>
        <v/>
      </c>
      <c r="L49" s="97">
        <f>'Rate Inputs'!F97</f>
        <v/>
      </c>
      <c r="M49" s="98">
        <f>IF(OR($P49="Ready",$P49="FY26 provisional",$P49="FY26 secured"),IF($H49&lt;=DATE(2025,7,1),ROUNDUP($K49,-2),IF('Rate Inputs'!$J97="","",ROUNDUP(IF($H49&gt;DATE(2026,6,30),'Rate Inputs'!$J97,'Rate Inputs'!$J97*($H49-DATE(2025,7,1))/365+$K49*(DATE(2026,6,30)-$H49+1)/365),-2))),"")</f>
        <v/>
      </c>
      <c r="N49" s="98">
        <f>IF($P49="Ready",ROUNDUP(IFERROR($K49,0),-2),IF(OR($P49="FY26 provisional",$P49="FY26 secured"),"",0))</f>
        <v/>
      </c>
      <c r="O49" s="98">
        <f>IF($P49="Ready",IF('Rate Inputs'!$F97="","",ROUNDUP(IFERROR($L49,0),-2)),IF(OR($P49="FY26 provisional",$P49="FY26 secured"),"",0))</f>
        <v/>
      </c>
      <c r="P49" s="8" t="inlineStr">
        <is>
          <t>Ready</t>
        </is>
      </c>
      <c r="Q49" s="11" t="n"/>
    </row>
    <row r="50">
      <c r="A50" s="2" t="n">
        <v>6103034565</v>
      </c>
      <c r="B50" s="8">
        <f t="array" ref="B50:E50">_xlfn.XLOOKUP(A50,'Site Register'!A:A,'Site Register'!B:E)</f>
        <v/>
      </c>
      <c r="C50" s="8" t="inlineStr">
        <is>
          <t>Australia</t>
        </is>
      </c>
      <c r="D50" s="8" t="inlineStr">
        <is>
          <t>VIC</t>
        </is>
      </c>
      <c r="E50" s="8" t="inlineStr">
        <is>
          <t>AU Small Energy</t>
        </is>
      </c>
      <c r="F50" s="8" t="inlineStr">
        <is>
          <t>kWh</t>
        </is>
      </c>
      <c r="G50" s="95" t="n">
        <v>56975</v>
      </c>
      <c r="H50" s="96" t="n">
        <v>46204</v>
      </c>
      <c r="I50" s="96" t="n">
        <v>46934</v>
      </c>
      <c r="J50" s="8" t="inlineStr">
        <is>
          <t>AUD</t>
        </is>
      </c>
      <c r="K50" s="97">
        <f>'Rate Inputs'!E98</f>
        <v/>
      </c>
      <c r="L50" s="97">
        <f>'Rate Inputs'!F98</f>
        <v/>
      </c>
      <c r="M50" s="98">
        <f>IF(OR($P50="Ready",$P50="FY26 provisional",$P50="FY26 secured"),IF($H50&lt;=DATE(2025,7,1),ROUNDUP($K50,-2),IF('Rate Inputs'!$J98="","",ROUNDUP(IF($H50&gt;DATE(2026,6,30),'Rate Inputs'!$J98,'Rate Inputs'!$J98*($H50-DATE(2025,7,1))/365+$K50*(DATE(2026,6,30)-$H50+1)/365),-2))),"")</f>
        <v/>
      </c>
      <c r="N50" s="98">
        <f>IF($P50="Ready",ROUNDUP(IFERROR($K50,0),-2),IF(OR($P50="FY26 provisional",$P50="FY26 secured"),"",0))</f>
        <v/>
      </c>
      <c r="O50" s="98">
        <f>IF($P50="Ready",IF('Rate Inputs'!$F98="","",ROUNDUP(IFERROR($L50,0),-2)),IF(OR($P50="FY26 provisional",$P50="FY26 secured"),"",0))</f>
        <v/>
      </c>
      <c r="P50" s="8" t="inlineStr">
        <is>
          <t>Ready</t>
        </is>
      </c>
      <c r="Q50" s="11" t="n"/>
    </row>
    <row r="51">
      <c r="A51" s="2" t="n">
        <v>6103066712</v>
      </c>
      <c r="B51" s="8">
        <f t="array" ref="B51:E51">_xlfn.XLOOKUP(A51,'Site Register'!A:A,'Site Register'!B:E)</f>
        <v/>
      </c>
      <c r="C51" s="8" t="inlineStr">
        <is>
          <t>Australia</t>
        </is>
      </c>
      <c r="D51" s="8" t="inlineStr">
        <is>
          <t>VIC</t>
        </is>
      </c>
      <c r="E51" s="8" t="inlineStr">
        <is>
          <t>AU Small Energy</t>
        </is>
      </c>
      <c r="F51" s="8" t="inlineStr">
        <is>
          <t>kWh</t>
        </is>
      </c>
      <c r="G51" s="95" t="n">
        <v>376</v>
      </c>
      <c r="H51" s="96" t="n">
        <v>46204</v>
      </c>
      <c r="I51" s="96" t="n">
        <v>46934</v>
      </c>
      <c r="J51" s="8" t="inlineStr">
        <is>
          <t>AUD</t>
        </is>
      </c>
      <c r="K51" s="97">
        <f>'Rate Inputs'!E99</f>
        <v/>
      </c>
      <c r="L51" s="97">
        <f>'Rate Inputs'!F99</f>
        <v/>
      </c>
      <c r="M51" s="98">
        <f>IF(OR($P51="Ready",$P51="FY26 provisional",$P51="FY26 secured"),IF($H51&lt;=DATE(2025,7,1),ROUNDUP($K51,-2),IF('Rate Inputs'!$J99="","",ROUNDUP(IF($H51&gt;DATE(2026,6,30),'Rate Inputs'!$J99,'Rate Inputs'!$J99*($H51-DATE(2025,7,1))/365+$K51*(DATE(2026,6,30)-$H51+1)/365),-2))),"")</f>
        <v/>
      </c>
      <c r="N51" s="98">
        <f>IF($P51="Ready",ROUNDUP(IFERROR($K51,0),-2),IF(OR($P51="FY26 provisional",$P51="FY26 secured"),"",0))</f>
        <v/>
      </c>
      <c r="O51" s="98">
        <f>IF($P51="Ready",IF('Rate Inputs'!$F99="","",ROUNDUP(IFERROR($L51,0),-2)),IF(OR($P51="FY26 provisional",$P51="FY26 secured"),"",0))</f>
        <v/>
      </c>
      <c r="P51" s="8" t="inlineStr">
        <is>
          <t>Ready</t>
        </is>
      </c>
      <c r="Q51" s="11" t="n"/>
    </row>
    <row r="52">
      <c r="A52" s="2" t="n">
        <v>6203155353</v>
      </c>
      <c r="B52" s="8">
        <f t="array" ref="B52:E52">_xlfn.XLOOKUP(A52,'Site Register'!A:A,'Site Register'!B:E)</f>
        <v/>
      </c>
      <c r="C52" s="8" t="inlineStr">
        <is>
          <t>Australia</t>
        </is>
      </c>
      <c r="D52" s="8" t="inlineStr">
        <is>
          <t>VIC</t>
        </is>
      </c>
      <c r="E52" s="8" t="inlineStr">
        <is>
          <t>AU Small Energy</t>
        </is>
      </c>
      <c r="F52" s="8" t="inlineStr">
        <is>
          <t>kWh</t>
        </is>
      </c>
      <c r="G52" s="95" t="n">
        <v>27942</v>
      </c>
      <c r="H52" s="96" t="n">
        <v>46204</v>
      </c>
      <c r="I52" s="96" t="n">
        <v>46934</v>
      </c>
      <c r="J52" s="8" t="inlineStr">
        <is>
          <t>AUD</t>
        </is>
      </c>
      <c r="K52" s="97">
        <f>'Rate Inputs'!E100</f>
        <v/>
      </c>
      <c r="L52" s="97">
        <f>'Rate Inputs'!F100</f>
        <v/>
      </c>
      <c r="M52" s="98">
        <f>IF(OR($P52="Ready",$P52="FY26 provisional",$P52="FY26 secured"),IF($H52&lt;=DATE(2025,7,1),ROUNDUP($K52,-2),IF('Rate Inputs'!$J100="","",ROUNDUP(IF($H52&gt;DATE(2026,6,30),'Rate Inputs'!$J100,'Rate Inputs'!$J100*($H52-DATE(2025,7,1))/365+$K52*(DATE(2026,6,30)-$H52+1)/365),-2))),"")</f>
        <v/>
      </c>
      <c r="N52" s="98">
        <f>IF($P52="Ready",ROUNDUP(IFERROR($K52,0),-2),IF(OR($P52="FY26 provisional",$P52="FY26 secured"),"",0))</f>
        <v/>
      </c>
      <c r="O52" s="98">
        <f>IF($P52="Ready",IF('Rate Inputs'!$F100="","",ROUNDUP(IFERROR($L52,0),-2)),IF(OR($P52="FY26 provisional",$P52="FY26 secured"),"",0))</f>
        <v/>
      </c>
      <c r="P52" s="8" t="inlineStr">
        <is>
          <t>Ready</t>
        </is>
      </c>
      <c r="Q52" s="11" t="n"/>
    </row>
    <row r="53">
      <c r="A53" s="2" t="n">
        <v>6203245874</v>
      </c>
      <c r="B53" s="8">
        <f t="array" ref="B53:E53">_xlfn.XLOOKUP(A53,'Site Register'!A:A,'Site Register'!B:E)</f>
        <v/>
      </c>
      <c r="C53" s="8" t="inlineStr">
        <is>
          <t>Australia</t>
        </is>
      </c>
      <c r="D53" s="8" t="inlineStr">
        <is>
          <t>VIC</t>
        </is>
      </c>
      <c r="E53" s="8" t="inlineStr">
        <is>
          <t>AU Small Energy</t>
        </is>
      </c>
      <c r="F53" s="8" t="inlineStr">
        <is>
          <t>kWh</t>
        </is>
      </c>
      <c r="G53" s="95" t="n">
        <v>11909</v>
      </c>
      <c r="H53" s="96" t="n">
        <v>46204</v>
      </c>
      <c r="I53" s="96" t="n">
        <v>46934</v>
      </c>
      <c r="J53" s="8" t="inlineStr">
        <is>
          <t>AUD</t>
        </is>
      </c>
      <c r="K53" s="97">
        <f>'Rate Inputs'!E101</f>
        <v/>
      </c>
      <c r="L53" s="97">
        <f>'Rate Inputs'!F101</f>
        <v/>
      </c>
      <c r="M53" s="98">
        <f>IF(OR($P53="Ready",$P53="FY26 provisional",$P53="FY26 secured"),IF($H53&lt;=DATE(2025,7,1),ROUNDUP($K53,-2),IF('Rate Inputs'!$J101="","",ROUNDUP(IF($H53&gt;DATE(2026,6,30),'Rate Inputs'!$J101,'Rate Inputs'!$J101*($H53-DATE(2025,7,1))/365+$K53*(DATE(2026,6,30)-$H53+1)/365),-2))),"")</f>
        <v/>
      </c>
      <c r="N53" s="98">
        <f>IF($P53="Ready",ROUNDUP(IFERROR($K53,0),-2),IF(OR($P53="FY26 provisional",$P53="FY26 secured"),"",0))</f>
        <v/>
      </c>
      <c r="O53" s="98">
        <f>IF($P53="Ready",IF('Rate Inputs'!$F101="","",ROUNDUP(IFERROR($L53,0),-2)),IF(OR($P53="FY26 provisional",$P53="FY26 secured"),"",0))</f>
        <v/>
      </c>
      <c r="P53" s="8" t="inlineStr">
        <is>
          <t>Ready</t>
        </is>
      </c>
      <c r="Q53" s="11" t="n"/>
    </row>
    <row r="54">
      <c r="A54" s="2" t="n">
        <v>6203409239</v>
      </c>
      <c r="B54" s="8">
        <f t="array" ref="B54:E54">_xlfn.XLOOKUP(A54,'Site Register'!A:A,'Site Register'!B:E)</f>
        <v/>
      </c>
      <c r="C54" s="8" t="inlineStr">
        <is>
          <t>Australia</t>
        </is>
      </c>
      <c r="D54" s="8" t="inlineStr">
        <is>
          <t>VIC</t>
        </is>
      </c>
      <c r="E54" s="8" t="inlineStr">
        <is>
          <t>AU Small Energy</t>
        </is>
      </c>
      <c r="F54" s="8" t="inlineStr">
        <is>
          <t>kWh</t>
        </is>
      </c>
      <c r="G54" s="95" t="n">
        <v>3824</v>
      </c>
      <c r="H54" s="96" t="n">
        <v>46204</v>
      </c>
      <c r="I54" s="96" t="n">
        <v>46934</v>
      </c>
      <c r="J54" s="8" t="inlineStr">
        <is>
          <t>AUD</t>
        </is>
      </c>
      <c r="K54" s="97">
        <f>'Rate Inputs'!E102</f>
        <v/>
      </c>
      <c r="L54" s="97">
        <f>'Rate Inputs'!F102</f>
        <v/>
      </c>
      <c r="M54" s="98">
        <f>IF(OR($P54="Ready",$P54="FY26 provisional",$P54="FY26 secured"),IF($H54&lt;=DATE(2025,7,1),ROUNDUP($K54,-2),IF('Rate Inputs'!$J102="","",ROUNDUP(IF($H54&gt;DATE(2026,6,30),'Rate Inputs'!$J102,'Rate Inputs'!$J102*($H54-DATE(2025,7,1))/365+$K54*(DATE(2026,6,30)-$H54+1)/365),-2))),"")</f>
        <v/>
      </c>
      <c r="N54" s="98">
        <f>IF($P54="Ready",ROUNDUP(IFERROR($K54,0),-2),IF(OR($P54="FY26 provisional",$P54="FY26 secured"),"",0))</f>
        <v/>
      </c>
      <c r="O54" s="98">
        <f>IF($P54="Ready",IF('Rate Inputs'!$F102="","",ROUNDUP(IFERROR($L54,0),-2)),IF(OR($P54="FY26 provisional",$P54="FY26 secured"),"",0))</f>
        <v/>
      </c>
      <c r="P54" s="8" t="inlineStr">
        <is>
          <t>Ready</t>
        </is>
      </c>
      <c r="Q54" s="11" t="n"/>
    </row>
    <row r="55">
      <c r="A55" s="2" t="n">
        <v>6203409240</v>
      </c>
      <c r="B55" s="8">
        <f t="array" ref="B55:E55">_xlfn.XLOOKUP(A55,'Site Register'!A:A,'Site Register'!B:E)</f>
        <v/>
      </c>
      <c r="C55" s="8" t="inlineStr">
        <is>
          <t>Australia</t>
        </is>
      </c>
      <c r="D55" s="8" t="inlineStr">
        <is>
          <t>VIC</t>
        </is>
      </c>
      <c r="E55" s="8" t="inlineStr">
        <is>
          <t>AU Small Energy</t>
        </is>
      </c>
      <c r="F55" s="8" t="inlineStr">
        <is>
          <t>kWh</t>
        </is>
      </c>
      <c r="G55" s="95" t="n">
        <v>21695</v>
      </c>
      <c r="H55" s="96" t="n">
        <v>46204</v>
      </c>
      <c r="I55" s="96" t="n">
        <v>46934</v>
      </c>
      <c r="J55" s="8" t="inlineStr">
        <is>
          <t>AUD</t>
        </is>
      </c>
      <c r="K55" s="97">
        <f>'Rate Inputs'!E103</f>
        <v/>
      </c>
      <c r="L55" s="97">
        <f>'Rate Inputs'!F103</f>
        <v/>
      </c>
      <c r="M55" s="98">
        <f>IF(OR($P55="Ready",$P55="FY26 provisional",$P55="FY26 secured"),IF($H55&lt;=DATE(2025,7,1),ROUNDUP($K55,-2),IF('Rate Inputs'!$J103="","",ROUNDUP(IF($H55&gt;DATE(2026,6,30),'Rate Inputs'!$J103,'Rate Inputs'!$J103*($H55-DATE(2025,7,1))/365+$K55*(DATE(2026,6,30)-$H55+1)/365),-2))),"")</f>
        <v/>
      </c>
      <c r="N55" s="98">
        <f>IF($P55="Ready",ROUNDUP(IFERROR($K55,0),-2),IF(OR($P55="FY26 provisional",$P55="FY26 secured"),"",0))</f>
        <v/>
      </c>
      <c r="O55" s="98">
        <f>IF($P55="Ready",IF('Rate Inputs'!$F103="","",ROUNDUP(IFERROR($L55,0),-2)),IF(OR($P55="FY26 provisional",$P55="FY26 secured"),"",0))</f>
        <v/>
      </c>
      <c r="P55" s="8" t="inlineStr">
        <is>
          <t>Ready</t>
        </is>
      </c>
      <c r="Q55" s="11" t="n"/>
    </row>
    <row r="56">
      <c r="A56" s="2" t="n">
        <v>6203424291</v>
      </c>
      <c r="B56" s="8">
        <f t="array" ref="B56:E56">_xlfn.XLOOKUP(A56,'Site Register'!A:A,'Site Register'!B:E)</f>
        <v/>
      </c>
      <c r="C56" s="8" t="inlineStr">
        <is>
          <t>Australia</t>
        </is>
      </c>
      <c r="D56" s="8" t="inlineStr">
        <is>
          <t>VIC</t>
        </is>
      </c>
      <c r="E56" s="8" t="inlineStr">
        <is>
          <t>AU Small Energy</t>
        </is>
      </c>
      <c r="F56" s="8" t="inlineStr">
        <is>
          <t>kWh</t>
        </is>
      </c>
      <c r="G56" s="95" t="n">
        <v>5946</v>
      </c>
      <c r="H56" s="96" t="n">
        <v>46204</v>
      </c>
      <c r="I56" s="96" t="n">
        <v>46934</v>
      </c>
      <c r="J56" s="8" t="inlineStr">
        <is>
          <t>AUD</t>
        </is>
      </c>
      <c r="K56" s="97">
        <f>'Rate Inputs'!E104</f>
        <v/>
      </c>
      <c r="L56" s="97">
        <f>'Rate Inputs'!F104</f>
        <v/>
      </c>
      <c r="M56" s="98">
        <f>IF(OR($P56="Ready",$P56="FY26 provisional",$P56="FY26 secured"),IF($H56&lt;=DATE(2025,7,1),ROUNDUP($K56,-2),IF('Rate Inputs'!$J104="","",ROUNDUP(IF($H56&gt;DATE(2026,6,30),'Rate Inputs'!$J104,'Rate Inputs'!$J104*($H56-DATE(2025,7,1))/365+$K56*(DATE(2026,6,30)-$H56+1)/365),-2))),"")</f>
        <v/>
      </c>
      <c r="N56" s="98">
        <f>IF($P56="Ready",ROUNDUP(IFERROR($K56,0),-2),IF(OR($P56="FY26 provisional",$P56="FY26 secured"),"",0))</f>
        <v/>
      </c>
      <c r="O56" s="98">
        <f>IF($P56="Ready",IF('Rate Inputs'!$F104="","",ROUNDUP(IFERROR($L56,0),-2)),IF(OR($P56="FY26 provisional",$P56="FY26 secured"),"",0))</f>
        <v/>
      </c>
      <c r="P56" s="8" t="inlineStr">
        <is>
          <t>Ready</t>
        </is>
      </c>
      <c r="Q56" s="11" t="n"/>
    </row>
    <row r="57">
      <c r="A57" s="2" t="n">
        <v>6203424292</v>
      </c>
      <c r="B57" s="8">
        <f t="array" ref="B57:E57">_xlfn.XLOOKUP(A57,'Site Register'!A:A,'Site Register'!B:E)</f>
        <v/>
      </c>
      <c r="C57" s="8" t="inlineStr">
        <is>
          <t>Australia</t>
        </is>
      </c>
      <c r="D57" s="8" t="inlineStr">
        <is>
          <t>VIC</t>
        </is>
      </c>
      <c r="E57" s="8" t="inlineStr">
        <is>
          <t>AU Small Energy</t>
        </is>
      </c>
      <c r="F57" s="8" t="inlineStr">
        <is>
          <t>kWh</t>
        </is>
      </c>
      <c r="G57" s="95" t="n">
        <v>8591</v>
      </c>
      <c r="H57" s="96" t="n">
        <v>46204</v>
      </c>
      <c r="I57" s="96" t="n">
        <v>46934</v>
      </c>
      <c r="J57" s="8" t="inlineStr">
        <is>
          <t>AUD</t>
        </is>
      </c>
      <c r="K57" s="97">
        <f>'Rate Inputs'!E105</f>
        <v/>
      </c>
      <c r="L57" s="97">
        <f>'Rate Inputs'!F105</f>
        <v/>
      </c>
      <c r="M57" s="98">
        <f>IF(OR($P57="Ready",$P57="FY26 provisional",$P57="FY26 secured"),IF($H57&lt;=DATE(2025,7,1),ROUNDUP($K57,-2),IF('Rate Inputs'!$J105="","",ROUNDUP(IF($H57&gt;DATE(2026,6,30),'Rate Inputs'!$J105,'Rate Inputs'!$J105*($H57-DATE(2025,7,1))/365+$K57*(DATE(2026,6,30)-$H57+1)/365),-2))),"")</f>
        <v/>
      </c>
      <c r="N57" s="98">
        <f>IF($P57="Ready",ROUNDUP(IFERROR($K57,0),-2),IF(OR($P57="FY26 provisional",$P57="FY26 secured"),"",0))</f>
        <v/>
      </c>
      <c r="O57" s="98">
        <f>IF($P57="Ready",IF('Rate Inputs'!$F105="","",ROUNDUP(IFERROR($L57,0),-2)),IF(OR($P57="FY26 provisional",$P57="FY26 secured"),"",0))</f>
        <v/>
      </c>
      <c r="P57" s="8" t="inlineStr">
        <is>
          <t>Ready</t>
        </is>
      </c>
      <c r="Q57" s="11" t="n"/>
    </row>
    <row r="58">
      <c r="A58" s="2" t="n">
        <v>6203606598</v>
      </c>
      <c r="B58" s="8">
        <f t="array" ref="B58:E58">_xlfn.XLOOKUP(A58,'Site Register'!A:A,'Site Register'!B:E)</f>
        <v/>
      </c>
      <c r="C58" s="8" t="inlineStr">
        <is>
          <t>Australia</t>
        </is>
      </c>
      <c r="D58" s="8" t="inlineStr">
        <is>
          <t>VIC</t>
        </is>
      </c>
      <c r="E58" s="8" t="inlineStr">
        <is>
          <t>AU Small Energy</t>
        </is>
      </c>
      <c r="F58" s="8" t="inlineStr">
        <is>
          <t>kWh</t>
        </is>
      </c>
      <c r="G58" s="95" t="n">
        <v>33744</v>
      </c>
      <c r="H58" s="96" t="n">
        <v>46204</v>
      </c>
      <c r="I58" s="96" t="n">
        <v>46934</v>
      </c>
      <c r="J58" s="8" t="inlineStr">
        <is>
          <t>AUD</t>
        </is>
      </c>
      <c r="K58" s="97">
        <f>'Rate Inputs'!E106</f>
        <v/>
      </c>
      <c r="L58" s="97">
        <f>'Rate Inputs'!F106</f>
        <v/>
      </c>
      <c r="M58" s="98">
        <f>IF(OR($P58="Ready",$P58="FY26 provisional",$P58="FY26 secured"),IF($H58&lt;=DATE(2025,7,1),ROUNDUP($K58,-2),IF('Rate Inputs'!$J106="","",ROUNDUP(IF($H58&gt;DATE(2026,6,30),'Rate Inputs'!$J106,'Rate Inputs'!$J106*($H58-DATE(2025,7,1))/365+$K58*(DATE(2026,6,30)-$H58+1)/365),-2))),"")</f>
        <v/>
      </c>
      <c r="N58" s="98">
        <f>IF($P58="Ready",ROUNDUP(IFERROR($K58,0),-2),IF(OR($P58="FY26 provisional",$P58="FY26 secured"),"",0))</f>
        <v/>
      </c>
      <c r="O58" s="98">
        <f>IF($P58="Ready",IF('Rate Inputs'!$F106="","",ROUNDUP(IFERROR($L58,0),-2)),IF(OR($P58="FY26 provisional",$P58="FY26 secured"),"",0))</f>
        <v/>
      </c>
      <c r="P58" s="8" t="inlineStr">
        <is>
          <t>Ready</t>
        </is>
      </c>
      <c r="Q58" s="11" t="n"/>
    </row>
    <row r="59">
      <c r="A59" s="2" t="n">
        <v>6203613570</v>
      </c>
      <c r="B59" s="8">
        <f t="array" ref="B59:E59">_xlfn.XLOOKUP(A59,'Site Register'!A:A,'Site Register'!B:E)</f>
        <v/>
      </c>
      <c r="C59" s="8" t="inlineStr">
        <is>
          <t>Australia</t>
        </is>
      </c>
      <c r="D59" s="8" t="inlineStr">
        <is>
          <t>VIC</t>
        </is>
      </c>
      <c r="E59" s="8" t="inlineStr">
        <is>
          <t>AU Small Energy</t>
        </is>
      </c>
      <c r="F59" s="8" t="inlineStr">
        <is>
          <t>kWh</t>
        </is>
      </c>
      <c r="G59" s="95" t="n">
        <v>2010</v>
      </c>
      <c r="H59" s="96" t="n">
        <v>46204</v>
      </c>
      <c r="I59" s="96" t="n">
        <v>46934</v>
      </c>
      <c r="J59" s="8" t="inlineStr">
        <is>
          <t>AUD</t>
        </is>
      </c>
      <c r="K59" s="97">
        <f>'Rate Inputs'!E107</f>
        <v/>
      </c>
      <c r="L59" s="97">
        <f>'Rate Inputs'!F107</f>
        <v/>
      </c>
      <c r="M59" s="98">
        <f>IF(OR($P59="Ready",$P59="FY26 provisional",$P59="FY26 secured"),IF($H59&lt;=DATE(2025,7,1),ROUNDUP($K59,-2),IF('Rate Inputs'!$J107="","",ROUNDUP(IF($H59&gt;DATE(2026,6,30),'Rate Inputs'!$J107,'Rate Inputs'!$J107*($H59-DATE(2025,7,1))/365+$K59*(DATE(2026,6,30)-$H59+1)/365),-2))),"")</f>
        <v/>
      </c>
      <c r="N59" s="98">
        <f>IF($P59="Ready",ROUNDUP(IFERROR($K59,0),-2),IF(OR($P59="FY26 provisional",$P59="FY26 secured"),"",0))</f>
        <v/>
      </c>
      <c r="O59" s="98">
        <f>IF($P59="Ready",IF('Rate Inputs'!$F107="","",ROUNDUP(IFERROR($L59,0),-2)),IF(OR($P59="FY26 provisional",$P59="FY26 secured"),"",0))</f>
        <v/>
      </c>
      <c r="P59" s="8" t="inlineStr">
        <is>
          <t>Ready</t>
        </is>
      </c>
      <c r="Q59" s="11" t="n"/>
    </row>
    <row r="60">
      <c r="A60" s="2" t="n">
        <v>6203616394</v>
      </c>
      <c r="B60" s="8">
        <f t="array" ref="B60:E60">_xlfn.XLOOKUP(A60,'Site Register'!A:A,'Site Register'!B:E)</f>
        <v/>
      </c>
      <c r="C60" s="8" t="inlineStr">
        <is>
          <t>Australia</t>
        </is>
      </c>
      <c r="D60" s="8" t="inlineStr">
        <is>
          <t>VIC</t>
        </is>
      </c>
      <c r="E60" s="8" t="inlineStr">
        <is>
          <t>AU Small Energy</t>
        </is>
      </c>
      <c r="F60" s="8" t="inlineStr">
        <is>
          <t>kWh</t>
        </is>
      </c>
      <c r="G60" s="95" t="n">
        <v>4760</v>
      </c>
      <c r="H60" s="96" t="n">
        <v>46204</v>
      </c>
      <c r="I60" s="96" t="n">
        <v>46934</v>
      </c>
      <c r="J60" s="8" t="inlineStr">
        <is>
          <t>AUD</t>
        </is>
      </c>
      <c r="K60" s="97">
        <f>'Rate Inputs'!E108</f>
        <v/>
      </c>
      <c r="L60" s="97">
        <f>'Rate Inputs'!F108</f>
        <v/>
      </c>
      <c r="M60" s="98">
        <f>IF(OR($P60="Ready",$P60="FY26 provisional",$P60="FY26 secured"),IF($H60&lt;=DATE(2025,7,1),ROUNDUP($K60,-2),IF('Rate Inputs'!$J108="","",ROUNDUP(IF($H60&gt;DATE(2026,6,30),'Rate Inputs'!$J108,'Rate Inputs'!$J108*($H60-DATE(2025,7,1))/365+$K60*(DATE(2026,6,30)-$H60+1)/365),-2))),"")</f>
        <v/>
      </c>
      <c r="N60" s="98">
        <f>IF($P60="Ready",ROUNDUP(IFERROR($K60,0),-2),IF(OR($P60="FY26 provisional",$P60="FY26 secured"),"",0))</f>
        <v/>
      </c>
      <c r="O60" s="98">
        <f>IF($P60="Ready",IF('Rate Inputs'!$F108="","",ROUNDUP(IFERROR($L60,0),-2)),IF(OR($P60="FY26 provisional",$P60="FY26 secured"),"",0))</f>
        <v/>
      </c>
      <c r="P60" s="8" t="inlineStr">
        <is>
          <t>Ready</t>
        </is>
      </c>
      <c r="Q60" s="11" t="n"/>
    </row>
    <row r="61">
      <c r="A61" s="2" t="n">
        <v>6203723433</v>
      </c>
      <c r="B61" s="8">
        <f t="array" ref="B61:E61">_xlfn.XLOOKUP(A61,'Site Register'!A:A,'Site Register'!B:E)</f>
        <v/>
      </c>
      <c r="C61" s="8" t="inlineStr">
        <is>
          <t>Australia</t>
        </is>
      </c>
      <c r="D61" s="8" t="inlineStr">
        <is>
          <t>VIC</t>
        </is>
      </c>
      <c r="E61" s="8" t="inlineStr">
        <is>
          <t>AU Small Energy</t>
        </is>
      </c>
      <c r="F61" s="8" t="inlineStr">
        <is>
          <t>kWh</t>
        </is>
      </c>
      <c r="G61" s="95" t="n">
        <v>1966</v>
      </c>
      <c r="H61" s="96" t="n">
        <v>46204</v>
      </c>
      <c r="I61" s="96" t="n">
        <v>46934</v>
      </c>
      <c r="J61" s="8" t="inlineStr">
        <is>
          <t>AUD</t>
        </is>
      </c>
      <c r="K61" s="97">
        <f>'Rate Inputs'!E109</f>
        <v/>
      </c>
      <c r="L61" s="97">
        <f>'Rate Inputs'!F109</f>
        <v/>
      </c>
      <c r="M61" s="98">
        <f>IF(OR($P61="Ready",$P61="FY26 provisional",$P61="FY26 secured"),IF($H61&lt;=DATE(2025,7,1),ROUNDUP($K61,-2),IF('Rate Inputs'!$J109="","",ROUNDUP(IF($H61&gt;DATE(2026,6,30),'Rate Inputs'!$J109,'Rate Inputs'!$J109*($H61-DATE(2025,7,1))/365+$K61*(DATE(2026,6,30)-$H61+1)/365),-2))),"")</f>
        <v/>
      </c>
      <c r="N61" s="98">
        <f>IF($P61="Ready",ROUNDUP(IFERROR($K61,0),-2),IF(OR($P61="FY26 provisional",$P61="FY26 secured"),"",0))</f>
        <v/>
      </c>
      <c r="O61" s="98">
        <f>IF($P61="Ready",IF('Rate Inputs'!$F109="","",ROUNDUP(IFERROR($L61,0),-2)),IF(OR($P61="FY26 provisional",$P61="FY26 secured"),"",0))</f>
        <v/>
      </c>
      <c r="P61" s="8" t="inlineStr">
        <is>
          <t>Ready</t>
        </is>
      </c>
      <c r="Q61" s="11" t="n"/>
    </row>
    <row r="62">
      <c r="A62" s="2" t="n">
        <v>6203834591</v>
      </c>
      <c r="B62" s="8">
        <f t="array" ref="B62:E62">_xlfn.XLOOKUP(A62,'Site Register'!A:A,'Site Register'!B:E)</f>
        <v/>
      </c>
      <c r="C62" s="8" t="inlineStr">
        <is>
          <t>Australia</t>
        </is>
      </c>
      <c r="D62" s="8" t="inlineStr">
        <is>
          <t>VIC</t>
        </is>
      </c>
      <c r="E62" s="8" t="inlineStr">
        <is>
          <t>AU Small Energy</t>
        </is>
      </c>
      <c r="F62" s="8" t="inlineStr">
        <is>
          <t>kWh</t>
        </is>
      </c>
      <c r="G62" s="95" t="n">
        <v>14148</v>
      </c>
      <c r="H62" s="96" t="n">
        <v>46204</v>
      </c>
      <c r="I62" s="96" t="n">
        <v>46934</v>
      </c>
      <c r="J62" s="8" t="inlineStr">
        <is>
          <t>AUD</t>
        </is>
      </c>
      <c r="K62" s="97">
        <f>'Rate Inputs'!E111</f>
        <v/>
      </c>
      <c r="L62" s="97">
        <f>'Rate Inputs'!F111</f>
        <v/>
      </c>
      <c r="M62" s="98">
        <f>IF(OR($P62="Ready",$P62="FY26 provisional",$P62="FY26 secured"),IF($H62&lt;=DATE(2025,7,1),ROUNDUP($K62,-2),IF('Rate Inputs'!$J111="","",ROUNDUP(IF($H62&gt;DATE(2026,6,30),'Rate Inputs'!$J111,'Rate Inputs'!$J111*($H62-DATE(2025,7,1))/365+$K62*(DATE(2026,6,30)-$H62+1)/365),-2))),"")</f>
        <v/>
      </c>
      <c r="N62" s="98">
        <f>IF($P62="Ready",ROUNDUP(IFERROR($K62,0),-2),IF(OR($P62="FY26 provisional",$P62="FY26 secured"),"",0))</f>
        <v/>
      </c>
      <c r="O62" s="98">
        <f>IF($P62="Ready",IF('Rate Inputs'!$F111="","",ROUNDUP(IFERROR($L62,0),-2)),IF(OR($P62="FY26 provisional",$P62="FY26 secured"),"",0))</f>
        <v/>
      </c>
      <c r="P62" s="8" t="inlineStr">
        <is>
          <t>Ready</t>
        </is>
      </c>
      <c r="Q62" s="11" t="n"/>
    </row>
    <row r="63">
      <c r="A63" s="2" t="n">
        <v>6203842158</v>
      </c>
      <c r="B63" s="8">
        <f t="array" ref="B63:E63">_xlfn.XLOOKUP(A63,'Site Register'!A:A,'Site Register'!B:E)</f>
        <v/>
      </c>
      <c r="C63" s="8" t="inlineStr">
        <is>
          <t>Australia</t>
        </is>
      </c>
      <c r="D63" s="8" t="inlineStr">
        <is>
          <t>VIC</t>
        </is>
      </c>
      <c r="E63" s="8" t="inlineStr">
        <is>
          <t>AU Small Energy</t>
        </is>
      </c>
      <c r="F63" s="8" t="inlineStr">
        <is>
          <t>kWh</t>
        </is>
      </c>
      <c r="G63" s="95" t="n">
        <v>6286</v>
      </c>
      <c r="H63" s="96" t="n">
        <v>46204</v>
      </c>
      <c r="I63" s="96" t="n">
        <v>46934</v>
      </c>
      <c r="J63" s="8" t="inlineStr">
        <is>
          <t>AUD</t>
        </is>
      </c>
      <c r="K63" s="97">
        <f>'Rate Inputs'!E112</f>
        <v/>
      </c>
      <c r="L63" s="97">
        <f>'Rate Inputs'!F112</f>
        <v/>
      </c>
      <c r="M63" s="98">
        <f>IF(OR($P63="Ready",$P63="FY26 provisional",$P63="FY26 secured"),IF($H63&lt;=DATE(2025,7,1),ROUNDUP($K63,-2),IF('Rate Inputs'!$J112="","",ROUNDUP(IF($H63&gt;DATE(2026,6,30),'Rate Inputs'!$J112,'Rate Inputs'!$J112*($H63-DATE(2025,7,1))/365+$K63*(DATE(2026,6,30)-$H63+1)/365),-2))),"")</f>
        <v/>
      </c>
      <c r="N63" s="98">
        <f>IF($P63="Ready",ROUNDUP(IFERROR($K63,0),-2),IF(OR($P63="FY26 provisional",$P63="FY26 secured"),"",0))</f>
        <v/>
      </c>
      <c r="O63" s="98">
        <f>IF($P63="Ready",IF('Rate Inputs'!$F112="","",ROUNDUP(IFERROR($L63,0),-2)),IF(OR($P63="FY26 provisional",$P63="FY26 secured"),"",0))</f>
        <v/>
      </c>
      <c r="P63" s="8" t="inlineStr">
        <is>
          <t>Ready</t>
        </is>
      </c>
      <c r="Q63" s="11" t="n"/>
    </row>
    <row r="64">
      <c r="A64" s="2" t="n">
        <v>6305487004</v>
      </c>
      <c r="B64" s="8">
        <f t="array" ref="B64:E64">_xlfn.XLOOKUP(A64,'Site Register'!A:A,'Site Register'!B:E)</f>
        <v/>
      </c>
      <c r="C64" s="8" t="inlineStr">
        <is>
          <t>Australia</t>
        </is>
      </c>
      <c r="D64" s="8" t="inlineStr">
        <is>
          <t>VIC</t>
        </is>
      </c>
      <c r="E64" s="8" t="inlineStr">
        <is>
          <t>AU Small Energy</t>
        </is>
      </c>
      <c r="F64" s="8" t="inlineStr">
        <is>
          <t>kWh</t>
        </is>
      </c>
      <c r="G64" s="95" t="n">
        <v>11315</v>
      </c>
      <c r="H64" s="96" t="n">
        <v>46204</v>
      </c>
      <c r="I64" s="96" t="n">
        <v>46934</v>
      </c>
      <c r="J64" s="8" t="inlineStr">
        <is>
          <t>AUD</t>
        </is>
      </c>
      <c r="K64" s="97">
        <f>'Rate Inputs'!E114</f>
        <v/>
      </c>
      <c r="L64" s="97">
        <f>'Rate Inputs'!F114</f>
        <v/>
      </c>
      <c r="M64" s="98">
        <f>IF(OR($P64="Ready",$P64="FY26 provisional",$P64="FY26 secured"),IF($H64&lt;=DATE(2025,7,1),ROUNDUP($K64,-2),IF('Rate Inputs'!$J114="","",ROUNDUP(IF($H64&gt;DATE(2026,6,30),'Rate Inputs'!$J114,'Rate Inputs'!$J114*($H64-DATE(2025,7,1))/365+$K64*(DATE(2026,6,30)-$H64+1)/365),-2))),"")</f>
        <v/>
      </c>
      <c r="N64" s="98">
        <f>IF($P64="Ready",ROUNDUP(IFERROR($K64,0),-2),IF(OR($P64="FY26 provisional",$P64="FY26 secured"),"",0))</f>
        <v/>
      </c>
      <c r="O64" s="98">
        <f>IF($P64="Ready",IF('Rate Inputs'!$F114="","",ROUNDUP(IFERROR($L64,0),-2)),IF(OR($P64="FY26 provisional",$P64="FY26 secured"),"",0))</f>
        <v/>
      </c>
      <c r="P64" s="8" t="inlineStr">
        <is>
          <t>Ready</t>
        </is>
      </c>
      <c r="Q64" s="11" t="n"/>
    </row>
    <row r="65">
      <c r="A65" s="2" t="n">
        <v>6305812613</v>
      </c>
      <c r="B65" s="8">
        <f t="array" ref="B65:E65">_xlfn.XLOOKUP(A65,'Site Register'!A:A,'Site Register'!B:E)</f>
        <v/>
      </c>
      <c r="C65" s="8" t="inlineStr">
        <is>
          <t>Australia</t>
        </is>
      </c>
      <c r="D65" s="8" t="inlineStr">
        <is>
          <t>VIC</t>
        </is>
      </c>
      <c r="E65" s="8" t="inlineStr">
        <is>
          <t>AU Small Energy</t>
        </is>
      </c>
      <c r="F65" s="8" t="inlineStr">
        <is>
          <t>kWh</t>
        </is>
      </c>
      <c r="G65" s="95" t="n">
        <v>33004</v>
      </c>
      <c r="H65" s="96" t="n">
        <v>46204</v>
      </c>
      <c r="I65" s="96" t="n">
        <v>46934</v>
      </c>
      <c r="J65" s="8" t="inlineStr">
        <is>
          <t>AUD</t>
        </is>
      </c>
      <c r="K65" s="97">
        <f>'Rate Inputs'!E115</f>
        <v/>
      </c>
      <c r="L65" s="97">
        <f>'Rate Inputs'!F115</f>
        <v/>
      </c>
      <c r="M65" s="98">
        <f>IF(OR($P65="Ready",$P65="FY26 provisional",$P65="FY26 secured"),IF($H65&lt;=DATE(2025,7,1),ROUNDUP($K65,-2),IF('Rate Inputs'!$J115="","",ROUNDUP(IF($H65&gt;DATE(2026,6,30),'Rate Inputs'!$J115,'Rate Inputs'!$J115*($H65-DATE(2025,7,1))/365+$K65*(DATE(2026,6,30)-$H65+1)/365),-2))),"")</f>
        <v/>
      </c>
      <c r="N65" s="98">
        <f>IF($P65="Ready",ROUNDUP(IFERROR($K65,0),-2),IF(OR($P65="FY26 provisional",$P65="FY26 secured"),"",0))</f>
        <v/>
      </c>
      <c r="O65" s="98">
        <f>IF($P65="Ready",IF('Rate Inputs'!$F115="","",ROUNDUP(IFERROR($L65,0),-2)),IF(OR($P65="FY26 provisional",$P65="FY26 secured"),"",0))</f>
        <v/>
      </c>
      <c r="P65" s="8" t="inlineStr">
        <is>
          <t>Ready</t>
        </is>
      </c>
      <c r="Q65" s="11" t="n"/>
    </row>
    <row r="66">
      <c r="A66" s="2" t="n">
        <v>6305983844</v>
      </c>
      <c r="B66" s="8">
        <f t="array" ref="B66:E66">_xlfn.XLOOKUP(A66,'Site Register'!A:A,'Site Register'!B:E)</f>
        <v/>
      </c>
      <c r="C66" s="8" t="inlineStr">
        <is>
          <t>Australia</t>
        </is>
      </c>
      <c r="D66" s="8" t="inlineStr">
        <is>
          <t>VIC</t>
        </is>
      </c>
      <c r="E66" s="8" t="inlineStr">
        <is>
          <t>AU Small Energy</t>
        </is>
      </c>
      <c r="F66" s="8" t="inlineStr">
        <is>
          <t>kWh</t>
        </is>
      </c>
      <c r="G66" s="95" t="n">
        <v>18825</v>
      </c>
      <c r="H66" s="96" t="n">
        <v>46204</v>
      </c>
      <c r="I66" s="96" t="n">
        <v>46934</v>
      </c>
      <c r="J66" s="8" t="inlineStr">
        <is>
          <t>AUD</t>
        </is>
      </c>
      <c r="K66" s="97">
        <f>'Rate Inputs'!E118</f>
        <v/>
      </c>
      <c r="L66" s="97">
        <f>'Rate Inputs'!F118</f>
        <v/>
      </c>
      <c r="M66" s="98">
        <f>IF(OR($P66="Ready",$P66="FY26 provisional",$P66="FY26 secured"),IF($H66&lt;=DATE(2025,7,1),ROUNDUP($K66,-2),IF('Rate Inputs'!$J118="","",ROUNDUP(IF($H66&gt;DATE(2026,6,30),'Rate Inputs'!$J118,'Rate Inputs'!$J118*($H66-DATE(2025,7,1))/365+$K66*(DATE(2026,6,30)-$H66+1)/365),-2))),"")</f>
        <v/>
      </c>
      <c r="N66" s="98">
        <f>IF($P66="Ready",ROUNDUP(IFERROR($K66,0),-2),IF(OR($P66="FY26 provisional",$P66="FY26 secured"),"",0))</f>
        <v/>
      </c>
      <c r="O66" s="98">
        <f>IF($P66="Ready",IF('Rate Inputs'!$F118="","",ROUNDUP(IFERROR($L66,0),-2)),IF(OR($P66="FY26 provisional",$P66="FY26 secured"),"",0))</f>
        <v/>
      </c>
      <c r="P66" s="8" t="inlineStr">
        <is>
          <t>Ready</t>
        </is>
      </c>
      <c r="Q66" s="11" t="n"/>
    </row>
    <row r="67">
      <c r="A67" s="2" t="n">
        <v>6407387461</v>
      </c>
      <c r="B67" s="8">
        <f t="array" ref="B67:E67">_xlfn.XLOOKUP(A67,'Site Register'!A:A,'Site Register'!B:E)</f>
        <v/>
      </c>
      <c r="C67" s="8" t="inlineStr">
        <is>
          <t>Australia</t>
        </is>
      </c>
      <c r="D67" s="8" t="inlineStr">
        <is>
          <t>VIC</t>
        </is>
      </c>
      <c r="E67" s="8" t="inlineStr">
        <is>
          <t>AU Small Energy</t>
        </is>
      </c>
      <c r="F67" s="8" t="inlineStr">
        <is>
          <t>kWh</t>
        </is>
      </c>
      <c r="G67" s="95" t="n">
        <v>25187</v>
      </c>
      <c r="H67" s="96" t="n">
        <v>46204</v>
      </c>
      <c r="I67" s="96" t="n">
        <v>46934</v>
      </c>
      <c r="J67" s="8" t="inlineStr">
        <is>
          <t>AUD</t>
        </is>
      </c>
      <c r="K67" s="97">
        <f>'Rate Inputs'!E121</f>
        <v/>
      </c>
      <c r="L67" s="97">
        <f>'Rate Inputs'!F121</f>
        <v/>
      </c>
      <c r="M67" s="98">
        <f>IF(OR($P67="Ready",$P67="FY26 provisional",$P67="FY26 secured"),IF($H67&lt;=DATE(2025,7,1),ROUNDUP($K67,-2),IF('Rate Inputs'!$J121="","",ROUNDUP(IF($H67&gt;DATE(2026,6,30),'Rate Inputs'!$J121,'Rate Inputs'!$J121*($H67-DATE(2025,7,1))/365+$K67*(DATE(2026,6,30)-$H67+1)/365),-2))),"")</f>
        <v/>
      </c>
      <c r="N67" s="98">
        <f>IF($P67="Ready",ROUNDUP(IFERROR($K67,0),-2),IF(OR($P67="FY26 provisional",$P67="FY26 secured"),"",0))</f>
        <v/>
      </c>
      <c r="O67" s="98">
        <f>IF($P67="Ready",IF('Rate Inputs'!$F121="","",ROUNDUP(IFERROR($L67,0),-2)),IF(OR($P67="FY26 provisional",$P67="FY26 secured"),"",0))</f>
        <v/>
      </c>
      <c r="P67" s="8" t="inlineStr">
        <is>
          <t>Ready</t>
        </is>
      </c>
      <c r="Q67" s="11" t="n"/>
    </row>
    <row r="68">
      <c r="A68" s="2" t="n">
        <v>6407695648</v>
      </c>
      <c r="B68" s="8">
        <f t="array" ref="B68:E68">_xlfn.XLOOKUP(A68,'Site Register'!A:A,'Site Register'!B:E)</f>
        <v/>
      </c>
      <c r="C68" s="8" t="inlineStr">
        <is>
          <t>Australia</t>
        </is>
      </c>
      <c r="D68" s="8" t="inlineStr">
        <is>
          <t>VIC</t>
        </is>
      </c>
      <c r="E68" s="8" t="inlineStr">
        <is>
          <t>AU Small Energy</t>
        </is>
      </c>
      <c r="F68" s="8" t="inlineStr">
        <is>
          <t>kWh</t>
        </is>
      </c>
      <c r="G68" s="95" t="n">
        <v>13969</v>
      </c>
      <c r="H68" s="96" t="n">
        <v>46204</v>
      </c>
      <c r="I68" s="96" t="n">
        <v>46934</v>
      </c>
      <c r="J68" s="8" t="inlineStr">
        <is>
          <t>AUD</t>
        </is>
      </c>
      <c r="K68" s="97">
        <f>'Rate Inputs'!E122</f>
        <v/>
      </c>
      <c r="L68" s="97">
        <f>'Rate Inputs'!F122</f>
        <v/>
      </c>
      <c r="M68" s="98">
        <f>IF(OR($P68="Ready",$P68="FY26 provisional",$P68="FY26 secured"),IF($H68&lt;=DATE(2025,7,1),ROUNDUP($K68,-2),IF('Rate Inputs'!$J122="","",ROUNDUP(IF($H68&gt;DATE(2026,6,30),'Rate Inputs'!$J122,'Rate Inputs'!$J122*($H68-DATE(2025,7,1))/365+$K68*(DATE(2026,6,30)-$H68+1)/365),-2))),"")</f>
        <v/>
      </c>
      <c r="N68" s="98">
        <f>IF($P68="Ready",ROUNDUP(IFERROR($K68,0),-2),IF(OR($P68="FY26 provisional",$P68="FY26 secured"),"",0))</f>
        <v/>
      </c>
      <c r="O68" s="98">
        <f>IF($P68="Ready",IF('Rate Inputs'!$F122="","",ROUNDUP(IFERROR($L68,0),-2)),IF(OR($P68="FY26 provisional",$P68="FY26 secured"),"",0))</f>
        <v/>
      </c>
      <c r="P68" s="8" t="inlineStr">
        <is>
          <t>Ready</t>
        </is>
      </c>
      <c r="Q68" s="11" t="n"/>
    </row>
    <row r="69">
      <c r="A69" s="2" t="n">
        <v>6408293833</v>
      </c>
      <c r="B69" s="8">
        <f t="array" ref="B69:E69">_xlfn.XLOOKUP(A69,'Site Register'!A:A,'Site Register'!B:E)</f>
        <v/>
      </c>
      <c r="C69" s="8" t="inlineStr">
        <is>
          <t>Australia</t>
        </is>
      </c>
      <c r="D69" s="8" t="inlineStr">
        <is>
          <t>VIC</t>
        </is>
      </c>
      <c r="E69" s="8" t="inlineStr">
        <is>
          <t>AU Small Energy</t>
        </is>
      </c>
      <c r="F69" s="8" t="inlineStr">
        <is>
          <t>kWh</t>
        </is>
      </c>
      <c r="G69" s="95" t="n">
        <v>13140</v>
      </c>
      <c r="H69" s="96" t="n">
        <v>46204</v>
      </c>
      <c r="I69" s="96" t="n">
        <v>46934</v>
      </c>
      <c r="J69" s="8" t="inlineStr">
        <is>
          <t>AUD</t>
        </is>
      </c>
      <c r="K69" s="97">
        <f>'Rate Inputs'!E124</f>
        <v/>
      </c>
      <c r="L69" s="97">
        <f>'Rate Inputs'!F124</f>
        <v/>
      </c>
      <c r="M69" s="98">
        <f>IF(OR($P69="Ready",$P69="FY26 provisional",$P69="FY26 secured"),IF($H69&lt;=DATE(2025,7,1),ROUNDUP($K69,-2),IF('Rate Inputs'!$J124="","",ROUNDUP(IF($H69&gt;DATE(2026,6,30),'Rate Inputs'!$J124,'Rate Inputs'!$J124*($H69-DATE(2025,7,1))/365+$K69*(DATE(2026,6,30)-$H69+1)/365),-2))),"")</f>
        <v/>
      </c>
      <c r="N69" s="98">
        <f>IF($P69="Ready",ROUNDUP(IFERROR($K69,0),-2),IF(OR($P69="FY26 provisional",$P69="FY26 secured"),"",0))</f>
        <v/>
      </c>
      <c r="O69" s="98">
        <f>IF($P69="Ready",IF('Rate Inputs'!$F124="","",ROUNDUP(IFERROR($L69,0),-2)),IF(OR($P69="FY26 provisional",$P69="FY26 secured"),"",0))</f>
        <v/>
      </c>
      <c r="P69" s="8" t="inlineStr">
        <is>
          <t>Ready</t>
        </is>
      </c>
      <c r="Q69" s="11" t="n"/>
    </row>
    <row r="70">
      <c r="A70" s="2" t="n">
        <v>5240431343</v>
      </c>
      <c r="B70" s="8">
        <f t="array" ref="B70:E70">_xlfn.XLOOKUP(A70,'Site Register'!A:A,'Site Register'!B:E)</f>
        <v/>
      </c>
      <c r="C70" s="8" t="inlineStr">
        <is>
          <t>Australia</t>
        </is>
      </c>
      <c r="D70" s="8" t="inlineStr">
        <is>
          <t>NSW</t>
        </is>
      </c>
      <c r="E70" s="8" t="inlineStr">
        <is>
          <t>AU Small Energy</t>
        </is>
      </c>
      <c r="F70" s="8" t="inlineStr">
        <is>
          <t>MJ</t>
        </is>
      </c>
      <c r="G70" s="95" t="n">
        <v>1000</v>
      </c>
      <c r="H70" s="96" t="n">
        <v>46204</v>
      </c>
      <c r="I70" s="96" t="n">
        <v>46934</v>
      </c>
      <c r="J70" s="8" t="inlineStr">
        <is>
          <t>AUD</t>
        </is>
      </c>
      <c r="K70" s="97">
        <f>'Rate Inputs'!E135</f>
        <v/>
      </c>
      <c r="L70" s="97">
        <f>'Rate Inputs'!F135</f>
        <v/>
      </c>
      <c r="M70" s="98">
        <f>IF(OR($P70="Ready",$P70="FY26 provisional",$P70="FY26 secured"),IF($H70&lt;=DATE(2025,7,1),ROUNDUP($K70,-2),IF('Rate Inputs'!$J135="","",ROUNDUP(IF($H70&gt;DATE(2026,6,30),'Rate Inputs'!$J135,'Rate Inputs'!$J135*($H70-DATE(2025,7,1))/365+$K70*(DATE(2026,6,30)-$H70+1)/365),-2))),"")</f>
        <v/>
      </c>
      <c r="N70" s="98">
        <f>IF($P70="Ready",ROUNDUP(IFERROR($K70,0),-2),IF(OR($P70="FY26 provisional",$P70="FY26 secured"),"",0))</f>
        <v/>
      </c>
      <c r="O70" s="98">
        <f>IF($P70="Ready",IF('Rate Inputs'!$F135="","",ROUNDUP(IFERROR($L70,0),-2)),IF(OR($P70="FY26 provisional",$P70="FY26 secured"),"",0))</f>
        <v/>
      </c>
      <c r="P70" s="8" t="inlineStr">
        <is>
          <t>Ready</t>
        </is>
      </c>
      <c r="Q70" s="11" t="n"/>
    </row>
    <row r="71">
      <c r="A71" s="2" t="n">
        <v>5243917108</v>
      </c>
      <c r="B71" s="8">
        <f t="array" ref="B71:E71">_xlfn.XLOOKUP(A71,'Site Register'!A:A,'Site Register'!B:E)</f>
        <v/>
      </c>
      <c r="C71" s="8" t="inlineStr">
        <is>
          <t>Australia</t>
        </is>
      </c>
      <c r="D71" s="8" t="inlineStr">
        <is>
          <t>NSW</t>
        </is>
      </c>
      <c r="E71" s="8" t="inlineStr">
        <is>
          <t>AU Small Energy</t>
        </is>
      </c>
      <c r="F71" s="8" t="inlineStr">
        <is>
          <t>MJ</t>
        </is>
      </c>
      <c r="G71" s="95" t="n">
        <v>1000</v>
      </c>
      <c r="H71" s="96" t="n">
        <v>46204</v>
      </c>
      <c r="I71" s="96" t="n">
        <v>46934</v>
      </c>
      <c r="J71" s="8" t="inlineStr">
        <is>
          <t>AUD</t>
        </is>
      </c>
      <c r="K71" s="97">
        <f>'Rate Inputs'!E137</f>
        <v/>
      </c>
      <c r="L71" s="97">
        <f>'Rate Inputs'!F137</f>
        <v/>
      </c>
      <c r="M71" s="98">
        <f>IF(OR($P71="Ready",$P71="FY26 provisional",$P71="FY26 secured"),IF($H71&lt;=DATE(2025,7,1),ROUNDUP($K71,-2),IF('Rate Inputs'!$J137="","",ROUNDUP(IF($H71&gt;DATE(2026,6,30),'Rate Inputs'!$J137,'Rate Inputs'!$J137*($H71-DATE(2025,7,1))/365+$K71*(DATE(2026,6,30)-$H71+1)/365),-2))),"")</f>
        <v/>
      </c>
      <c r="N71" s="98">
        <f>IF($P71="Ready",ROUNDUP(IFERROR($K71,0),-2),IF(OR($P71="FY26 provisional",$P71="FY26 secured"),"",0))</f>
        <v/>
      </c>
      <c r="O71" s="98">
        <f>IF($P71="Ready",IF('Rate Inputs'!$F137="","",ROUNDUP(IFERROR($L71,0),-2)),IF(OR($P71="FY26 provisional",$P71="FY26 secured"),"",0))</f>
        <v/>
      </c>
      <c r="P71" s="8" t="inlineStr">
        <is>
          <t>Ready</t>
        </is>
      </c>
      <c r="Q71" s="11" t="n"/>
    </row>
    <row r="72">
      <c r="A72" s="2" t="n">
        <v>5246209066</v>
      </c>
      <c r="B72" s="8">
        <f t="array" ref="B72:E72">_xlfn.XLOOKUP(A72,'Site Register'!A:A,'Site Register'!B:E)</f>
        <v/>
      </c>
      <c r="C72" s="8" t="inlineStr">
        <is>
          <t>Australia</t>
        </is>
      </c>
      <c r="D72" s="8" t="inlineStr">
        <is>
          <t>NSW</t>
        </is>
      </c>
      <c r="E72" s="8" t="inlineStr">
        <is>
          <t>AU Small Energy</t>
        </is>
      </c>
      <c r="F72" s="8" t="inlineStr">
        <is>
          <t>MJ</t>
        </is>
      </c>
      <c r="G72" s="95" t="n">
        <v>1000</v>
      </c>
      <c r="H72" s="96" t="n">
        <v>46204</v>
      </c>
      <c r="I72" s="96" t="n">
        <v>46934</v>
      </c>
      <c r="J72" s="8" t="inlineStr">
        <is>
          <t>AUD</t>
        </is>
      </c>
      <c r="K72" s="97">
        <f>'Rate Inputs'!E138</f>
        <v/>
      </c>
      <c r="L72" s="97">
        <f>'Rate Inputs'!F138</f>
        <v/>
      </c>
      <c r="M72" s="98">
        <f>IF(OR($P72="Ready",$P72="FY26 provisional",$P72="FY26 secured"),IF($H72&lt;=DATE(2025,7,1),ROUNDUP($K72,-2),IF('Rate Inputs'!$J138="","",ROUNDUP(IF($H72&gt;DATE(2026,6,30),'Rate Inputs'!$J138,'Rate Inputs'!$J138*($H72-DATE(2025,7,1))/365+$K72*(DATE(2026,6,30)-$H72+1)/365),-2))),"")</f>
        <v/>
      </c>
      <c r="N72" s="98">
        <f>IF($P72="Ready",ROUNDUP(IFERROR($K72,0),-2),IF(OR($P72="FY26 provisional",$P72="FY26 secured"),"",0))</f>
        <v/>
      </c>
      <c r="O72" s="98">
        <f>IF($P72="Ready",IF('Rate Inputs'!$F138="","",ROUNDUP(IFERROR($L72,0),-2)),IF(OR($P72="FY26 provisional",$P72="FY26 secured"),"",0))</f>
        <v/>
      </c>
      <c r="P72" s="8" t="inlineStr">
        <is>
          <t>Ready</t>
        </is>
      </c>
      <c r="Q72" s="11" t="n"/>
    </row>
    <row r="73">
      <c r="A73" s="2" t="n">
        <v>5247058378</v>
      </c>
      <c r="B73" s="8">
        <f t="array" ref="B73:E73">_xlfn.XLOOKUP(A73,'Site Register'!A:A,'Site Register'!B:E)</f>
        <v/>
      </c>
      <c r="C73" s="8" t="inlineStr">
        <is>
          <t>Australia</t>
        </is>
      </c>
      <c r="D73" s="8" t="inlineStr">
        <is>
          <t>NSW</t>
        </is>
      </c>
      <c r="E73" s="8" t="inlineStr">
        <is>
          <t>AU Small Energy</t>
        </is>
      </c>
      <c r="F73" s="8" t="inlineStr">
        <is>
          <t>MJ</t>
        </is>
      </c>
      <c r="G73" s="95" t="n">
        <v>1000</v>
      </c>
      <c r="H73" s="96" t="n">
        <v>46204</v>
      </c>
      <c r="I73" s="96" t="n">
        <v>46934</v>
      </c>
      <c r="J73" s="8" t="inlineStr">
        <is>
          <t>AUD</t>
        </is>
      </c>
      <c r="K73" s="97">
        <f>'Rate Inputs'!E139</f>
        <v/>
      </c>
      <c r="L73" s="97">
        <f>'Rate Inputs'!F139</f>
        <v/>
      </c>
      <c r="M73" s="98">
        <f>IF(OR($P73="Ready",$P73="FY26 provisional",$P73="FY26 secured"),IF($H73&lt;=DATE(2025,7,1),ROUNDUP($K73,-2),IF('Rate Inputs'!$J139="","",ROUNDUP(IF($H73&gt;DATE(2026,6,30),'Rate Inputs'!$J139,'Rate Inputs'!$J139*($H73-DATE(2025,7,1))/365+$K73*(DATE(2026,6,30)-$H73+1)/365),-2))),"")</f>
        <v/>
      </c>
      <c r="N73" s="98">
        <f>IF($P73="Ready",ROUNDUP(IFERROR($K73,0),-2),IF(OR($P73="FY26 provisional",$P73="FY26 secured"),"",0))</f>
        <v/>
      </c>
      <c r="O73" s="98">
        <f>IF($P73="Ready",IF('Rate Inputs'!$F139="","",ROUNDUP(IFERROR($L73,0),-2)),IF(OR($P73="FY26 provisional",$P73="FY26 secured"),"",0))</f>
        <v/>
      </c>
      <c r="P73" s="8" t="inlineStr">
        <is>
          <t>Ready</t>
        </is>
      </c>
      <c r="Q73" s="11" t="n"/>
    </row>
    <row r="74">
      <c r="A74" s="2" t="n">
        <v>5247063334</v>
      </c>
      <c r="B74" s="8">
        <f t="array" ref="B74:E74">_xlfn.XLOOKUP(A74,'Site Register'!A:A,'Site Register'!B:E)</f>
        <v/>
      </c>
      <c r="C74" s="8" t="inlineStr">
        <is>
          <t>Australia</t>
        </is>
      </c>
      <c r="D74" s="8" t="inlineStr">
        <is>
          <t>NSW</t>
        </is>
      </c>
      <c r="E74" s="8" t="inlineStr">
        <is>
          <t>AU Small Energy</t>
        </is>
      </c>
      <c r="F74" s="8" t="inlineStr">
        <is>
          <t>MJ</t>
        </is>
      </c>
      <c r="G74" s="95" t="n">
        <v>1000</v>
      </c>
      <c r="H74" s="96" t="n">
        <v>46204</v>
      </c>
      <c r="I74" s="96" t="n">
        <v>46934</v>
      </c>
      <c r="J74" s="8" t="inlineStr">
        <is>
          <t>AUD</t>
        </is>
      </c>
      <c r="K74" s="97">
        <f>'Rate Inputs'!E140</f>
        <v/>
      </c>
      <c r="L74" s="97">
        <f>'Rate Inputs'!F140</f>
        <v/>
      </c>
      <c r="M74" s="98">
        <f>IF(OR($P74="Ready",$P74="FY26 provisional",$P74="FY26 secured"),IF($H74&lt;=DATE(2025,7,1),ROUNDUP($K74,-2),IF('Rate Inputs'!$J140="","",ROUNDUP(IF($H74&gt;DATE(2026,6,30),'Rate Inputs'!$J140,'Rate Inputs'!$J140*($H74-DATE(2025,7,1))/365+$K74*(DATE(2026,6,30)-$H74+1)/365),-2))),"")</f>
        <v/>
      </c>
      <c r="N74" s="98">
        <f>IF($P74="Ready",ROUNDUP(IFERROR($K74,0),-2),IF(OR($P74="FY26 provisional",$P74="FY26 secured"),"",0))</f>
        <v/>
      </c>
      <c r="O74" s="98">
        <f>IF($P74="Ready",IF('Rate Inputs'!$F140="","",ROUNDUP(IFERROR($L74,0),-2)),IF(OR($P74="FY26 provisional",$P74="FY26 secured"),"",0))</f>
        <v/>
      </c>
      <c r="P74" s="8" t="inlineStr">
        <is>
          <t>Ready</t>
        </is>
      </c>
      <c r="Q74" s="11" t="n"/>
    </row>
    <row r="75">
      <c r="A75" s="2" t="n">
        <v>5247072812</v>
      </c>
      <c r="B75" s="8">
        <f t="array" ref="B75:E75">_xlfn.XLOOKUP(A75,'Site Register'!A:A,'Site Register'!B:E)</f>
        <v/>
      </c>
      <c r="C75" s="8" t="inlineStr">
        <is>
          <t>Australia</t>
        </is>
      </c>
      <c r="D75" s="8" t="inlineStr">
        <is>
          <t>NSW</t>
        </is>
      </c>
      <c r="E75" s="8" t="inlineStr">
        <is>
          <t>AU Small Energy</t>
        </is>
      </c>
      <c r="F75" s="8" t="inlineStr">
        <is>
          <t>MJ</t>
        </is>
      </c>
      <c r="G75" s="95" t="n">
        <v>1000</v>
      </c>
      <c r="H75" s="96" t="n">
        <v>46204</v>
      </c>
      <c r="I75" s="96" t="n">
        <v>46934</v>
      </c>
      <c r="J75" s="8" t="inlineStr">
        <is>
          <t>AUD</t>
        </is>
      </c>
      <c r="K75" s="97">
        <f>'Rate Inputs'!E142</f>
        <v/>
      </c>
      <c r="L75" s="97">
        <f>'Rate Inputs'!F142</f>
        <v/>
      </c>
      <c r="M75" s="98">
        <f>IF(OR($P75="Ready",$P75="FY26 provisional",$P75="FY26 secured"),IF($H75&lt;=DATE(2025,7,1),ROUNDUP($K75,-2),IF('Rate Inputs'!$J142="","",ROUNDUP(IF($H75&gt;DATE(2026,6,30),'Rate Inputs'!$J142,'Rate Inputs'!$J142*($H75-DATE(2025,7,1))/365+$K75*(DATE(2026,6,30)-$H75+1)/365),-2))),"")</f>
        <v/>
      </c>
      <c r="N75" s="98">
        <f>IF($P75="Ready",ROUNDUP(IFERROR($K75,0),-2),IF(OR($P75="FY26 provisional",$P75="FY26 secured"),"",0))</f>
        <v/>
      </c>
      <c r="O75" s="98">
        <f>IF($P75="Ready",IF('Rate Inputs'!$F142="","",ROUNDUP(IFERROR($L75,0),-2)),IF(OR($P75="FY26 provisional",$P75="FY26 secured"),"",0))</f>
        <v/>
      </c>
      <c r="P75" s="8" t="inlineStr">
        <is>
          <t>Ready</t>
        </is>
      </c>
      <c r="Q75" s="11" t="n"/>
    </row>
    <row r="76">
      <c r="A76" s="2" t="n">
        <v>5247072833</v>
      </c>
      <c r="B76" s="8">
        <f t="array" ref="B76:E76">_xlfn.XLOOKUP(A76,'Site Register'!A:A,'Site Register'!B:E)</f>
        <v/>
      </c>
      <c r="C76" s="8" t="inlineStr">
        <is>
          <t>Australia</t>
        </is>
      </c>
      <c r="D76" s="8" t="inlineStr">
        <is>
          <t>NSW</t>
        </is>
      </c>
      <c r="E76" s="8" t="inlineStr">
        <is>
          <t>AU Small Energy</t>
        </is>
      </c>
      <c r="F76" s="8" t="inlineStr">
        <is>
          <t>MJ</t>
        </is>
      </c>
      <c r="G76" s="95" t="n">
        <v>1000</v>
      </c>
      <c r="H76" s="96" t="n">
        <v>46204</v>
      </c>
      <c r="I76" s="96" t="n">
        <v>46934</v>
      </c>
      <c r="J76" s="8" t="inlineStr">
        <is>
          <t>AUD</t>
        </is>
      </c>
      <c r="K76" s="97">
        <f>'Rate Inputs'!E143</f>
        <v/>
      </c>
      <c r="L76" s="97">
        <f>'Rate Inputs'!F143</f>
        <v/>
      </c>
      <c r="M76" s="98">
        <f>IF(OR($P76="Ready",$P76="FY26 provisional",$P76="FY26 secured"),IF($H76&lt;=DATE(2025,7,1),ROUNDUP($K76,-2),IF('Rate Inputs'!$J143="","",ROUNDUP(IF($H76&gt;DATE(2026,6,30),'Rate Inputs'!$J143,'Rate Inputs'!$J143*($H76-DATE(2025,7,1))/365+$K76*(DATE(2026,6,30)-$H76+1)/365),-2))),"")</f>
        <v/>
      </c>
      <c r="N76" s="98">
        <f>IF($P76="Ready",ROUNDUP(IFERROR($K76,0),-2),IF(OR($P76="FY26 provisional",$P76="FY26 secured"),"",0))</f>
        <v/>
      </c>
      <c r="O76" s="98">
        <f>IF($P76="Ready",IF('Rate Inputs'!$F143="","",ROUNDUP(IFERROR($L76,0),-2)),IF(OR($P76="FY26 provisional",$P76="FY26 secured"),"",0))</f>
        <v/>
      </c>
      <c r="P76" s="8" t="inlineStr">
        <is>
          <t>Ready</t>
        </is>
      </c>
      <c r="Q76" s="11" t="n"/>
    </row>
    <row r="77">
      <c r="A77" s="2" t="n">
        <v>5247074005</v>
      </c>
      <c r="B77" s="8">
        <f t="array" ref="B77:E77">_xlfn.XLOOKUP(A77,'Site Register'!A:A,'Site Register'!B:E)</f>
        <v/>
      </c>
      <c r="C77" s="8" t="inlineStr">
        <is>
          <t>Australia</t>
        </is>
      </c>
      <c r="D77" s="8" t="inlineStr">
        <is>
          <t>NSW</t>
        </is>
      </c>
      <c r="E77" s="8" t="inlineStr">
        <is>
          <t>AU Small Energy</t>
        </is>
      </c>
      <c r="F77" s="8" t="inlineStr">
        <is>
          <t>MJ</t>
        </is>
      </c>
      <c r="G77" s="95" t="n">
        <v>1000</v>
      </c>
      <c r="H77" s="96" t="n">
        <v>46204</v>
      </c>
      <c r="I77" s="96" t="n">
        <v>46934</v>
      </c>
      <c r="J77" s="8" t="inlineStr">
        <is>
          <t>AUD</t>
        </is>
      </c>
      <c r="K77" s="97">
        <f>'Rate Inputs'!E144</f>
        <v/>
      </c>
      <c r="L77" s="97">
        <f>'Rate Inputs'!F144</f>
        <v/>
      </c>
      <c r="M77" s="98">
        <f>IF(OR($P77="Ready",$P77="FY26 provisional",$P77="FY26 secured"),IF($H77&lt;=DATE(2025,7,1),ROUNDUP($K77,-2),IF('Rate Inputs'!$J144="","",ROUNDUP(IF($H77&gt;DATE(2026,6,30),'Rate Inputs'!$J144,'Rate Inputs'!$J144*($H77-DATE(2025,7,1))/365+$K77*(DATE(2026,6,30)-$H77+1)/365),-2))),"")</f>
        <v/>
      </c>
      <c r="N77" s="98">
        <f>IF($P77="Ready",ROUNDUP(IFERROR($K77,0),-2),IF(OR($P77="FY26 provisional",$P77="FY26 secured"),"",0))</f>
        <v/>
      </c>
      <c r="O77" s="98">
        <f>IF($P77="Ready",IF('Rate Inputs'!$F144="","",ROUNDUP(IFERROR($L77,0),-2)),IF(OR($P77="FY26 provisional",$P77="FY26 secured"),"",0))</f>
        <v/>
      </c>
      <c r="P77" s="8" t="inlineStr">
        <is>
          <t>Ready</t>
        </is>
      </c>
      <c r="Q77" s="11" t="n"/>
    </row>
    <row r="78">
      <c r="A78" s="2" t="n">
        <v>5247082981</v>
      </c>
      <c r="B78" s="8">
        <f t="array" ref="B78:E78">_xlfn.XLOOKUP(A78,'Site Register'!A:A,'Site Register'!B:E)</f>
        <v/>
      </c>
      <c r="C78" s="8" t="inlineStr">
        <is>
          <t>Australia</t>
        </is>
      </c>
      <c r="D78" s="8" t="inlineStr">
        <is>
          <t>NSW</t>
        </is>
      </c>
      <c r="E78" s="8" t="inlineStr">
        <is>
          <t>AU Small Energy</t>
        </is>
      </c>
      <c r="F78" s="8" t="inlineStr">
        <is>
          <t>MJ</t>
        </is>
      </c>
      <c r="G78" s="95" t="n">
        <v>1000</v>
      </c>
      <c r="H78" s="96" t="n">
        <v>46204</v>
      </c>
      <c r="I78" s="96" t="n">
        <v>46934</v>
      </c>
      <c r="J78" s="8" t="inlineStr">
        <is>
          <t>AUD</t>
        </is>
      </c>
      <c r="K78" s="97">
        <f>'Rate Inputs'!E145</f>
        <v/>
      </c>
      <c r="L78" s="97">
        <f>'Rate Inputs'!F145</f>
        <v/>
      </c>
      <c r="M78" s="98">
        <f>IF(OR($P78="Ready",$P78="FY26 provisional",$P78="FY26 secured"),IF($H78&lt;=DATE(2025,7,1),ROUNDUP($K78,-2),IF('Rate Inputs'!$J145="","",ROUNDUP(IF($H78&gt;DATE(2026,6,30),'Rate Inputs'!$J145,'Rate Inputs'!$J145*($H78-DATE(2025,7,1))/365+$K78*(DATE(2026,6,30)-$H78+1)/365),-2))),"")</f>
        <v/>
      </c>
      <c r="N78" s="98">
        <f>IF($P78="Ready",ROUNDUP(IFERROR($K78,0),-2),IF(OR($P78="FY26 provisional",$P78="FY26 secured"),"",0))</f>
        <v/>
      </c>
      <c r="O78" s="98">
        <f>IF($P78="Ready",IF('Rate Inputs'!$F145="","",ROUNDUP(IFERROR($L78,0),-2)),IF(OR($P78="FY26 provisional",$P78="FY26 secured"),"",0))</f>
        <v/>
      </c>
      <c r="P78" s="8" t="inlineStr">
        <is>
          <t>Ready</t>
        </is>
      </c>
      <c r="Q78" s="11" t="n"/>
    </row>
    <row r="79">
      <c r="A79" s="2" t="n">
        <v>5247083098</v>
      </c>
      <c r="B79" s="8">
        <f t="array" ref="B79:E79">_xlfn.XLOOKUP(A79,'Site Register'!A:A,'Site Register'!B:E)</f>
        <v/>
      </c>
      <c r="C79" s="8" t="inlineStr">
        <is>
          <t>Australia</t>
        </is>
      </c>
      <c r="D79" s="8" t="inlineStr">
        <is>
          <t>NSW</t>
        </is>
      </c>
      <c r="E79" s="8" t="inlineStr">
        <is>
          <t>AU Small Energy</t>
        </is>
      </c>
      <c r="F79" s="8" t="inlineStr">
        <is>
          <t>MJ</t>
        </is>
      </c>
      <c r="G79" s="95" t="n">
        <v>1000</v>
      </c>
      <c r="H79" s="96" t="n">
        <v>46204</v>
      </c>
      <c r="I79" s="96" t="n">
        <v>46934</v>
      </c>
      <c r="J79" s="8" t="inlineStr">
        <is>
          <t>AUD</t>
        </is>
      </c>
      <c r="K79" s="97">
        <f>'Rate Inputs'!E146</f>
        <v/>
      </c>
      <c r="L79" s="97">
        <f>'Rate Inputs'!F146</f>
        <v/>
      </c>
      <c r="M79" s="98">
        <f>IF(OR($P79="Ready",$P79="FY26 provisional",$P79="FY26 secured"),IF($H79&lt;=DATE(2025,7,1),ROUNDUP($K79,-2),IF('Rate Inputs'!$J146="","",ROUNDUP(IF($H79&gt;DATE(2026,6,30),'Rate Inputs'!$J146,'Rate Inputs'!$J146*($H79-DATE(2025,7,1))/365+$K79*(DATE(2026,6,30)-$H79+1)/365),-2))),"")</f>
        <v/>
      </c>
      <c r="N79" s="98">
        <f>IF($P79="Ready",ROUNDUP(IFERROR($K79,0),-2),IF(OR($P79="FY26 provisional",$P79="FY26 secured"),"",0))</f>
        <v/>
      </c>
      <c r="O79" s="98">
        <f>IF($P79="Ready",IF('Rate Inputs'!$F146="","",ROUNDUP(IFERROR($L79,0),-2)),IF(OR($P79="FY26 provisional",$P79="FY26 secured"),"",0))</f>
        <v/>
      </c>
      <c r="P79" s="8" t="inlineStr">
        <is>
          <t>Ready</t>
        </is>
      </c>
      <c r="Q79" s="11" t="n"/>
    </row>
    <row r="80">
      <c r="A80" s="2" t="n">
        <v>5270000035</v>
      </c>
      <c r="B80" s="8">
        <f t="array" ref="B80:E80">_xlfn.XLOOKUP(A80,'Site Register'!A:A,'Site Register'!B:E)</f>
        <v/>
      </c>
      <c r="C80" s="8" t="inlineStr">
        <is>
          <t>Australia</t>
        </is>
      </c>
      <c r="D80" s="8" t="inlineStr">
        <is>
          <t>NSW</t>
        </is>
      </c>
      <c r="E80" s="8" t="inlineStr">
        <is>
          <t>AU Small Energy</t>
        </is>
      </c>
      <c r="F80" s="8" t="inlineStr">
        <is>
          <t>MJ</t>
        </is>
      </c>
      <c r="G80" s="95" t="n">
        <v>0</v>
      </c>
      <c r="H80" s="96" t="n">
        <v>46204</v>
      </c>
      <c r="I80" s="96" t="n">
        <v>46934</v>
      </c>
      <c r="J80" s="8" t="inlineStr">
        <is>
          <t>AUD</t>
        </is>
      </c>
      <c r="K80" s="97">
        <f>'Rate Inputs'!E149</f>
        <v/>
      </c>
      <c r="L80" s="97">
        <f>'Rate Inputs'!F149</f>
        <v/>
      </c>
      <c r="M80" s="98">
        <f>IF(OR($P80="Ready",$P80="FY26 provisional",$P80="FY26 secured"),IF($H80&lt;=DATE(2025,7,1),ROUNDUP($K80,-2),IF('Rate Inputs'!$J149="","",ROUNDUP(IF($H80&gt;DATE(2026,6,30),'Rate Inputs'!$J149,'Rate Inputs'!$J149*($H80-DATE(2025,7,1))/365+$K80*(DATE(2026,6,30)-$H80+1)/365),-2))),"")</f>
        <v/>
      </c>
      <c r="N80" s="98">
        <f>IF($P80="Ready",ROUNDUP(IFERROR($K80,0),-2),IF(OR($P80="FY26 provisional",$P80="FY26 secured"),"",0))</f>
        <v/>
      </c>
      <c r="O80" s="98">
        <f>IF($P80="Ready",IF('Rate Inputs'!$F149="","",ROUNDUP(IFERROR($L80,0),-2)),IF(OR($P80="FY26 provisional",$P80="FY26 secured"),"",0))</f>
        <v/>
      </c>
      <c r="P80" s="8" t="inlineStr">
        <is>
          <t>Ready</t>
        </is>
      </c>
      <c r="Q80" s="11" t="n"/>
    </row>
    <row r="81">
      <c r="A81" s="2" t="n">
        <v>5410075384</v>
      </c>
      <c r="B81" s="8">
        <f t="array" ref="B81:E81">_xlfn.XLOOKUP(A81,'Site Register'!A:A,'Site Register'!B:E)</f>
        <v/>
      </c>
      <c r="C81" s="8" t="inlineStr">
        <is>
          <t>Australia</t>
        </is>
      </c>
      <c r="D81" s="8" t="inlineStr">
        <is>
          <t>QLD</t>
        </is>
      </c>
      <c r="E81" s="8" t="inlineStr">
        <is>
          <t>AU Small Energy</t>
        </is>
      </c>
      <c r="F81" s="8" t="inlineStr">
        <is>
          <t>MJ</t>
        </is>
      </c>
      <c r="G81" s="95" t="n">
        <v>27439</v>
      </c>
      <c r="H81" s="96" t="n">
        <v>46204</v>
      </c>
      <c r="I81" s="96" t="n">
        <v>46934</v>
      </c>
      <c r="J81" s="8" t="inlineStr">
        <is>
          <t>AUD</t>
        </is>
      </c>
      <c r="K81" s="97">
        <f>'Rate Inputs'!E150</f>
        <v/>
      </c>
      <c r="L81" s="97">
        <f>'Rate Inputs'!F150</f>
        <v/>
      </c>
      <c r="M81" s="98">
        <f>IF(OR($P81="Ready",$P81="FY26 provisional",$P81="FY26 secured"),IF($H81&lt;=DATE(2025,7,1),ROUNDUP($K81,-2),IF('Rate Inputs'!$J150="","",ROUNDUP(IF($H81&gt;DATE(2026,6,30),'Rate Inputs'!$J150,'Rate Inputs'!$J150*($H81-DATE(2025,7,1))/365+$K81*(DATE(2026,6,30)-$H81+1)/365),-2))),"")</f>
        <v/>
      </c>
      <c r="N81" s="98">
        <f>IF($P81="Ready",ROUNDUP(IFERROR($K81,0),-2),IF(OR($P81="FY26 provisional",$P81="FY26 secured"),"",0))</f>
        <v/>
      </c>
      <c r="O81" s="98">
        <f>IF($P81="Ready",IF('Rate Inputs'!$F150="","",ROUNDUP(IFERROR($L81,0),-2)),IF(OR($P81="FY26 provisional",$P81="FY26 secured"),"",0))</f>
        <v/>
      </c>
      <c r="P81" s="8" t="inlineStr">
        <is>
          <t>Ready</t>
        </is>
      </c>
      <c r="Q81" s="11" t="n"/>
    </row>
    <row r="82">
      <c r="A82" s="2" t="n">
        <v>5410078053</v>
      </c>
      <c r="B82" s="8">
        <f t="array" ref="B82:E82">_xlfn.XLOOKUP(A82,'Site Register'!A:A,'Site Register'!B:E)</f>
        <v/>
      </c>
      <c r="C82" s="8" t="inlineStr">
        <is>
          <t>Australia</t>
        </is>
      </c>
      <c r="D82" s="8" t="inlineStr">
        <is>
          <t>QLD</t>
        </is>
      </c>
      <c r="E82" s="8" t="inlineStr">
        <is>
          <t>AU Small Energy</t>
        </is>
      </c>
      <c r="F82" s="8" t="inlineStr">
        <is>
          <t>MJ</t>
        </is>
      </c>
      <c r="G82" s="95" t="n">
        <v>153318</v>
      </c>
      <c r="H82" s="96" t="n">
        <v>46204</v>
      </c>
      <c r="I82" s="96" t="n">
        <v>46934</v>
      </c>
      <c r="J82" s="8" t="inlineStr">
        <is>
          <t>AUD</t>
        </is>
      </c>
      <c r="K82" s="97">
        <f>'Rate Inputs'!E151</f>
        <v/>
      </c>
      <c r="L82" s="97">
        <f>'Rate Inputs'!F151</f>
        <v/>
      </c>
      <c r="M82" s="98">
        <f>IF(OR($P82="Ready",$P82="FY26 provisional",$P82="FY26 secured"),IF($H82&lt;=DATE(2025,7,1),ROUNDUP($K82,-2),IF('Rate Inputs'!$J151="","",ROUNDUP(IF($H82&gt;DATE(2026,6,30),'Rate Inputs'!$J151,'Rate Inputs'!$J151*($H82-DATE(2025,7,1))/365+$K82*(DATE(2026,6,30)-$H82+1)/365),-2))),"")</f>
        <v/>
      </c>
      <c r="N82" s="98">
        <f>IF($P82="Ready",ROUNDUP(IFERROR($K82,0),-2),IF(OR($P82="FY26 provisional",$P82="FY26 secured"),"",0))</f>
        <v/>
      </c>
      <c r="O82" s="98">
        <f>IF($P82="Ready",IF('Rate Inputs'!$F151="","",ROUNDUP(IFERROR($L82,0),-2)),IF(OR($P82="FY26 provisional",$P82="FY26 secured"),"",0))</f>
        <v/>
      </c>
      <c r="P82" s="8" t="inlineStr">
        <is>
          <t>Ready</t>
        </is>
      </c>
      <c r="Q82" s="11" t="n"/>
    </row>
    <row r="83">
      <c r="A83" s="2" t="n">
        <v>5410086500</v>
      </c>
      <c r="B83" s="8">
        <f t="array" ref="B83:E83">_xlfn.XLOOKUP(A83,'Site Register'!A:A,'Site Register'!B:E)</f>
        <v/>
      </c>
      <c r="C83" s="8" t="inlineStr">
        <is>
          <t>Australia</t>
        </is>
      </c>
      <c r="D83" s="8" t="inlineStr">
        <is>
          <t>QLD</t>
        </is>
      </c>
      <c r="E83" s="8" t="inlineStr">
        <is>
          <t>AU Small Energy</t>
        </is>
      </c>
      <c r="F83" s="8" t="inlineStr">
        <is>
          <t>MJ</t>
        </is>
      </c>
      <c r="G83" s="95" t="n">
        <v>504905</v>
      </c>
      <c r="H83" s="96" t="n">
        <v>46204</v>
      </c>
      <c r="I83" s="96" t="n">
        <v>46934</v>
      </c>
      <c r="J83" s="8" t="inlineStr">
        <is>
          <t>AUD</t>
        </is>
      </c>
      <c r="K83" s="97">
        <f>'Rate Inputs'!E152</f>
        <v/>
      </c>
      <c r="L83" s="97">
        <f>'Rate Inputs'!F152</f>
        <v/>
      </c>
      <c r="M83" s="98">
        <f>IF(OR($P83="Ready",$P83="FY26 provisional",$P83="FY26 secured"),IF($H83&lt;=DATE(2025,7,1),ROUNDUP($K83,-2),IF('Rate Inputs'!$J152="","",ROUNDUP(IF($H83&gt;DATE(2026,6,30),'Rate Inputs'!$J152,'Rate Inputs'!$J152*($H83-DATE(2025,7,1))/365+$K83*(DATE(2026,6,30)-$H83+1)/365),-2))),"")</f>
        <v/>
      </c>
      <c r="N83" s="98">
        <f>IF($P83="Ready",ROUNDUP(IFERROR($K83,0),-2),IF(OR($P83="FY26 provisional",$P83="FY26 secured"),"",0))</f>
        <v/>
      </c>
      <c r="O83" s="98">
        <f>IF($P83="Ready",IF('Rate Inputs'!$F152="","",ROUNDUP(IFERROR($L83,0),-2)),IF(OR($P83="FY26 provisional",$P83="FY26 secured"),"",0))</f>
        <v/>
      </c>
      <c r="P83" s="8" t="inlineStr">
        <is>
          <t>Ready</t>
        </is>
      </c>
      <c r="Q83" s="11" t="n"/>
    </row>
    <row r="84">
      <c r="A84" s="2" t="n">
        <v>5420000032</v>
      </c>
      <c r="B84" s="8">
        <f t="array" ref="B84:E84">_xlfn.XLOOKUP(A84,'Site Register'!A:A,'Site Register'!B:E)</f>
        <v/>
      </c>
      <c r="C84" s="8" t="inlineStr">
        <is>
          <t>Australia</t>
        </is>
      </c>
      <c r="D84" s="8" t="inlineStr">
        <is>
          <t>QLD</t>
        </is>
      </c>
      <c r="E84" s="8" t="inlineStr">
        <is>
          <t>AU Small Energy</t>
        </is>
      </c>
      <c r="F84" s="8" t="inlineStr">
        <is>
          <t>MJ</t>
        </is>
      </c>
      <c r="G84" s="95" t="n">
        <v>888078</v>
      </c>
      <c r="H84" s="96" t="n">
        <v>46204</v>
      </c>
      <c r="I84" s="96" t="n">
        <v>46934</v>
      </c>
      <c r="J84" s="8" t="inlineStr">
        <is>
          <t>AUD</t>
        </is>
      </c>
      <c r="K84" s="97">
        <f>'Rate Inputs'!E153</f>
        <v/>
      </c>
      <c r="L84" s="97">
        <f>'Rate Inputs'!F153</f>
        <v/>
      </c>
      <c r="M84" s="98">
        <f>IF(OR($P84="Ready",$P84="FY26 provisional",$P84="FY26 secured"),IF($H84&lt;=DATE(2025,7,1),ROUNDUP($K84,-2),IF('Rate Inputs'!$J153="","",ROUNDUP(IF($H84&gt;DATE(2026,6,30),'Rate Inputs'!$J153,'Rate Inputs'!$J153*($H84-DATE(2025,7,1))/365+$K84*(DATE(2026,6,30)-$H84+1)/365),-2))),"")</f>
        <v/>
      </c>
      <c r="N84" s="98">
        <f>IF($P84="Ready",ROUNDUP(IFERROR($K84,0),-2),IF(OR($P84="FY26 provisional",$P84="FY26 secured"),"",0))</f>
        <v/>
      </c>
      <c r="O84" s="98">
        <f>IF($P84="Ready",IF('Rate Inputs'!$F153="","",ROUNDUP(IFERROR($L84,0),-2)),IF(OR($P84="FY26 provisional",$P84="FY26 secured"),"",0))</f>
        <v/>
      </c>
      <c r="P84" s="8" t="inlineStr">
        <is>
          <t>Ready</t>
        </is>
      </c>
      <c r="Q84" s="11" t="n"/>
    </row>
    <row r="85">
      <c r="A85" s="2" t="n">
        <v>5510484999</v>
      </c>
      <c r="B85" s="8">
        <f t="array" ref="B85:E85">_xlfn.XLOOKUP(A85,'Site Register'!A:A,'Site Register'!B:E)</f>
        <v/>
      </c>
      <c r="C85" s="8" t="inlineStr">
        <is>
          <t>Australia</t>
        </is>
      </c>
      <c r="D85" s="8" t="inlineStr">
        <is>
          <t>SA</t>
        </is>
      </c>
      <c r="E85" s="8" t="inlineStr">
        <is>
          <t>AU Small Energy</t>
        </is>
      </c>
      <c r="F85" s="8" t="inlineStr">
        <is>
          <t>MJ</t>
        </is>
      </c>
      <c r="G85" s="95" t="n">
        <v>766606</v>
      </c>
      <c r="H85" s="96" t="n">
        <v>46204</v>
      </c>
      <c r="I85" s="96" t="n">
        <v>46934</v>
      </c>
      <c r="J85" s="8" t="inlineStr">
        <is>
          <t>AUD</t>
        </is>
      </c>
      <c r="K85" s="97">
        <f>'Rate Inputs'!E155</f>
        <v/>
      </c>
      <c r="L85" s="97">
        <f>'Rate Inputs'!F155</f>
        <v/>
      </c>
      <c r="M85" s="98">
        <f>IF(OR($P85="Ready",$P85="FY26 provisional",$P85="FY26 secured"),IF($H85&lt;=DATE(2025,7,1),ROUNDUP($K85,-2),IF('Rate Inputs'!$J155="","",ROUNDUP(IF($H85&gt;DATE(2026,6,30),'Rate Inputs'!$J155,'Rate Inputs'!$J155*($H85-DATE(2025,7,1))/365+$K85*(DATE(2026,6,30)-$H85+1)/365),-2))),"")</f>
        <v/>
      </c>
      <c r="N85" s="98">
        <f>IF($P85="Ready",ROUNDUP(IFERROR($K85,0),-2),IF(OR($P85="FY26 provisional",$P85="FY26 secured"),"",0))</f>
        <v/>
      </c>
      <c r="O85" s="98">
        <f>IF($P85="Ready",IF('Rate Inputs'!$F155="","",ROUNDUP(IFERROR($L85,0),-2)),IF(OR($P85="FY26 provisional",$P85="FY26 secured"),"",0))</f>
        <v/>
      </c>
      <c r="P85" s="8" t="inlineStr">
        <is>
          <t>Ready</t>
        </is>
      </c>
      <c r="Q85" s="11" t="n"/>
    </row>
    <row r="86">
      <c r="A86" s="2" t="n">
        <v>5321918308</v>
      </c>
      <c r="B86" s="8">
        <f t="array" ref="B86:E86">_xlfn.XLOOKUP(A86,'Site Register'!A:A,'Site Register'!B:E)</f>
        <v/>
      </c>
      <c r="C86" s="8" t="inlineStr">
        <is>
          <t>Australia</t>
        </is>
      </c>
      <c r="D86" s="8" t="inlineStr">
        <is>
          <t>VIC</t>
        </is>
      </c>
      <c r="E86" s="8" t="inlineStr">
        <is>
          <t>AU Small Energy</t>
        </is>
      </c>
      <c r="F86" s="8" t="inlineStr">
        <is>
          <t>MJ</t>
        </is>
      </c>
      <c r="G86" s="95" t="n">
        <v>0</v>
      </c>
      <c r="H86" s="96" t="n">
        <v>46204</v>
      </c>
      <c r="I86" s="96" t="n">
        <v>46934</v>
      </c>
      <c r="J86" s="8" t="inlineStr">
        <is>
          <t>AUD</t>
        </is>
      </c>
      <c r="K86" s="97">
        <f>'Rate Inputs'!E160</f>
        <v/>
      </c>
      <c r="L86" s="97">
        <f>'Rate Inputs'!F160</f>
        <v/>
      </c>
      <c r="M86" s="98">
        <f>IF(OR($P86="Ready",$P86="FY26 provisional",$P86="FY26 secured"),IF($H86&lt;=DATE(2025,7,1),ROUNDUP($K86,-2),IF('Rate Inputs'!$J160="","",ROUNDUP(IF($H86&gt;DATE(2026,6,30),'Rate Inputs'!$J160,'Rate Inputs'!$J160*($H86-DATE(2025,7,1))/365+$K86*(DATE(2026,6,30)-$H86+1)/365),-2))),"")</f>
        <v/>
      </c>
      <c r="N86" s="98">
        <f>IF($P86="Ready",ROUNDUP(IFERROR($K86,0),-2),IF(OR($P86="FY26 provisional",$P86="FY26 secured"),"",0))</f>
        <v/>
      </c>
      <c r="O86" s="98">
        <f>IF($P86="Ready",IF('Rate Inputs'!$F160="","",ROUNDUP(IFERROR($L86,0),-2)),IF(OR($P86="FY26 provisional",$P86="FY26 secured"),"",0))</f>
        <v/>
      </c>
      <c r="P86" s="8" t="inlineStr">
        <is>
          <t>Ready</t>
        </is>
      </c>
      <c r="Q86" s="11" t="n"/>
    </row>
    <row r="87">
      <c r="A87" s="2" t="n">
        <v>7001184714</v>
      </c>
      <c r="B87" s="8">
        <f t="array" ref="B87:E87">_xlfn.XLOOKUP(A87,'Site Register'!A:A,'Site Register'!B:E)</f>
        <v/>
      </c>
      <c r="C87" s="8" t="inlineStr">
        <is>
          <t>Australia</t>
        </is>
      </c>
      <c r="D87" s="8" t="inlineStr">
        <is>
          <t>ACT</t>
        </is>
      </c>
      <c r="E87" s="8" t="inlineStr">
        <is>
          <t>AU Large Electricity</t>
        </is>
      </c>
      <c r="F87" s="8" t="inlineStr">
        <is>
          <t>kWh</t>
        </is>
      </c>
      <c r="G87" s="95" t="n">
        <v>928827.6759999999</v>
      </c>
      <c r="H87" s="96" t="n">
        <v>46204</v>
      </c>
      <c r="I87" s="96" t="n">
        <v>46934</v>
      </c>
      <c r="J87" s="8" t="inlineStr">
        <is>
          <t>AUD</t>
        </is>
      </c>
      <c r="K87" s="97">
        <f>'Rate Inputs'!E3</f>
        <v/>
      </c>
      <c r="L87" s="97">
        <f>'Rate Inputs'!F3</f>
        <v/>
      </c>
      <c r="M87" s="98">
        <f>IF(OR($P87="Ready",$P87="FY26 provisional",$P87="FY26 secured"),IF($H87&lt;=DATE(2025,7,1),ROUNDUP($K87,-2),IF('Rate Inputs'!$J3="","",ROUNDUP(IF($H87&gt;DATE(2026,6,30),'Rate Inputs'!$J3,'Rate Inputs'!$J3*($H87-DATE(2025,7,1))/365+$K87*(DATE(2026,6,30)-$H87+1)/365),-2))),"")</f>
        <v/>
      </c>
      <c r="N87" s="98">
        <f>IF($P87="Ready",ROUNDUP(IFERROR($K87,0),-2),IF(OR($P87="FY26 provisional",$P87="FY26 secured"),"",0))</f>
        <v/>
      </c>
      <c r="O87" s="98">
        <f>IF($P87="Ready",IF('Rate Inputs'!$F3="","",ROUNDUP(IFERROR($L87,0),-2)),IF(OR($P87="FY26 provisional",$P87="FY26 secured"),"",0))</f>
        <v/>
      </c>
      <c r="P87" s="8" t="inlineStr">
        <is>
          <t>Ready</t>
        </is>
      </c>
      <c r="Q87" s="11" t="n"/>
    </row>
    <row r="88">
      <c r="A88" s="2" t="n">
        <v>4001127731</v>
      </c>
      <c r="B88" s="8">
        <f t="array" ref="B88:E88">_xlfn.XLOOKUP(A88,'Site Register'!A:A,'Site Register'!B:E)</f>
        <v/>
      </c>
      <c r="C88" s="8" t="inlineStr">
        <is>
          <t>Australia</t>
        </is>
      </c>
      <c r="D88" s="8" t="inlineStr">
        <is>
          <t>NSW</t>
        </is>
      </c>
      <c r="E88" s="8" t="inlineStr">
        <is>
          <t>AU Large Electricity</t>
        </is>
      </c>
      <c r="F88" s="8" t="inlineStr">
        <is>
          <t>kWh</t>
        </is>
      </c>
      <c r="G88" s="95" t="n">
        <v>44278.31</v>
      </c>
      <c r="H88" s="96" t="n">
        <v>46204</v>
      </c>
      <c r="I88" s="96" t="n">
        <v>46934</v>
      </c>
      <c r="J88" s="8" t="inlineStr">
        <is>
          <t>AUD</t>
        </is>
      </c>
      <c r="K88" s="97">
        <f>'Rate Inputs'!E5</f>
        <v/>
      </c>
      <c r="L88" s="97">
        <f>'Rate Inputs'!F5</f>
        <v/>
      </c>
      <c r="M88" s="98">
        <f>IF(OR($P88="Ready",$P88="FY26 provisional",$P88="FY26 secured"),IF($H88&lt;=DATE(2025,7,1),ROUNDUP($K88,-2),IF('Rate Inputs'!$J5="","",ROUNDUP(IF($H88&gt;DATE(2026,6,30),'Rate Inputs'!$J5,'Rate Inputs'!$J5*($H88-DATE(2025,7,1))/365+$K88*(DATE(2026,6,30)-$H88+1)/365),-2))),"")</f>
        <v/>
      </c>
      <c r="N88" s="98">
        <f>IF($P88="Ready",ROUNDUP(IFERROR($K88,0),-2),IF(OR($P88="FY26 provisional",$P88="FY26 secured"),"",0))</f>
        <v/>
      </c>
      <c r="O88" s="98">
        <f>IF($P88="Ready",IF('Rate Inputs'!$F5="","",ROUNDUP(IFERROR($L88,0),-2)),IF(OR($P88="FY26 provisional",$P88="FY26 secured"),"",0))</f>
        <v/>
      </c>
      <c r="P88" s="8" t="inlineStr">
        <is>
          <t>Ready</t>
        </is>
      </c>
      <c r="Q88" s="11" t="n"/>
    </row>
    <row r="89">
      <c r="A89" s="2" t="n">
        <v>4001158058</v>
      </c>
      <c r="B89" s="8">
        <f t="array" ref="B89:E89">_xlfn.XLOOKUP(A89,'Site Register'!A:A,'Site Register'!B:E)</f>
        <v/>
      </c>
      <c r="C89" s="8" t="inlineStr">
        <is>
          <t>Australia</t>
        </is>
      </c>
      <c r="D89" s="8" t="inlineStr">
        <is>
          <t>NSW</t>
        </is>
      </c>
      <c r="E89" s="8" t="inlineStr">
        <is>
          <t>AU Large Electricity</t>
        </is>
      </c>
      <c r="F89" s="8" t="inlineStr">
        <is>
          <t>kWh</t>
        </is>
      </c>
      <c r="G89" s="95" t="n">
        <v>0</v>
      </c>
      <c r="H89" s="96" t="n">
        <v>46204</v>
      </c>
      <c r="I89" s="96" t="n">
        <v>46934</v>
      </c>
      <c r="J89" s="8" t="inlineStr">
        <is>
          <t>AUD</t>
        </is>
      </c>
      <c r="K89" s="97">
        <f>'Rate Inputs'!E7</f>
        <v/>
      </c>
      <c r="L89" s="97">
        <f>'Rate Inputs'!F7</f>
        <v/>
      </c>
      <c r="M89" s="98">
        <f>IF(OR($P89="Ready",$P89="FY26 provisional",$P89="FY26 secured"),IF($H89&lt;=DATE(2025,7,1),ROUNDUP($K89,-2),IF('Rate Inputs'!$J7="","",ROUNDUP(IF($H89&gt;DATE(2026,6,30),'Rate Inputs'!$J7,'Rate Inputs'!$J7*($H89-DATE(2025,7,1))/365+$K89*(DATE(2026,6,30)-$H89+1)/365),-2))),"")</f>
        <v/>
      </c>
      <c r="N89" s="98">
        <f>IF($P89="Ready",ROUNDUP(IFERROR($K89,0),-2),IF(OR($P89="FY26 provisional",$P89="FY26 secured"),"",0))</f>
        <v/>
      </c>
      <c r="O89" s="98">
        <f>IF($P89="Ready",IF('Rate Inputs'!$F7="","",ROUNDUP(IFERROR($L89,0),-2)),IF(OR($P89="FY26 provisional",$P89="FY26 secured"),"",0))</f>
        <v/>
      </c>
      <c r="P89" s="8" t="inlineStr">
        <is>
          <t>Review required</t>
        </is>
      </c>
      <c r="Q89" s="11" t="n"/>
    </row>
    <row r="90">
      <c r="A90" s="2" t="n">
        <v>4001198085</v>
      </c>
      <c r="B90" s="8">
        <f t="array" ref="B90:E90">_xlfn.XLOOKUP(A90,'Site Register'!A:A,'Site Register'!B:E)</f>
        <v/>
      </c>
      <c r="C90" s="8" t="inlineStr">
        <is>
          <t>Australia</t>
        </is>
      </c>
      <c r="D90" s="8" t="inlineStr">
        <is>
          <t>NSW</t>
        </is>
      </c>
      <c r="E90" s="8" t="inlineStr">
        <is>
          <t>AU Large Electricity</t>
        </is>
      </c>
      <c r="F90" s="8" t="inlineStr">
        <is>
          <t>kWh</t>
        </is>
      </c>
      <c r="G90" s="95" t="n">
        <v>399092.86</v>
      </c>
      <c r="H90" s="96" t="n">
        <v>46204</v>
      </c>
      <c r="I90" s="96" t="n">
        <v>46934</v>
      </c>
      <c r="J90" s="8" t="inlineStr">
        <is>
          <t>AUD</t>
        </is>
      </c>
      <c r="K90" s="97">
        <f>'Rate Inputs'!E9</f>
        <v/>
      </c>
      <c r="L90" s="97">
        <f>'Rate Inputs'!F9</f>
        <v/>
      </c>
      <c r="M90" s="98">
        <f>IF(OR($P90="Ready",$P90="FY26 provisional",$P90="FY26 secured"),IF($H90&lt;=DATE(2025,7,1),ROUNDUP($K90,-2),IF('Rate Inputs'!$J9="","",ROUNDUP(IF($H90&gt;DATE(2026,6,30),'Rate Inputs'!$J9,'Rate Inputs'!$J9*($H90-DATE(2025,7,1))/365+$K90*(DATE(2026,6,30)-$H90+1)/365),-2))),"")</f>
        <v/>
      </c>
      <c r="N90" s="98">
        <f>IF($P90="Ready",ROUNDUP(IFERROR($K90,0),-2),IF(OR($P90="FY26 provisional",$P90="FY26 secured"),"",0))</f>
        <v/>
      </c>
      <c r="O90" s="98">
        <f>IF($P90="Ready",IF('Rate Inputs'!$F9="","",ROUNDUP(IFERROR($L90,0),-2)),IF(OR($P90="FY26 provisional",$P90="FY26 secured"),"",0))</f>
        <v/>
      </c>
      <c r="P90" s="8" t="inlineStr">
        <is>
          <t>Ready</t>
        </is>
      </c>
      <c r="Q90" s="11" t="n"/>
    </row>
    <row r="91">
      <c r="A91" s="2" t="n">
        <v>4001200751</v>
      </c>
      <c r="B91" s="8">
        <f t="array" ref="B91:E91">_xlfn.XLOOKUP(A91,'Site Register'!A:A,'Site Register'!B:E)</f>
        <v/>
      </c>
      <c r="C91" s="8" t="inlineStr">
        <is>
          <t>Australia</t>
        </is>
      </c>
      <c r="D91" s="8" t="inlineStr">
        <is>
          <t>NSW</t>
        </is>
      </c>
      <c r="E91" s="8" t="inlineStr">
        <is>
          <t>AU Large Electricity</t>
        </is>
      </c>
      <c r="F91" s="8" t="inlineStr">
        <is>
          <t>kWh</t>
        </is>
      </c>
      <c r="G91" s="95" t="n">
        <v>10268531.8</v>
      </c>
      <c r="H91" s="96" t="n">
        <v>46204</v>
      </c>
      <c r="I91" s="96" t="n">
        <v>46934</v>
      </c>
      <c r="J91" s="8" t="inlineStr">
        <is>
          <t>AUD</t>
        </is>
      </c>
      <c r="K91" s="97">
        <f>'Rate Inputs'!E10</f>
        <v/>
      </c>
      <c r="L91" s="97">
        <f>'Rate Inputs'!F10</f>
        <v/>
      </c>
      <c r="M91" s="98">
        <f>IF(OR($P91="Ready",$P91="FY26 provisional",$P91="FY26 secured"),IF($H91&lt;=DATE(2025,7,1),ROUNDUP($K91,-2),IF('Rate Inputs'!$J10="","",ROUNDUP(IF($H91&gt;DATE(2026,6,30),'Rate Inputs'!$J10,'Rate Inputs'!$J10*($H91-DATE(2025,7,1))/365+$K91*(DATE(2026,6,30)-$H91+1)/365),-2))),"")</f>
        <v/>
      </c>
      <c r="N91" s="98">
        <f>IF($P91="Ready",ROUNDUP(IFERROR($K91,0),-2),IF(OR($P91="FY26 provisional",$P91="FY26 secured"),"",0))</f>
        <v/>
      </c>
      <c r="O91" s="98">
        <f>IF($P91="Ready",IF('Rate Inputs'!$F10="","",ROUNDUP(IFERROR($L91,0),-2)),IF(OR($P91="FY26 provisional",$P91="FY26 secured"),"",0))</f>
        <v/>
      </c>
      <c r="P91" s="8" t="inlineStr">
        <is>
          <t>Ready</t>
        </is>
      </c>
      <c r="Q91" s="11" t="n"/>
    </row>
    <row r="92">
      <c r="A92" s="2" t="n">
        <v>4001287259</v>
      </c>
      <c r="B92" s="8">
        <f t="array" ref="B92:E92">_xlfn.XLOOKUP(A92,'Site Register'!A:A,'Site Register'!B:E)</f>
        <v/>
      </c>
      <c r="C92" s="8" t="inlineStr">
        <is>
          <t>Australia</t>
        </is>
      </c>
      <c r="D92" s="8" t="inlineStr">
        <is>
          <t>NSW</t>
        </is>
      </c>
      <c r="E92" s="8" t="inlineStr">
        <is>
          <t>AU Large Electricity</t>
        </is>
      </c>
      <c r="F92" s="8" t="inlineStr">
        <is>
          <t>kWh</t>
        </is>
      </c>
      <c r="G92" s="95" t="n">
        <v>171810.509</v>
      </c>
      <c r="H92" s="96" t="n">
        <v>46204</v>
      </c>
      <c r="I92" s="96" t="n">
        <v>46934</v>
      </c>
      <c r="J92" s="8" t="inlineStr">
        <is>
          <t>AUD</t>
        </is>
      </c>
      <c r="K92" s="97">
        <f>'Rate Inputs'!E13</f>
        <v/>
      </c>
      <c r="L92" s="97">
        <f>'Rate Inputs'!F13</f>
        <v/>
      </c>
      <c r="M92" s="98">
        <f>IF(OR($P92="Ready",$P92="FY26 provisional",$P92="FY26 secured"),IF($H92&lt;=DATE(2025,7,1),ROUNDUP($K92,-2),IF('Rate Inputs'!$J13="","",ROUNDUP(IF($H92&gt;DATE(2026,6,30),'Rate Inputs'!$J13,'Rate Inputs'!$J13*($H92-DATE(2025,7,1))/365+$K92*(DATE(2026,6,30)-$H92+1)/365),-2))),"")</f>
        <v/>
      </c>
      <c r="N92" s="98">
        <f>IF($P92="Ready",ROUNDUP(IFERROR($K92,0),-2),IF(OR($P92="FY26 provisional",$P92="FY26 secured"),"",0))</f>
        <v/>
      </c>
      <c r="O92" s="98">
        <f>IF($P92="Ready",IF('Rate Inputs'!$F13="","",ROUNDUP(IFERROR($L92,0),-2)),IF(OR($P92="FY26 provisional",$P92="FY26 secured"),"",0))</f>
        <v/>
      </c>
      <c r="P92" s="8" t="inlineStr">
        <is>
          <t>Ready</t>
        </is>
      </c>
      <c r="Q92" s="11" t="n"/>
    </row>
    <row r="93">
      <c r="A93" s="2" t="n">
        <v>4103689689</v>
      </c>
      <c r="B93" s="8">
        <f t="array" ref="B93:E93">_xlfn.XLOOKUP(A93,'Site Register'!A:A,'Site Register'!B:E)</f>
        <v/>
      </c>
      <c r="C93" s="8" t="inlineStr">
        <is>
          <t>Australia</t>
        </is>
      </c>
      <c r="D93" s="8" t="inlineStr">
        <is>
          <t>NSW</t>
        </is>
      </c>
      <c r="E93" s="8" t="inlineStr">
        <is>
          <t>AU Large Electricity</t>
        </is>
      </c>
      <c r="F93" s="8" t="inlineStr">
        <is>
          <t>kWh</t>
        </is>
      </c>
      <c r="G93" s="95" t="n">
        <v>143552.12</v>
      </c>
      <c r="H93" s="96" t="n">
        <v>46204</v>
      </c>
      <c r="I93" s="96" t="n">
        <v>46934</v>
      </c>
      <c r="J93" s="8" t="inlineStr">
        <is>
          <t>AUD</t>
        </is>
      </c>
      <c r="K93" s="97">
        <f>'Rate Inputs'!E15</f>
        <v/>
      </c>
      <c r="L93" s="97">
        <f>'Rate Inputs'!F15</f>
        <v/>
      </c>
      <c r="M93" s="98">
        <f>IF(OR($P93="Ready",$P93="FY26 provisional",$P93="FY26 secured"),IF($H93&lt;=DATE(2025,7,1),ROUNDUP($K93,-2),IF('Rate Inputs'!$J15="","",ROUNDUP(IF($H93&gt;DATE(2026,6,30),'Rate Inputs'!$J15,'Rate Inputs'!$J15*($H93-DATE(2025,7,1))/365+$K93*(DATE(2026,6,30)-$H93+1)/365),-2))),"")</f>
        <v/>
      </c>
      <c r="N93" s="98">
        <f>IF($P93="Ready",ROUNDUP(IFERROR($K93,0),-2),IF(OR($P93="FY26 provisional",$P93="FY26 secured"),"",0))</f>
        <v/>
      </c>
      <c r="O93" s="98">
        <f>IF($P93="Ready",IF('Rate Inputs'!$F15="","",ROUNDUP(IFERROR($L93,0),-2)),IF(OR($P93="FY26 provisional",$P93="FY26 secured"),"",0))</f>
        <v/>
      </c>
      <c r="P93" s="8" t="inlineStr">
        <is>
          <t>Ready</t>
        </is>
      </c>
      <c r="Q93" s="11" t="n"/>
    </row>
    <row r="94">
      <c r="A94" s="2" t="n">
        <v>4103705443</v>
      </c>
      <c r="B94" s="8">
        <f t="array" ref="B94:E94">_xlfn.XLOOKUP(A94,'Site Register'!A:A,'Site Register'!B:E)</f>
        <v/>
      </c>
      <c r="C94" s="8" t="inlineStr">
        <is>
          <t>Australia</t>
        </is>
      </c>
      <c r="D94" s="8" t="inlineStr">
        <is>
          <t>NSW</t>
        </is>
      </c>
      <c r="E94" s="8" t="inlineStr">
        <is>
          <t>AU Large Electricity</t>
        </is>
      </c>
      <c r="F94" s="8" t="inlineStr">
        <is>
          <t>kWh</t>
        </is>
      </c>
      <c r="G94" s="95" t="n">
        <v>106397.96</v>
      </c>
      <c r="H94" s="96" t="n">
        <v>46204</v>
      </c>
      <c r="I94" s="96" t="n">
        <v>46934</v>
      </c>
      <c r="J94" s="8" t="inlineStr">
        <is>
          <t>AUD</t>
        </is>
      </c>
      <c r="K94" s="97">
        <f>'Rate Inputs'!E16</f>
        <v/>
      </c>
      <c r="L94" s="97">
        <f>'Rate Inputs'!F16</f>
        <v/>
      </c>
      <c r="M94" s="98">
        <f>IF(OR($P94="Ready",$P94="FY26 provisional",$P94="FY26 secured"),IF($H94&lt;=DATE(2025,7,1),ROUNDUP($K94,-2),IF('Rate Inputs'!$J16="","",ROUNDUP(IF($H94&gt;DATE(2026,6,30),'Rate Inputs'!$J16,'Rate Inputs'!$J16*($H94-DATE(2025,7,1))/365+$K94*(DATE(2026,6,30)-$H94+1)/365),-2))),"")</f>
        <v/>
      </c>
      <c r="N94" s="98">
        <f>IF($P94="Ready",ROUNDUP(IFERROR($K94,0),-2),IF(OR($P94="FY26 provisional",$P94="FY26 secured"),"",0))</f>
        <v/>
      </c>
      <c r="O94" s="98">
        <f>IF($P94="Ready",IF('Rate Inputs'!$F16="","",ROUNDUP(IFERROR($L94,0),-2)),IF(OR($P94="FY26 provisional",$P94="FY26 secured"),"",0))</f>
        <v/>
      </c>
      <c r="P94" s="8" t="inlineStr">
        <is>
          <t>Ready</t>
        </is>
      </c>
      <c r="Q94" s="11" t="n"/>
    </row>
    <row r="95">
      <c r="A95" s="2" t="n">
        <v>4103711576</v>
      </c>
      <c r="B95" s="8">
        <f t="array" ref="B95:E95">_xlfn.XLOOKUP(A95,'Site Register'!A:A,'Site Register'!B:E)</f>
        <v/>
      </c>
      <c r="C95" s="8" t="inlineStr">
        <is>
          <t>Australia</t>
        </is>
      </c>
      <c r="D95" s="8" t="inlineStr">
        <is>
          <t>NSW</t>
        </is>
      </c>
      <c r="E95" s="8" t="inlineStr">
        <is>
          <t>AU Large Electricity</t>
        </is>
      </c>
      <c r="F95" s="8" t="inlineStr">
        <is>
          <t>kWh</t>
        </is>
      </c>
      <c r="G95" s="95" t="n">
        <v>2405011.6</v>
      </c>
      <c r="H95" s="96" t="n">
        <v>46204</v>
      </c>
      <c r="I95" s="96" t="n">
        <v>46934</v>
      </c>
      <c r="J95" s="8" t="inlineStr">
        <is>
          <t>AUD</t>
        </is>
      </c>
      <c r="K95" s="97">
        <f>'Rate Inputs'!E17</f>
        <v/>
      </c>
      <c r="L95" s="97">
        <f>'Rate Inputs'!F17</f>
        <v/>
      </c>
      <c r="M95" s="98">
        <f>IF(OR($P95="Ready",$P95="FY26 provisional",$P95="FY26 secured"),IF($H95&lt;=DATE(2025,7,1),ROUNDUP($K95,-2),IF('Rate Inputs'!$J17="","",ROUNDUP(IF($H95&gt;DATE(2026,6,30),'Rate Inputs'!$J17,'Rate Inputs'!$J17*($H95-DATE(2025,7,1))/365+$K95*(DATE(2026,6,30)-$H95+1)/365),-2))),"")</f>
        <v/>
      </c>
      <c r="N95" s="98">
        <f>IF($P95="Ready",ROUNDUP(IFERROR($K95,0),-2),IF(OR($P95="FY26 provisional",$P95="FY26 secured"),"",0))</f>
        <v/>
      </c>
      <c r="O95" s="98">
        <f>IF($P95="Ready",IF('Rate Inputs'!$F17="","",ROUNDUP(IFERROR($L95,0),-2)),IF(OR($P95="FY26 provisional",$P95="FY26 secured"),"",0))</f>
        <v/>
      </c>
      <c r="P95" s="8" t="inlineStr">
        <is>
          <t>Ready</t>
        </is>
      </c>
      <c r="Q95" s="11" t="n"/>
    </row>
    <row r="96">
      <c r="A96" s="2" t="n">
        <v>4103713125</v>
      </c>
      <c r="B96" s="8">
        <f t="array" ref="B96:E96">_xlfn.XLOOKUP(A96,'Site Register'!A:A,'Site Register'!B:E)</f>
        <v/>
      </c>
      <c r="C96" s="8" t="inlineStr">
        <is>
          <t>Australia</t>
        </is>
      </c>
      <c r="D96" s="8" t="inlineStr">
        <is>
          <t>NSW</t>
        </is>
      </c>
      <c r="E96" s="8" t="inlineStr">
        <is>
          <t>AU Large Electricity</t>
        </is>
      </c>
      <c r="F96" s="8" t="inlineStr">
        <is>
          <t>kWh</t>
        </is>
      </c>
      <c r="G96" s="95" t="n">
        <v>1251891.6</v>
      </c>
      <c r="H96" s="96" t="n">
        <v>46204</v>
      </c>
      <c r="I96" s="96" t="n">
        <v>46934</v>
      </c>
      <c r="J96" s="8" t="inlineStr">
        <is>
          <t>AUD</t>
        </is>
      </c>
      <c r="K96" s="97">
        <f>'Rate Inputs'!E18</f>
        <v/>
      </c>
      <c r="L96" s="97">
        <f>'Rate Inputs'!F18</f>
        <v/>
      </c>
      <c r="M96" s="98">
        <f>IF(OR($P96="Ready",$P96="FY26 provisional",$P96="FY26 secured"),IF($H96&lt;=DATE(2025,7,1),ROUNDUP($K96,-2),IF('Rate Inputs'!$J18="","",ROUNDUP(IF($H96&gt;DATE(2026,6,30),'Rate Inputs'!$J18,'Rate Inputs'!$J18*($H96-DATE(2025,7,1))/365+$K96*(DATE(2026,6,30)-$H96+1)/365),-2))),"")</f>
        <v/>
      </c>
      <c r="N96" s="98">
        <f>IF($P96="Ready",ROUNDUP(IFERROR($K96,0),-2),IF(OR($P96="FY26 provisional",$P96="FY26 secured"),"",0))</f>
        <v/>
      </c>
      <c r="O96" s="98">
        <f>IF($P96="Ready",IF('Rate Inputs'!$F18="","",ROUNDUP(IFERROR($L96,0),-2)),IF(OR($P96="FY26 provisional",$P96="FY26 secured"),"",0))</f>
        <v/>
      </c>
      <c r="P96" s="8" t="inlineStr">
        <is>
          <t>Ready</t>
        </is>
      </c>
      <c r="Q96" s="11" t="n"/>
    </row>
    <row r="97">
      <c r="A97" s="2" t="n">
        <v>4103737079</v>
      </c>
      <c r="B97" s="8">
        <f t="array" ref="B97:E97">_xlfn.XLOOKUP(A97,'Site Register'!A:A,'Site Register'!B:E)</f>
        <v/>
      </c>
      <c r="C97" s="8" t="inlineStr">
        <is>
          <t>Australia</t>
        </is>
      </c>
      <c r="D97" s="8" t="inlineStr">
        <is>
          <t>NSW</t>
        </is>
      </c>
      <c r="E97" s="8" t="inlineStr">
        <is>
          <t>AU Large Electricity</t>
        </is>
      </c>
      <c r="F97" s="8" t="inlineStr">
        <is>
          <t>kWh</t>
        </is>
      </c>
      <c r="G97" s="95" t="n">
        <v>19241.4</v>
      </c>
      <c r="H97" s="96" t="n">
        <v>46204</v>
      </c>
      <c r="I97" s="96" t="n">
        <v>46934</v>
      </c>
      <c r="J97" s="8" t="inlineStr">
        <is>
          <t>AUD</t>
        </is>
      </c>
      <c r="K97" s="97">
        <f>'Rate Inputs'!E19</f>
        <v/>
      </c>
      <c r="L97" s="97">
        <f>'Rate Inputs'!F19</f>
        <v/>
      </c>
      <c r="M97" s="98">
        <f>IF(OR($P97="Ready",$P97="FY26 provisional",$P97="FY26 secured"),IF($H97&lt;=DATE(2025,7,1),ROUNDUP($K97,-2),IF('Rate Inputs'!$J19="","",ROUNDUP(IF($H97&gt;DATE(2026,6,30),'Rate Inputs'!$J19,'Rate Inputs'!$J19*($H97-DATE(2025,7,1))/365+$K97*(DATE(2026,6,30)-$H97+1)/365),-2))),"")</f>
        <v/>
      </c>
      <c r="N97" s="98">
        <f>IF($P97="Ready",ROUNDUP(IFERROR($K97,0),-2),IF(OR($P97="FY26 provisional",$P97="FY26 secured"),"",0))</f>
        <v/>
      </c>
      <c r="O97" s="98">
        <f>IF($P97="Ready",IF('Rate Inputs'!$F19="","",ROUNDUP(IFERROR($L97,0),-2)),IF(OR($P97="FY26 provisional",$P97="FY26 secured"),"",0))</f>
        <v/>
      </c>
      <c r="P97" s="8" t="inlineStr">
        <is>
          <t>Ready</t>
        </is>
      </c>
      <c r="Q97" s="11" t="n"/>
    </row>
    <row r="98">
      <c r="A98" s="2" t="n">
        <v>4103737729</v>
      </c>
      <c r="B98" s="8">
        <f t="array" ref="B98:E98">_xlfn.XLOOKUP(A98,'Site Register'!A:A,'Site Register'!B:E)</f>
        <v/>
      </c>
      <c r="C98" s="8" t="inlineStr">
        <is>
          <t>Australia</t>
        </is>
      </c>
      <c r="D98" s="8" t="inlineStr">
        <is>
          <t>NSW</t>
        </is>
      </c>
      <c r="E98" s="8" t="inlineStr">
        <is>
          <t>AU Large Electricity</t>
        </is>
      </c>
      <c r="F98" s="8" t="inlineStr">
        <is>
          <t>kWh</t>
        </is>
      </c>
      <c r="G98" s="95" t="n">
        <v>13618.63</v>
      </c>
      <c r="H98" s="96" t="n">
        <v>46204</v>
      </c>
      <c r="I98" s="96" t="n">
        <v>46934</v>
      </c>
      <c r="J98" s="8" t="inlineStr">
        <is>
          <t>AUD</t>
        </is>
      </c>
      <c r="K98" s="97">
        <f>'Rate Inputs'!E20</f>
        <v/>
      </c>
      <c r="L98" s="97">
        <f>'Rate Inputs'!F20</f>
        <v/>
      </c>
      <c r="M98" s="98">
        <f>IF(OR($P98="Ready",$P98="FY26 provisional",$P98="FY26 secured"),IF($H98&lt;=DATE(2025,7,1),ROUNDUP($K98,-2),IF('Rate Inputs'!$J20="","",ROUNDUP(IF($H98&gt;DATE(2026,6,30),'Rate Inputs'!$J20,'Rate Inputs'!$J20*($H98-DATE(2025,7,1))/365+$K98*(DATE(2026,6,30)-$H98+1)/365),-2))),"")</f>
        <v/>
      </c>
      <c r="N98" s="98">
        <f>IF($P98="Ready",ROUNDUP(IFERROR($K98,0),-2),IF(OR($P98="FY26 provisional",$P98="FY26 secured"),"",0))</f>
        <v/>
      </c>
      <c r="O98" s="98">
        <f>IF($P98="Ready",IF('Rate Inputs'!$F20="","",ROUNDUP(IFERROR($L98,0),-2)),IF(OR($P98="FY26 provisional",$P98="FY26 secured"),"",0))</f>
        <v/>
      </c>
      <c r="P98" s="8" t="inlineStr">
        <is>
          <t>Ready</t>
        </is>
      </c>
      <c r="Q98" s="11" t="n"/>
    </row>
    <row r="99">
      <c r="A99" s="2" t="n">
        <v>4103742938</v>
      </c>
      <c r="B99" s="8">
        <f t="array" ref="B99:E99">_xlfn.XLOOKUP(A99,'Site Register'!A:A,'Site Register'!B:E)</f>
        <v/>
      </c>
      <c r="C99" s="8" t="inlineStr">
        <is>
          <t>Australia</t>
        </is>
      </c>
      <c r="D99" s="8" t="inlineStr">
        <is>
          <t>NSW</t>
        </is>
      </c>
      <c r="E99" s="8" t="inlineStr">
        <is>
          <t>AU Large Electricity</t>
        </is>
      </c>
      <c r="F99" s="8" t="inlineStr">
        <is>
          <t>kWh</t>
        </is>
      </c>
      <c r="G99" s="95" t="n">
        <v>105623.45</v>
      </c>
      <c r="H99" s="96" t="n">
        <v>46204</v>
      </c>
      <c r="I99" s="96" t="n">
        <v>46934</v>
      </c>
      <c r="J99" s="8" t="inlineStr">
        <is>
          <t>AUD</t>
        </is>
      </c>
      <c r="K99" s="97">
        <f>'Rate Inputs'!E21</f>
        <v/>
      </c>
      <c r="L99" s="97">
        <f>'Rate Inputs'!F21</f>
        <v/>
      </c>
      <c r="M99" s="98">
        <f>IF(OR($P99="Ready",$P99="FY26 provisional",$P99="FY26 secured"),IF($H99&lt;=DATE(2025,7,1),ROUNDUP($K99,-2),IF('Rate Inputs'!$J21="","",ROUNDUP(IF($H99&gt;DATE(2026,6,30),'Rate Inputs'!$J21,'Rate Inputs'!$J21*($H99-DATE(2025,7,1))/365+$K99*(DATE(2026,6,30)-$H99+1)/365),-2))),"")</f>
        <v/>
      </c>
      <c r="N99" s="98">
        <f>IF($P99="Ready",ROUNDUP(IFERROR($K99,0),-2),IF(OR($P99="FY26 provisional",$P99="FY26 secured"),"",0))</f>
        <v/>
      </c>
      <c r="O99" s="98">
        <f>IF($P99="Ready",IF('Rate Inputs'!$F21="","",ROUNDUP(IFERROR($L99,0),-2)),IF(OR($P99="FY26 provisional",$P99="FY26 secured"),"",0))</f>
        <v/>
      </c>
      <c r="P99" s="8" t="inlineStr">
        <is>
          <t>Ready</t>
        </is>
      </c>
      <c r="Q99" s="11" t="n"/>
    </row>
    <row r="100">
      <c r="A100" s="2" t="n">
        <v>4103742939</v>
      </c>
      <c r="B100" s="8">
        <f t="array" ref="B100:E100">_xlfn.XLOOKUP(A100,'Site Register'!A:A,'Site Register'!B:E)</f>
        <v/>
      </c>
      <c r="C100" s="8" t="inlineStr">
        <is>
          <t>Australia</t>
        </is>
      </c>
      <c r="D100" s="8" t="inlineStr">
        <is>
          <t>NSW</t>
        </is>
      </c>
      <c r="E100" s="8" t="inlineStr">
        <is>
          <t>AU Large Electricity</t>
        </is>
      </c>
      <c r="F100" s="8" t="inlineStr">
        <is>
          <t>kWh</t>
        </is>
      </c>
      <c r="G100" s="95" t="n">
        <v>81857.79999999999</v>
      </c>
      <c r="H100" s="96" t="n">
        <v>46204</v>
      </c>
      <c r="I100" s="96" t="n">
        <v>46934</v>
      </c>
      <c r="J100" s="8" t="inlineStr">
        <is>
          <t>AUD</t>
        </is>
      </c>
      <c r="K100" s="97">
        <f>'Rate Inputs'!E22</f>
        <v/>
      </c>
      <c r="L100" s="97">
        <f>'Rate Inputs'!F22</f>
        <v/>
      </c>
      <c r="M100" s="98">
        <f>IF(OR($P100="Ready",$P100="FY26 provisional",$P100="FY26 secured"),IF($H100&lt;=DATE(2025,7,1),ROUNDUP($K100,-2),IF('Rate Inputs'!$J22="","",ROUNDUP(IF($H100&gt;DATE(2026,6,30),'Rate Inputs'!$J22,'Rate Inputs'!$J22*($H100-DATE(2025,7,1))/365+$K100*(DATE(2026,6,30)-$H100+1)/365),-2))),"")</f>
        <v/>
      </c>
      <c r="N100" s="98">
        <f>IF($P100="Ready",ROUNDUP(IFERROR($K100,0),-2),IF(OR($P100="FY26 provisional",$P100="FY26 secured"),"",0))</f>
        <v/>
      </c>
      <c r="O100" s="98">
        <f>IF($P100="Ready",IF('Rate Inputs'!$F22="","",ROUNDUP(IFERROR($L100,0),-2)),IF(OR($P100="FY26 provisional",$P100="FY26 secured"),"",0))</f>
        <v/>
      </c>
      <c r="P100" s="8" t="inlineStr">
        <is>
          <t>Ready</t>
        </is>
      </c>
      <c r="Q100" s="11" t="n"/>
    </row>
    <row r="101">
      <c r="A101" s="2" t="n">
        <v>4103742940</v>
      </c>
      <c r="B101" s="8">
        <f t="array" ref="B101:E101">_xlfn.XLOOKUP(A101,'Site Register'!A:A,'Site Register'!B:E)</f>
        <v/>
      </c>
      <c r="C101" s="8" t="inlineStr">
        <is>
          <t>Australia</t>
        </is>
      </c>
      <c r="D101" s="8" t="inlineStr">
        <is>
          <t>NSW</t>
        </is>
      </c>
      <c r="E101" s="8" t="inlineStr">
        <is>
          <t>AU Large Electricity</t>
        </is>
      </c>
      <c r="F101" s="8" t="inlineStr">
        <is>
          <t>kWh</t>
        </is>
      </c>
      <c r="G101" s="95" t="n">
        <v>90701.86</v>
      </c>
      <c r="H101" s="96" t="n">
        <v>46204</v>
      </c>
      <c r="I101" s="96" t="n">
        <v>46934</v>
      </c>
      <c r="J101" s="8" t="inlineStr">
        <is>
          <t>AUD</t>
        </is>
      </c>
      <c r="K101" s="97">
        <f>'Rate Inputs'!E23</f>
        <v/>
      </c>
      <c r="L101" s="97">
        <f>'Rate Inputs'!F23</f>
        <v/>
      </c>
      <c r="M101" s="98">
        <f>IF(OR($P101="Ready",$P101="FY26 provisional",$P101="FY26 secured"),IF($H101&lt;=DATE(2025,7,1),ROUNDUP($K101,-2),IF('Rate Inputs'!$J23="","",ROUNDUP(IF($H101&gt;DATE(2026,6,30),'Rate Inputs'!$J23,'Rate Inputs'!$J23*($H101-DATE(2025,7,1))/365+$K101*(DATE(2026,6,30)-$H101+1)/365),-2))),"")</f>
        <v/>
      </c>
      <c r="N101" s="98">
        <f>IF($P101="Ready",ROUNDUP(IFERROR($K101,0),-2),IF(OR($P101="FY26 provisional",$P101="FY26 secured"),"",0))</f>
        <v/>
      </c>
      <c r="O101" s="98">
        <f>IF($P101="Ready",IF('Rate Inputs'!$F23="","",ROUNDUP(IFERROR($L101,0),-2)),IF(OR($P101="FY26 provisional",$P101="FY26 secured"),"",0))</f>
        <v/>
      </c>
      <c r="P101" s="8" t="inlineStr">
        <is>
          <t>Ready</t>
        </is>
      </c>
      <c r="Q101" s="11" t="n"/>
    </row>
    <row r="102">
      <c r="A102" s="2" t="n">
        <v>4103759848</v>
      </c>
      <c r="B102" s="8">
        <f t="array" ref="B102:E102">_xlfn.XLOOKUP(A102,'Site Register'!A:A,'Site Register'!B:E)</f>
        <v/>
      </c>
      <c r="C102" s="8" t="inlineStr">
        <is>
          <t>Australia</t>
        </is>
      </c>
      <c r="D102" s="8" t="inlineStr">
        <is>
          <t>NSW</t>
        </is>
      </c>
      <c r="E102" s="8" t="inlineStr">
        <is>
          <t>AU Large Electricity</t>
        </is>
      </c>
      <c r="F102" s="8" t="inlineStr">
        <is>
          <t>kWh</t>
        </is>
      </c>
      <c r="G102" s="95" t="n">
        <v>102767.91</v>
      </c>
      <c r="H102" s="96" t="n">
        <v>46204</v>
      </c>
      <c r="I102" s="96" t="n">
        <v>46934</v>
      </c>
      <c r="J102" s="8" t="inlineStr">
        <is>
          <t>AUD</t>
        </is>
      </c>
      <c r="K102" s="97">
        <f>'Rate Inputs'!E24</f>
        <v/>
      </c>
      <c r="L102" s="97">
        <f>'Rate Inputs'!F24</f>
        <v/>
      </c>
      <c r="M102" s="98">
        <f>IF(OR($P102="Ready",$P102="FY26 provisional",$P102="FY26 secured"),IF($H102&lt;=DATE(2025,7,1),ROUNDUP($K102,-2),IF('Rate Inputs'!$J24="","",ROUNDUP(IF($H102&gt;DATE(2026,6,30),'Rate Inputs'!$J24,'Rate Inputs'!$J24*($H102-DATE(2025,7,1))/365+$K102*(DATE(2026,6,30)-$H102+1)/365),-2))),"")</f>
        <v/>
      </c>
      <c r="N102" s="98">
        <f>IF($P102="Ready",ROUNDUP(IFERROR($K102,0),-2),IF(OR($P102="FY26 provisional",$P102="FY26 secured"),"",0))</f>
        <v/>
      </c>
      <c r="O102" s="98">
        <f>IF($P102="Ready",IF('Rate Inputs'!$F24="","",ROUNDUP(IFERROR($L102,0),-2)),IF(OR($P102="FY26 provisional",$P102="FY26 secured"),"",0))</f>
        <v/>
      </c>
      <c r="P102" s="8" t="inlineStr">
        <is>
          <t>Ready</t>
        </is>
      </c>
      <c r="Q102" s="11" t="n"/>
    </row>
    <row r="103">
      <c r="A103" s="2" t="n">
        <v>4103759849</v>
      </c>
      <c r="B103" s="8">
        <f t="array" ref="B103:E103">_xlfn.XLOOKUP(A103,'Site Register'!A:A,'Site Register'!B:E)</f>
        <v/>
      </c>
      <c r="C103" s="8" t="inlineStr">
        <is>
          <t>Australia</t>
        </is>
      </c>
      <c r="D103" s="8" t="inlineStr">
        <is>
          <t>NSW</t>
        </is>
      </c>
      <c r="E103" s="8" t="inlineStr">
        <is>
          <t>AU Large Electricity</t>
        </is>
      </c>
      <c r="F103" s="8" t="inlineStr">
        <is>
          <t>kWh</t>
        </is>
      </c>
      <c r="G103" s="95" t="n">
        <v>94304.33000000002</v>
      </c>
      <c r="H103" s="96" t="n">
        <v>46204</v>
      </c>
      <c r="I103" s="96" t="n">
        <v>46934</v>
      </c>
      <c r="J103" s="8" t="inlineStr">
        <is>
          <t>AUD</t>
        </is>
      </c>
      <c r="K103" s="97">
        <f>'Rate Inputs'!E25</f>
        <v/>
      </c>
      <c r="L103" s="97">
        <f>'Rate Inputs'!F25</f>
        <v/>
      </c>
      <c r="M103" s="98">
        <f>IF(OR($P103="Ready",$P103="FY26 provisional",$P103="FY26 secured"),IF($H103&lt;=DATE(2025,7,1),ROUNDUP($K103,-2),IF('Rate Inputs'!$J25="","",ROUNDUP(IF($H103&gt;DATE(2026,6,30),'Rate Inputs'!$J25,'Rate Inputs'!$J25*($H103-DATE(2025,7,1))/365+$K103*(DATE(2026,6,30)-$H103+1)/365),-2))),"")</f>
        <v/>
      </c>
      <c r="N103" s="98">
        <f>IF($P103="Ready",ROUNDUP(IFERROR($K103,0),-2),IF(OR($P103="FY26 provisional",$P103="FY26 secured"),"",0))</f>
        <v/>
      </c>
      <c r="O103" s="98">
        <f>IF($P103="Ready",IF('Rate Inputs'!$F25="","",ROUNDUP(IFERROR($L103,0),-2)),IF(OR($P103="FY26 provisional",$P103="FY26 secured"),"",0))</f>
        <v/>
      </c>
      <c r="P103" s="8" t="inlineStr">
        <is>
          <t>Ready</t>
        </is>
      </c>
      <c r="Q103" s="11" t="n"/>
    </row>
    <row r="104">
      <c r="A104" s="2" t="n">
        <v>4103766552</v>
      </c>
      <c r="B104" s="8">
        <f t="array" ref="B104:E104">_xlfn.XLOOKUP(A104,'Site Register'!A:A,'Site Register'!B:E)</f>
        <v/>
      </c>
      <c r="C104" s="8" t="inlineStr">
        <is>
          <t>Australia</t>
        </is>
      </c>
      <c r="D104" s="8" t="inlineStr">
        <is>
          <t>NSW</t>
        </is>
      </c>
      <c r="E104" s="8" t="inlineStr">
        <is>
          <t>AU Large Electricity</t>
        </is>
      </c>
      <c r="F104" s="8" t="inlineStr">
        <is>
          <t>kWh</t>
        </is>
      </c>
      <c r="G104" s="95" t="n">
        <v>224019.81</v>
      </c>
      <c r="H104" s="96" t="n">
        <v>46204</v>
      </c>
      <c r="I104" s="96" t="n">
        <v>46934</v>
      </c>
      <c r="J104" s="8" t="inlineStr">
        <is>
          <t>AUD</t>
        </is>
      </c>
      <c r="K104" s="97">
        <f>'Rate Inputs'!E26</f>
        <v/>
      </c>
      <c r="L104" s="97">
        <f>'Rate Inputs'!F26</f>
        <v/>
      </c>
      <c r="M104" s="98">
        <f>IF(OR($P104="Ready",$P104="FY26 provisional",$P104="FY26 secured"),IF($H104&lt;=DATE(2025,7,1),ROUNDUP($K104,-2),IF('Rate Inputs'!$J26="","",ROUNDUP(IF($H104&gt;DATE(2026,6,30),'Rate Inputs'!$J26,'Rate Inputs'!$J26*($H104-DATE(2025,7,1))/365+$K104*(DATE(2026,6,30)-$H104+1)/365),-2))),"")</f>
        <v/>
      </c>
      <c r="N104" s="98">
        <f>IF($P104="Ready",ROUNDUP(IFERROR($K104,0),-2),IF(OR($P104="FY26 provisional",$P104="FY26 secured"),"",0))</f>
        <v/>
      </c>
      <c r="O104" s="98">
        <f>IF($P104="Ready",IF('Rate Inputs'!$F26="","",ROUNDUP(IFERROR($L104,0),-2)),IF(OR($P104="FY26 provisional",$P104="FY26 secured"),"",0))</f>
        <v/>
      </c>
      <c r="P104" s="8" t="inlineStr">
        <is>
          <t>Ready</t>
        </is>
      </c>
      <c r="Q104" s="11" t="n"/>
    </row>
    <row r="105">
      <c r="A105" s="2" t="n">
        <v>4103803680</v>
      </c>
      <c r="B105" s="8">
        <f t="array" ref="B105:E105">_xlfn.XLOOKUP(A105,'Site Register'!A:A,'Site Register'!B:E)</f>
        <v/>
      </c>
      <c r="C105" s="8" t="inlineStr">
        <is>
          <t>Australia</t>
        </is>
      </c>
      <c r="D105" s="8" t="inlineStr">
        <is>
          <t>NSW</t>
        </is>
      </c>
      <c r="E105" s="8" t="inlineStr">
        <is>
          <t>AU Large Electricity</t>
        </is>
      </c>
      <c r="F105" s="8" t="inlineStr">
        <is>
          <t>kWh</t>
        </is>
      </c>
      <c r="G105" s="95" t="n">
        <v>346471.81</v>
      </c>
      <c r="H105" s="96" t="n">
        <v>46204</v>
      </c>
      <c r="I105" s="96" t="n">
        <v>46934</v>
      </c>
      <c r="J105" s="8" t="inlineStr">
        <is>
          <t>AUD</t>
        </is>
      </c>
      <c r="K105" s="97">
        <f>'Rate Inputs'!E27</f>
        <v/>
      </c>
      <c r="L105" s="97">
        <f>'Rate Inputs'!F27</f>
        <v/>
      </c>
      <c r="M105" s="98">
        <f>IF(OR($P105="Ready",$P105="FY26 provisional",$P105="FY26 secured"),IF($H105&lt;=DATE(2025,7,1),ROUNDUP($K105,-2),IF('Rate Inputs'!$J27="","",ROUNDUP(IF($H105&gt;DATE(2026,6,30),'Rate Inputs'!$J27,'Rate Inputs'!$J27*($H105-DATE(2025,7,1))/365+$K105*(DATE(2026,6,30)-$H105+1)/365),-2))),"")</f>
        <v/>
      </c>
      <c r="N105" s="98">
        <f>IF($P105="Ready",ROUNDUP(IFERROR($K105,0),-2),IF(OR($P105="FY26 provisional",$P105="FY26 secured"),"",0))</f>
        <v/>
      </c>
      <c r="O105" s="98">
        <f>IF($P105="Ready",IF('Rate Inputs'!$F27="","",ROUNDUP(IFERROR($L105,0),-2)),IF(OR($P105="FY26 provisional",$P105="FY26 secured"),"",0))</f>
        <v/>
      </c>
      <c r="P105" s="8" t="inlineStr">
        <is>
          <t>Ready</t>
        </is>
      </c>
      <c r="Q105" s="11" t="n"/>
    </row>
    <row r="106">
      <c r="A106" s="2" t="n">
        <v>4103927804</v>
      </c>
      <c r="B106" s="8">
        <f t="array" ref="B106:E106">_xlfn.XLOOKUP(A106,'Site Register'!A:A,'Site Register'!B:E)</f>
        <v/>
      </c>
      <c r="C106" s="8" t="inlineStr">
        <is>
          <t>Australia</t>
        </is>
      </c>
      <c r="D106" s="8" t="inlineStr">
        <is>
          <t>NSW</t>
        </is>
      </c>
      <c r="E106" s="8" t="inlineStr">
        <is>
          <t>AU Large Electricity</t>
        </is>
      </c>
      <c r="F106" s="8" t="inlineStr">
        <is>
          <t>kWh</t>
        </is>
      </c>
      <c r="G106" s="95" t="n">
        <v>3094734.32</v>
      </c>
      <c r="H106" s="96" t="n">
        <v>46204</v>
      </c>
      <c r="I106" s="96" t="n">
        <v>46934</v>
      </c>
      <c r="J106" s="8" t="inlineStr">
        <is>
          <t>AUD</t>
        </is>
      </c>
      <c r="K106" s="97">
        <f>'Rate Inputs'!E28</f>
        <v/>
      </c>
      <c r="L106" s="97">
        <f>'Rate Inputs'!F28</f>
        <v/>
      </c>
      <c r="M106" s="98">
        <f>IF(OR($P106="Ready",$P106="FY26 provisional",$P106="FY26 secured"),IF($H106&lt;=DATE(2025,7,1),ROUNDUP($K106,-2),IF('Rate Inputs'!$J28="","",ROUNDUP(IF($H106&gt;DATE(2026,6,30),'Rate Inputs'!$J28,'Rate Inputs'!$J28*($H106-DATE(2025,7,1))/365+$K106*(DATE(2026,6,30)-$H106+1)/365),-2))),"")</f>
        <v/>
      </c>
      <c r="N106" s="98">
        <f>IF($P106="Ready",ROUNDUP(IFERROR($K106,0),-2),IF(OR($P106="FY26 provisional",$P106="FY26 secured"),"",0))</f>
        <v/>
      </c>
      <c r="O106" s="98">
        <f>IF($P106="Ready",IF('Rate Inputs'!$F28="","",ROUNDUP(IFERROR($L106,0),-2)),IF(OR($P106="FY26 provisional",$P106="FY26 secured"),"",0))</f>
        <v/>
      </c>
      <c r="P106" s="8" t="inlineStr">
        <is>
          <t>Ready</t>
        </is>
      </c>
      <c r="Q106" s="11" t="n"/>
    </row>
    <row r="107">
      <c r="A107" s="2" t="n">
        <v>4103927806</v>
      </c>
      <c r="B107" s="8">
        <f t="array" ref="B107:E107">_xlfn.XLOOKUP(A107,'Site Register'!A:A,'Site Register'!B:E)</f>
        <v/>
      </c>
      <c r="C107" s="8" t="inlineStr">
        <is>
          <t>Australia</t>
        </is>
      </c>
      <c r="D107" s="8" t="inlineStr">
        <is>
          <t>NSW</t>
        </is>
      </c>
      <c r="E107" s="8" t="inlineStr">
        <is>
          <t>AU Large Electricity</t>
        </is>
      </c>
      <c r="F107" s="8" t="inlineStr">
        <is>
          <t>kWh</t>
        </is>
      </c>
      <c r="G107" s="95" t="n">
        <v>4948634.311999999</v>
      </c>
      <c r="H107" s="96" t="n">
        <v>46204</v>
      </c>
      <c r="I107" s="96" t="n">
        <v>46934</v>
      </c>
      <c r="J107" s="8" t="inlineStr">
        <is>
          <t>AUD</t>
        </is>
      </c>
      <c r="K107" s="97">
        <f>'Rate Inputs'!E29</f>
        <v/>
      </c>
      <c r="L107" s="97">
        <f>'Rate Inputs'!F29</f>
        <v/>
      </c>
      <c r="M107" s="98">
        <f>IF(OR($P107="Ready",$P107="FY26 provisional",$P107="FY26 secured"),IF($H107&lt;=DATE(2025,7,1),ROUNDUP($K107,-2),IF('Rate Inputs'!$J29="","",ROUNDUP(IF($H107&gt;DATE(2026,6,30),'Rate Inputs'!$J29,'Rate Inputs'!$J29*($H107-DATE(2025,7,1))/365+$K107*(DATE(2026,6,30)-$H107+1)/365),-2))),"")</f>
        <v/>
      </c>
      <c r="N107" s="98">
        <f>IF($P107="Ready",ROUNDUP(IFERROR($K107,0),-2),IF(OR($P107="FY26 provisional",$P107="FY26 secured"),"",0))</f>
        <v/>
      </c>
      <c r="O107" s="98">
        <f>IF($P107="Ready",IF('Rate Inputs'!$F29="","",ROUNDUP(IFERROR($L107,0),-2)),IF(OR($P107="FY26 provisional",$P107="FY26 secured"),"",0))</f>
        <v/>
      </c>
      <c r="P107" s="8" t="inlineStr">
        <is>
          <t>Ready</t>
        </is>
      </c>
      <c r="Q107" s="11" t="n"/>
    </row>
    <row r="108">
      <c r="A108" s="2" t="n">
        <v>4103927808</v>
      </c>
      <c r="B108" s="8">
        <f t="array" ref="B108:E108">_xlfn.XLOOKUP(A108,'Site Register'!A:A,'Site Register'!B:E)</f>
        <v/>
      </c>
      <c r="C108" s="8" t="inlineStr">
        <is>
          <t>Australia</t>
        </is>
      </c>
      <c r="D108" s="8" t="inlineStr">
        <is>
          <t>NSW</t>
        </is>
      </c>
      <c r="E108" s="8" t="inlineStr">
        <is>
          <t>AU Large Electricity</t>
        </is>
      </c>
      <c r="F108" s="8" t="inlineStr">
        <is>
          <t>kWh</t>
        </is>
      </c>
      <c r="G108" s="95" t="n">
        <v>2401931.455</v>
      </c>
      <c r="H108" s="96" t="n">
        <v>46204</v>
      </c>
      <c r="I108" s="96" t="n">
        <v>46934</v>
      </c>
      <c r="J108" s="8" t="inlineStr">
        <is>
          <t>AUD</t>
        </is>
      </c>
      <c r="K108" s="97">
        <f>'Rate Inputs'!E30</f>
        <v/>
      </c>
      <c r="L108" s="97">
        <f>'Rate Inputs'!F30</f>
        <v/>
      </c>
      <c r="M108" s="98">
        <f>IF(OR($P108="Ready",$P108="FY26 provisional",$P108="FY26 secured"),IF($H108&lt;=DATE(2025,7,1),ROUNDUP($K108,-2),IF('Rate Inputs'!$J30="","",ROUNDUP(IF($H108&gt;DATE(2026,6,30),'Rate Inputs'!$J30,'Rate Inputs'!$J30*($H108-DATE(2025,7,1))/365+$K108*(DATE(2026,6,30)-$H108+1)/365),-2))),"")</f>
        <v/>
      </c>
      <c r="N108" s="98">
        <f>IF($P108="Ready",ROUNDUP(IFERROR($K108,0),-2),IF(OR($P108="FY26 provisional",$P108="FY26 secured"),"",0))</f>
        <v/>
      </c>
      <c r="O108" s="98">
        <f>IF($P108="Ready",IF('Rate Inputs'!$F30="","",ROUNDUP(IFERROR($L108,0),-2)),IF(OR($P108="FY26 provisional",$P108="FY26 secured"),"",0))</f>
        <v/>
      </c>
      <c r="P108" s="8" t="inlineStr">
        <is>
          <t>Ready</t>
        </is>
      </c>
      <c r="Q108" s="11" t="n"/>
    </row>
    <row r="109">
      <c r="A109" s="2" t="n">
        <v>4103927809</v>
      </c>
      <c r="B109" s="8">
        <f t="array" ref="B109:E109">_xlfn.XLOOKUP(A109,'Site Register'!A:A,'Site Register'!B:E)</f>
        <v/>
      </c>
      <c r="C109" s="8" t="inlineStr">
        <is>
          <t>Australia</t>
        </is>
      </c>
      <c r="D109" s="8" t="inlineStr">
        <is>
          <t>NSW</t>
        </is>
      </c>
      <c r="E109" s="8" t="inlineStr">
        <is>
          <t>AU Large Electricity</t>
        </is>
      </c>
      <c r="F109" s="8" t="inlineStr">
        <is>
          <t>kWh</t>
        </is>
      </c>
      <c r="G109" s="95" t="n">
        <v>2847633.482000001</v>
      </c>
      <c r="H109" s="96" t="n">
        <v>46204</v>
      </c>
      <c r="I109" s="96" t="n">
        <v>46934</v>
      </c>
      <c r="J109" s="8" t="inlineStr">
        <is>
          <t>AUD</t>
        </is>
      </c>
      <c r="K109" s="97">
        <f>'Rate Inputs'!E31</f>
        <v/>
      </c>
      <c r="L109" s="97">
        <f>'Rate Inputs'!F31</f>
        <v/>
      </c>
      <c r="M109" s="98">
        <f>IF(OR($P109="Ready",$P109="FY26 provisional",$P109="FY26 secured"),IF($H109&lt;=DATE(2025,7,1),ROUNDUP($K109,-2),IF('Rate Inputs'!$J31="","",ROUNDUP(IF($H109&gt;DATE(2026,6,30),'Rate Inputs'!$J31,'Rate Inputs'!$J31*($H109-DATE(2025,7,1))/365+$K109*(DATE(2026,6,30)-$H109+1)/365),-2))),"")</f>
        <v/>
      </c>
      <c r="N109" s="98">
        <f>IF($P109="Ready",ROUNDUP(IFERROR($K109,0),-2),IF(OR($P109="FY26 provisional",$P109="FY26 secured"),"",0))</f>
        <v/>
      </c>
      <c r="O109" s="98">
        <f>IF($P109="Ready",IF('Rate Inputs'!$F31="","",ROUNDUP(IFERROR($L109,0),-2)),IF(OR($P109="FY26 provisional",$P109="FY26 secured"),"",0))</f>
        <v/>
      </c>
      <c r="P109" s="8" t="inlineStr">
        <is>
          <t>Ready</t>
        </is>
      </c>
      <c r="Q109" s="11" t="n"/>
    </row>
    <row r="110">
      <c r="A110" s="2" t="n">
        <v>4104030101</v>
      </c>
      <c r="B110" s="8">
        <f t="array" ref="B110:E110">_xlfn.XLOOKUP(A110,'Site Register'!A:A,'Site Register'!B:E)</f>
        <v/>
      </c>
      <c r="C110" s="8" t="inlineStr">
        <is>
          <t>Australia</t>
        </is>
      </c>
      <c r="D110" s="8" t="inlineStr">
        <is>
          <t>NSW</t>
        </is>
      </c>
      <c r="E110" s="8" t="inlineStr">
        <is>
          <t>AU Large Electricity</t>
        </is>
      </c>
      <c r="F110" s="8" t="inlineStr">
        <is>
          <t>kWh</t>
        </is>
      </c>
      <c r="G110" s="95" t="n">
        <v>687204.96</v>
      </c>
      <c r="H110" s="96" t="n">
        <v>46204</v>
      </c>
      <c r="I110" s="96" t="n">
        <v>46934</v>
      </c>
      <c r="J110" s="8" t="inlineStr">
        <is>
          <t>AUD</t>
        </is>
      </c>
      <c r="K110" s="97">
        <f>'Rate Inputs'!E32</f>
        <v/>
      </c>
      <c r="L110" s="97">
        <f>'Rate Inputs'!F32</f>
        <v/>
      </c>
      <c r="M110" s="98">
        <f>IF(OR($P110="Ready",$P110="FY26 provisional",$P110="FY26 secured"),IF($H110&lt;=DATE(2025,7,1),ROUNDUP($K110,-2),IF('Rate Inputs'!$J32="","",ROUNDUP(IF($H110&gt;DATE(2026,6,30),'Rate Inputs'!$J32,'Rate Inputs'!$J32*($H110-DATE(2025,7,1))/365+$K110*(DATE(2026,6,30)-$H110+1)/365),-2))),"")</f>
        <v/>
      </c>
      <c r="N110" s="98">
        <f>IF($P110="Ready",ROUNDUP(IFERROR($K110,0),-2),IF(OR($P110="FY26 provisional",$P110="FY26 secured"),"",0))</f>
        <v/>
      </c>
      <c r="O110" s="98">
        <f>IF($P110="Ready",IF('Rate Inputs'!$F32="","",ROUNDUP(IFERROR($L110,0),-2)),IF(OR($P110="FY26 provisional",$P110="FY26 secured"),"",0))</f>
        <v/>
      </c>
      <c r="P110" s="8" t="inlineStr">
        <is>
          <t>Ready</t>
        </is>
      </c>
      <c r="Q110" s="11" t="n"/>
    </row>
    <row r="111">
      <c r="A111" s="2" t="n">
        <v>4204072845</v>
      </c>
      <c r="B111" s="8">
        <f t="array" ref="B111:E111">_xlfn.XLOOKUP(A111,'Site Register'!A:A,'Site Register'!B:E)</f>
        <v/>
      </c>
      <c r="C111" s="8" t="inlineStr">
        <is>
          <t>Australia</t>
        </is>
      </c>
      <c r="D111" s="8" t="inlineStr">
        <is>
          <t>NSW</t>
        </is>
      </c>
      <c r="E111" s="8" t="inlineStr">
        <is>
          <t>AU Large Electricity</t>
        </is>
      </c>
      <c r="F111" s="8" t="inlineStr">
        <is>
          <t>kWh</t>
        </is>
      </c>
      <c r="G111" s="95" t="n">
        <v>377879.64</v>
      </c>
      <c r="H111" s="96" t="n">
        <v>46204</v>
      </c>
      <c r="I111" s="96" t="n">
        <v>46934</v>
      </c>
      <c r="J111" s="8" t="inlineStr">
        <is>
          <t>AUD</t>
        </is>
      </c>
      <c r="K111" s="97">
        <f>'Rate Inputs'!E34</f>
        <v/>
      </c>
      <c r="L111" s="97">
        <f>'Rate Inputs'!F34</f>
        <v/>
      </c>
      <c r="M111" s="98">
        <f>IF(OR($P111="Ready",$P111="FY26 provisional",$P111="FY26 secured"),IF($H111&lt;=DATE(2025,7,1),ROUNDUP($K111,-2),IF('Rate Inputs'!$J34="","",ROUNDUP(IF($H111&gt;DATE(2026,6,30),'Rate Inputs'!$J34,'Rate Inputs'!$J34*($H111-DATE(2025,7,1))/365+$K111*(DATE(2026,6,30)-$H111+1)/365),-2))),"")</f>
        <v/>
      </c>
      <c r="N111" s="98">
        <f>IF($P111="Ready",ROUNDUP(IFERROR($K111,0),-2),IF(OR($P111="FY26 provisional",$P111="FY26 secured"),"",0))</f>
        <v/>
      </c>
      <c r="O111" s="98">
        <f>IF($P111="Ready",IF('Rate Inputs'!$F34="","",ROUNDUP(IFERROR($L111,0),-2)),IF(OR($P111="FY26 provisional",$P111="FY26 secured"),"",0))</f>
        <v/>
      </c>
      <c r="P111" s="8" t="inlineStr">
        <is>
          <t>Ready</t>
        </is>
      </c>
      <c r="Q111" s="11" t="n"/>
    </row>
    <row r="112">
      <c r="A112" s="2" t="n">
        <v>4310934278</v>
      </c>
      <c r="B112" s="8">
        <f t="array" ref="B112:E112">_xlfn.XLOOKUP(A112,'Site Register'!A:A,'Site Register'!B:E)</f>
        <v/>
      </c>
      <c r="C112" s="8" t="inlineStr">
        <is>
          <t>Australia</t>
        </is>
      </c>
      <c r="D112" s="8" t="inlineStr">
        <is>
          <t>NSW</t>
        </is>
      </c>
      <c r="E112" s="8" t="inlineStr">
        <is>
          <t>AU Large Electricity</t>
        </is>
      </c>
      <c r="F112" s="8" t="inlineStr">
        <is>
          <t>kWh</t>
        </is>
      </c>
      <c r="G112" s="95" t="n">
        <v>210805.16</v>
      </c>
      <c r="H112" s="96" t="n">
        <v>46204</v>
      </c>
      <c r="I112" s="96" t="n">
        <v>46934</v>
      </c>
      <c r="J112" s="8" t="inlineStr">
        <is>
          <t>AUD</t>
        </is>
      </c>
      <c r="K112" s="97">
        <f>'Rate Inputs'!E37</f>
        <v/>
      </c>
      <c r="L112" s="97">
        <f>'Rate Inputs'!F37</f>
        <v/>
      </c>
      <c r="M112" s="98">
        <f>IF(OR($P112="Ready",$P112="FY26 provisional",$P112="FY26 secured"),IF($H112&lt;=DATE(2025,7,1),ROUNDUP($K112,-2),IF('Rate Inputs'!$J37="","",ROUNDUP(IF($H112&gt;DATE(2026,6,30),'Rate Inputs'!$J37,'Rate Inputs'!$J37*($H112-DATE(2025,7,1))/365+$K112*(DATE(2026,6,30)-$H112+1)/365),-2))),"")</f>
        <v/>
      </c>
      <c r="N112" s="98">
        <f>IF($P112="Ready",ROUNDUP(IFERROR($K112,0),-2),IF(OR($P112="FY26 provisional",$P112="FY26 secured"),"",0))</f>
        <v/>
      </c>
      <c r="O112" s="98">
        <f>IF($P112="Ready",IF('Rate Inputs'!$F37="","",ROUNDUP(IFERROR($L112,0),-2)),IF(OR($P112="FY26 provisional",$P112="FY26 secured"),"",0))</f>
        <v/>
      </c>
      <c r="P112" s="8" t="inlineStr">
        <is>
          <t>Ready</t>
        </is>
      </c>
      <c r="Q112" s="11" t="n"/>
    </row>
    <row r="113">
      <c r="A113" s="2" t="n">
        <v>4310938258</v>
      </c>
      <c r="B113" s="8">
        <f t="array" ref="B113:E113">_xlfn.XLOOKUP(A113,'Site Register'!A:A,'Site Register'!B:E)</f>
        <v/>
      </c>
      <c r="C113" s="8" t="inlineStr">
        <is>
          <t>Australia</t>
        </is>
      </c>
      <c r="D113" s="8" t="inlineStr">
        <is>
          <t>NSW</t>
        </is>
      </c>
      <c r="E113" s="8" t="inlineStr">
        <is>
          <t>AU Large Electricity</t>
        </is>
      </c>
      <c r="F113" s="8" t="inlineStr">
        <is>
          <t>kWh</t>
        </is>
      </c>
      <c r="G113" s="95" t="n">
        <v>147736.15</v>
      </c>
      <c r="H113" s="96" t="n">
        <v>46204</v>
      </c>
      <c r="I113" s="96" t="n">
        <v>46934</v>
      </c>
      <c r="J113" s="8" t="inlineStr">
        <is>
          <t>AUD</t>
        </is>
      </c>
      <c r="K113" s="97">
        <f>'Rate Inputs'!E38</f>
        <v/>
      </c>
      <c r="L113" s="97">
        <f>'Rate Inputs'!F38</f>
        <v/>
      </c>
      <c r="M113" s="98">
        <f>IF(OR($P113="Ready",$P113="FY26 provisional",$P113="FY26 secured"),IF($H113&lt;=DATE(2025,7,1),ROUNDUP($K113,-2),IF('Rate Inputs'!$J38="","",ROUNDUP(IF($H113&gt;DATE(2026,6,30),'Rate Inputs'!$J38,'Rate Inputs'!$J38*($H113-DATE(2025,7,1))/365+$K113*(DATE(2026,6,30)-$H113+1)/365),-2))),"")</f>
        <v/>
      </c>
      <c r="N113" s="98">
        <f>IF($P113="Ready",ROUNDUP(IFERROR($K113,0),-2),IF(OR($P113="FY26 provisional",$P113="FY26 secured"),"",0))</f>
        <v/>
      </c>
      <c r="O113" s="98">
        <f>IF($P113="Ready",IF('Rate Inputs'!$F38="","",ROUNDUP(IFERROR($L113,0),-2)),IF(OR($P113="FY26 provisional",$P113="FY26 secured"),"",0))</f>
        <v/>
      </c>
      <c r="P113" s="8" t="inlineStr">
        <is>
          <t>Ready</t>
        </is>
      </c>
      <c r="Q113" s="11" t="n"/>
    </row>
    <row r="114">
      <c r="A114" s="2" t="n">
        <v>4310955386</v>
      </c>
      <c r="B114" s="8">
        <f t="array" ref="B114:E114">_xlfn.XLOOKUP(A114,'Site Register'!A:A,'Site Register'!B:E)</f>
        <v/>
      </c>
      <c r="C114" s="8" t="inlineStr">
        <is>
          <t>Australia</t>
        </is>
      </c>
      <c r="D114" s="8" t="inlineStr">
        <is>
          <t>NSW</t>
        </is>
      </c>
      <c r="E114" s="8" t="inlineStr">
        <is>
          <t>AU Large Electricity</t>
        </is>
      </c>
      <c r="F114" s="8" t="inlineStr">
        <is>
          <t>kWh</t>
        </is>
      </c>
      <c r="G114" s="95" t="n">
        <v>110678.1</v>
      </c>
      <c r="H114" s="96" t="n">
        <v>46204</v>
      </c>
      <c r="I114" s="96" t="n">
        <v>46934</v>
      </c>
      <c r="J114" s="8" t="inlineStr">
        <is>
          <t>AUD</t>
        </is>
      </c>
      <c r="K114" s="97">
        <f>'Rate Inputs'!E39</f>
        <v/>
      </c>
      <c r="L114" s="97">
        <f>'Rate Inputs'!F39</f>
        <v/>
      </c>
      <c r="M114" s="98">
        <f>IF(OR($P114="Ready",$P114="FY26 provisional",$P114="FY26 secured"),IF($H114&lt;=DATE(2025,7,1),ROUNDUP($K114,-2),IF('Rate Inputs'!$J39="","",ROUNDUP(IF($H114&gt;DATE(2026,6,30),'Rate Inputs'!$J39,'Rate Inputs'!$J39*($H114-DATE(2025,7,1))/365+$K114*(DATE(2026,6,30)-$H114+1)/365),-2))),"")</f>
        <v/>
      </c>
      <c r="N114" s="98">
        <f>IF($P114="Ready",ROUNDUP(IFERROR($K114,0),-2),IF(OR($P114="FY26 provisional",$P114="FY26 secured"),"",0))</f>
        <v/>
      </c>
      <c r="O114" s="98">
        <f>IF($P114="Ready",IF('Rate Inputs'!$F39="","",ROUNDUP(IFERROR($L114,0),-2)),IF(OR($P114="FY26 provisional",$P114="FY26 secured"),"",0))</f>
        <v/>
      </c>
      <c r="P114" s="8" t="inlineStr">
        <is>
          <t>Ready</t>
        </is>
      </c>
      <c r="Q114" s="11" t="n"/>
    </row>
    <row r="115">
      <c r="A115" s="2" t="n">
        <v>4310957406</v>
      </c>
      <c r="B115" s="8">
        <f t="array" ref="B115:E115">_xlfn.XLOOKUP(A115,'Site Register'!A:A,'Site Register'!B:E)</f>
        <v/>
      </c>
      <c r="C115" s="8" t="inlineStr">
        <is>
          <t>Australia</t>
        </is>
      </c>
      <c r="D115" s="8" t="inlineStr">
        <is>
          <t>NSW</t>
        </is>
      </c>
      <c r="E115" s="8" t="inlineStr">
        <is>
          <t>AU Large Electricity</t>
        </is>
      </c>
      <c r="F115" s="8" t="inlineStr">
        <is>
          <t>kWh</t>
        </is>
      </c>
      <c r="G115" s="95" t="n">
        <v>26836.14</v>
      </c>
      <c r="H115" s="96" t="n">
        <v>46204</v>
      </c>
      <c r="I115" s="96" t="n">
        <v>46934</v>
      </c>
      <c r="J115" s="8" t="inlineStr">
        <is>
          <t>AUD</t>
        </is>
      </c>
      <c r="K115" s="97">
        <f>'Rate Inputs'!E40</f>
        <v/>
      </c>
      <c r="L115" s="97">
        <f>'Rate Inputs'!F40</f>
        <v/>
      </c>
      <c r="M115" s="98">
        <f>IF(OR($P115="Ready",$P115="FY26 provisional",$P115="FY26 secured"),IF($H115&lt;=DATE(2025,7,1),ROUNDUP($K115,-2),IF('Rate Inputs'!$J40="","",ROUNDUP(IF($H115&gt;DATE(2026,6,30),'Rate Inputs'!$J40,'Rate Inputs'!$J40*($H115-DATE(2025,7,1))/365+$K115*(DATE(2026,6,30)-$H115+1)/365),-2))),"")</f>
        <v/>
      </c>
      <c r="N115" s="98">
        <f>IF($P115="Ready",ROUNDUP(IFERROR($K115,0),-2),IF(OR($P115="FY26 provisional",$P115="FY26 secured"),"",0))</f>
        <v/>
      </c>
      <c r="O115" s="98">
        <f>IF($P115="Ready",IF('Rate Inputs'!$F40="","",ROUNDUP(IFERROR($L115,0),-2)),IF(OR($P115="FY26 provisional",$P115="FY26 secured"),"",0))</f>
        <v/>
      </c>
      <c r="P115" s="8" t="inlineStr">
        <is>
          <t>Ready</t>
        </is>
      </c>
      <c r="Q115" s="11" t="n"/>
    </row>
    <row r="116">
      <c r="A116" s="2" t="n">
        <v>4310984436</v>
      </c>
      <c r="B116" s="8">
        <f t="array" ref="B116:E116">_xlfn.XLOOKUP(A116,'Site Register'!A:A,'Site Register'!B:E)</f>
        <v/>
      </c>
      <c r="C116" s="8" t="inlineStr">
        <is>
          <t>Australia</t>
        </is>
      </c>
      <c r="D116" s="8" t="inlineStr">
        <is>
          <t>NSW</t>
        </is>
      </c>
      <c r="E116" s="8" t="inlineStr">
        <is>
          <t>AU Large Electricity</t>
        </is>
      </c>
      <c r="F116" s="8" t="inlineStr">
        <is>
          <t>kWh</t>
        </is>
      </c>
      <c r="G116" s="95" t="n">
        <v>238859.85</v>
      </c>
      <c r="H116" s="96" t="n">
        <v>46204</v>
      </c>
      <c r="I116" s="96" t="n">
        <v>46934</v>
      </c>
      <c r="J116" s="8" t="inlineStr">
        <is>
          <t>AUD</t>
        </is>
      </c>
      <c r="K116" s="97">
        <f>'Rate Inputs'!E41</f>
        <v/>
      </c>
      <c r="L116" s="97">
        <f>'Rate Inputs'!F41</f>
        <v/>
      </c>
      <c r="M116" s="98">
        <f>IF(OR($P116="Ready",$P116="FY26 provisional",$P116="FY26 secured"),IF($H116&lt;=DATE(2025,7,1),ROUNDUP($K116,-2),IF('Rate Inputs'!$J41="","",ROUNDUP(IF($H116&gt;DATE(2026,6,30),'Rate Inputs'!$J41,'Rate Inputs'!$J41*($H116-DATE(2025,7,1))/365+$K116*(DATE(2026,6,30)-$H116+1)/365),-2))),"")</f>
        <v/>
      </c>
      <c r="N116" s="98">
        <f>IF($P116="Ready",ROUNDUP(IFERROR($K116,0),-2),IF(OR($P116="FY26 provisional",$P116="FY26 secured"),"",0))</f>
        <v/>
      </c>
      <c r="O116" s="98">
        <f>IF($P116="Ready",IF('Rate Inputs'!$F41="","",ROUNDUP(IFERROR($L116,0),-2)),IF(OR($P116="FY26 provisional",$P116="FY26 secured"),"",0))</f>
        <v/>
      </c>
      <c r="P116" s="8" t="inlineStr">
        <is>
          <t>Ready</t>
        </is>
      </c>
      <c r="Q116" s="11" t="n"/>
    </row>
    <row r="117">
      <c r="A117" s="2" t="n">
        <v>4311006154</v>
      </c>
      <c r="B117" s="8">
        <f t="array" ref="B117:E117">_xlfn.XLOOKUP(A117,'Site Register'!A:A,'Site Register'!B:E)</f>
        <v/>
      </c>
      <c r="C117" s="8" t="inlineStr">
        <is>
          <t>Australia</t>
        </is>
      </c>
      <c r="D117" s="8" t="inlineStr">
        <is>
          <t>NSW</t>
        </is>
      </c>
      <c r="E117" s="8" t="inlineStr">
        <is>
          <t>AU Large Electricity</t>
        </is>
      </c>
      <c r="F117" s="8" t="inlineStr">
        <is>
          <t>kWh</t>
        </is>
      </c>
      <c r="G117" s="95" t="n">
        <v>141294.49</v>
      </c>
      <c r="H117" s="96" t="n">
        <v>46204</v>
      </c>
      <c r="I117" s="96" t="n">
        <v>46934</v>
      </c>
      <c r="J117" s="8" t="inlineStr">
        <is>
          <t>AUD</t>
        </is>
      </c>
      <c r="K117" s="97">
        <f>'Rate Inputs'!E42</f>
        <v/>
      </c>
      <c r="L117" s="97">
        <f>'Rate Inputs'!F42</f>
        <v/>
      </c>
      <c r="M117" s="98">
        <f>IF(OR($P117="Ready",$P117="FY26 provisional",$P117="FY26 secured"),IF($H117&lt;=DATE(2025,7,1),ROUNDUP($K117,-2),IF('Rate Inputs'!$J42="","",ROUNDUP(IF($H117&gt;DATE(2026,6,30),'Rate Inputs'!$J42,'Rate Inputs'!$J42*($H117-DATE(2025,7,1))/365+$K117*(DATE(2026,6,30)-$H117+1)/365),-2))),"")</f>
        <v/>
      </c>
      <c r="N117" s="98">
        <f>IF($P117="Ready",ROUNDUP(IFERROR($K117,0),-2),IF(OR($P117="FY26 provisional",$P117="FY26 secured"),"",0))</f>
        <v/>
      </c>
      <c r="O117" s="98">
        <f>IF($P117="Ready",IF('Rate Inputs'!$F42="","",ROUNDUP(IFERROR($L117,0),-2)),IF(OR($P117="FY26 provisional",$P117="FY26 secured"),"",0))</f>
        <v/>
      </c>
      <c r="P117" s="8" t="inlineStr">
        <is>
          <t>Ready</t>
        </is>
      </c>
      <c r="Q117" s="11" t="n"/>
    </row>
    <row r="118">
      <c r="A118" s="2" t="n">
        <v>4311006155</v>
      </c>
      <c r="B118" s="8">
        <f t="array" ref="B118:E118">_xlfn.XLOOKUP(A118,'Site Register'!A:A,'Site Register'!B:E)</f>
        <v/>
      </c>
      <c r="C118" s="8" t="inlineStr">
        <is>
          <t>Australia</t>
        </is>
      </c>
      <c r="D118" s="8" t="inlineStr">
        <is>
          <t>NSW</t>
        </is>
      </c>
      <c r="E118" s="8" t="inlineStr">
        <is>
          <t>AU Large Electricity</t>
        </is>
      </c>
      <c r="F118" s="8" t="inlineStr">
        <is>
          <t>kWh</t>
        </is>
      </c>
      <c r="G118" s="95" t="n">
        <v>125233.95</v>
      </c>
      <c r="H118" s="96" t="n">
        <v>46204</v>
      </c>
      <c r="I118" s="96" t="n">
        <v>46934</v>
      </c>
      <c r="J118" s="8" t="inlineStr">
        <is>
          <t>AUD</t>
        </is>
      </c>
      <c r="K118" s="97">
        <f>'Rate Inputs'!E43</f>
        <v/>
      </c>
      <c r="L118" s="97">
        <f>'Rate Inputs'!F43</f>
        <v/>
      </c>
      <c r="M118" s="98">
        <f>IF(OR($P118="Ready",$P118="FY26 provisional",$P118="FY26 secured"),IF($H118&lt;=DATE(2025,7,1),ROUNDUP($K118,-2),IF('Rate Inputs'!$J43="","",ROUNDUP(IF($H118&gt;DATE(2026,6,30),'Rate Inputs'!$J43,'Rate Inputs'!$J43*($H118-DATE(2025,7,1))/365+$K118*(DATE(2026,6,30)-$H118+1)/365),-2))),"")</f>
        <v/>
      </c>
      <c r="N118" s="98">
        <f>IF($P118="Ready",ROUNDUP(IFERROR($K118,0),-2),IF(OR($P118="FY26 provisional",$P118="FY26 secured"),"",0))</f>
        <v/>
      </c>
      <c r="O118" s="98">
        <f>IF($P118="Ready",IF('Rate Inputs'!$F43="","",ROUNDUP(IFERROR($L118,0),-2)),IF(OR($P118="FY26 provisional",$P118="FY26 secured"),"",0))</f>
        <v/>
      </c>
      <c r="P118" s="8" t="inlineStr">
        <is>
          <t>Ready</t>
        </is>
      </c>
      <c r="Q118" s="11" t="n"/>
    </row>
    <row r="119">
      <c r="A119" s="2" t="n">
        <v>4311006315</v>
      </c>
      <c r="B119" s="8">
        <f t="array" ref="B119:E119">_xlfn.XLOOKUP(A119,'Site Register'!A:A,'Site Register'!B:E)</f>
        <v/>
      </c>
      <c r="C119" s="8" t="inlineStr">
        <is>
          <t>Australia</t>
        </is>
      </c>
      <c r="D119" s="8" t="inlineStr">
        <is>
          <t>NSW</t>
        </is>
      </c>
      <c r="E119" s="8" t="inlineStr">
        <is>
          <t>AU Large Electricity</t>
        </is>
      </c>
      <c r="F119" s="8" t="inlineStr">
        <is>
          <t>kWh</t>
        </is>
      </c>
      <c r="G119" s="95" t="n">
        <v>631132.89</v>
      </c>
      <c r="H119" s="96" t="n">
        <v>46204</v>
      </c>
      <c r="I119" s="96" t="n">
        <v>46934</v>
      </c>
      <c r="J119" s="8" t="inlineStr">
        <is>
          <t>AUD</t>
        </is>
      </c>
      <c r="K119" s="97">
        <f>'Rate Inputs'!E44</f>
        <v/>
      </c>
      <c r="L119" s="97">
        <f>'Rate Inputs'!F44</f>
        <v/>
      </c>
      <c r="M119" s="98">
        <f>IF(OR($P119="Ready",$P119="FY26 provisional",$P119="FY26 secured"),IF($H119&lt;=DATE(2025,7,1),ROUNDUP($K119,-2),IF('Rate Inputs'!$J44="","",ROUNDUP(IF($H119&gt;DATE(2026,6,30),'Rate Inputs'!$J44,'Rate Inputs'!$J44*($H119-DATE(2025,7,1))/365+$K119*(DATE(2026,6,30)-$H119+1)/365),-2))),"")</f>
        <v/>
      </c>
      <c r="N119" s="98">
        <f>IF($P119="Ready",ROUNDUP(IFERROR($K119,0),-2),IF(OR($P119="FY26 provisional",$P119="FY26 secured"),"",0))</f>
        <v/>
      </c>
      <c r="O119" s="98">
        <f>IF($P119="Ready",IF('Rate Inputs'!$F44="","",ROUNDUP(IFERROR($L119,0),-2)),IF(OR($P119="FY26 provisional",$P119="FY26 secured"),"",0))</f>
        <v/>
      </c>
      <c r="P119" s="8" t="inlineStr">
        <is>
          <t>Ready</t>
        </is>
      </c>
      <c r="Q119" s="11" t="n"/>
    </row>
    <row r="120">
      <c r="A120" s="2" t="n">
        <v>4311396021</v>
      </c>
      <c r="B120" s="8">
        <f t="array" ref="B120:E120">_xlfn.XLOOKUP(A120,'Site Register'!A:A,'Site Register'!B:E)</f>
        <v/>
      </c>
      <c r="C120" s="8" t="inlineStr">
        <is>
          <t>Australia</t>
        </is>
      </c>
      <c r="D120" s="8" t="inlineStr">
        <is>
          <t>NSW</t>
        </is>
      </c>
      <c r="E120" s="8" t="inlineStr">
        <is>
          <t>AU Large Electricity</t>
        </is>
      </c>
      <c r="F120" s="8" t="inlineStr">
        <is>
          <t>kWh</t>
        </is>
      </c>
      <c r="G120" s="95" t="n">
        <v>1537138.97</v>
      </c>
      <c r="H120" s="96" t="n">
        <v>46204</v>
      </c>
      <c r="I120" s="96" t="n">
        <v>46934</v>
      </c>
      <c r="J120" s="8" t="inlineStr">
        <is>
          <t>AUD</t>
        </is>
      </c>
      <c r="K120" s="97">
        <f>'Rate Inputs'!E45</f>
        <v/>
      </c>
      <c r="L120" s="97">
        <f>'Rate Inputs'!F45</f>
        <v/>
      </c>
      <c r="M120" s="98">
        <f>IF(OR($P120="Ready",$P120="FY26 provisional",$P120="FY26 secured"),IF($H120&lt;=DATE(2025,7,1),ROUNDUP($K120,-2),IF('Rate Inputs'!$J45="","",ROUNDUP(IF($H120&gt;DATE(2026,6,30),'Rate Inputs'!$J45,'Rate Inputs'!$J45*($H120-DATE(2025,7,1))/365+$K120*(DATE(2026,6,30)-$H120+1)/365),-2))),"")</f>
        <v/>
      </c>
      <c r="N120" s="98">
        <f>IF($P120="Ready",ROUNDUP(IFERROR($K120,0),-2),IF(OR($P120="FY26 provisional",$P120="FY26 secured"),"",0))</f>
        <v/>
      </c>
      <c r="O120" s="98">
        <f>IF($P120="Ready",IF('Rate Inputs'!$F45="","",ROUNDUP(IFERROR($L120,0),-2)),IF(OR($P120="FY26 provisional",$P120="FY26 secured"),"",0))</f>
        <v/>
      </c>
      <c r="P120" s="8" t="inlineStr">
        <is>
          <t>Ready</t>
        </is>
      </c>
      <c r="Q120" s="11" t="n"/>
    </row>
    <row r="121">
      <c r="A121" s="2" t="n">
        <v>4311396022</v>
      </c>
      <c r="B121" s="8">
        <f t="array" ref="B121:E121">_xlfn.XLOOKUP(A121,'Site Register'!A:A,'Site Register'!B:E)</f>
        <v/>
      </c>
      <c r="C121" s="8" t="inlineStr">
        <is>
          <t>Australia</t>
        </is>
      </c>
      <c r="D121" s="8" t="inlineStr">
        <is>
          <t>NSW</t>
        </is>
      </c>
      <c r="E121" s="8" t="inlineStr">
        <is>
          <t>AU Large Electricity</t>
        </is>
      </c>
      <c r="F121" s="8" t="inlineStr">
        <is>
          <t>kWh</t>
        </is>
      </c>
      <c r="G121" s="95" t="n">
        <v>553695.01</v>
      </c>
      <c r="H121" s="96" t="n">
        <v>46204</v>
      </c>
      <c r="I121" s="96" t="n">
        <v>46934</v>
      </c>
      <c r="J121" s="8" t="inlineStr">
        <is>
          <t>AUD</t>
        </is>
      </c>
      <c r="K121" s="97">
        <f>'Rate Inputs'!E46</f>
        <v/>
      </c>
      <c r="L121" s="97">
        <f>'Rate Inputs'!F46</f>
        <v/>
      </c>
      <c r="M121" s="98">
        <f>IF(OR($P121="Ready",$P121="FY26 provisional",$P121="FY26 secured"),IF($H121&lt;=DATE(2025,7,1),ROUNDUP($K121,-2),IF('Rate Inputs'!$J46="","",ROUNDUP(IF($H121&gt;DATE(2026,6,30),'Rate Inputs'!$J46,'Rate Inputs'!$J46*($H121-DATE(2025,7,1))/365+$K121*(DATE(2026,6,30)-$H121+1)/365),-2))),"")</f>
        <v/>
      </c>
      <c r="N121" s="98">
        <f>IF($P121="Ready",ROUNDUP(IFERROR($K121,0),-2),IF(OR($P121="FY26 provisional",$P121="FY26 secured"),"",0))</f>
        <v/>
      </c>
      <c r="O121" s="98">
        <f>IF($P121="Ready",IF('Rate Inputs'!$F46="","",ROUNDUP(IFERROR($L121,0),-2)),IF(OR($P121="FY26 provisional",$P121="FY26 secured"),"",0))</f>
        <v/>
      </c>
      <c r="P121" s="8" t="inlineStr">
        <is>
          <t>Ready</t>
        </is>
      </c>
      <c r="Q121" s="11" t="n"/>
    </row>
    <row r="122">
      <c r="A122" s="2" t="n">
        <v>4407159054</v>
      </c>
      <c r="B122" s="8">
        <f t="array" ref="B122:E122">_xlfn.XLOOKUP(A122,'Site Register'!A:A,'Site Register'!B:E)</f>
        <v/>
      </c>
      <c r="C122" s="8" t="inlineStr">
        <is>
          <t>Australia</t>
        </is>
      </c>
      <c r="D122" s="8" t="inlineStr">
        <is>
          <t>NSW</t>
        </is>
      </c>
      <c r="E122" s="8" t="inlineStr">
        <is>
          <t>AU Large Electricity</t>
        </is>
      </c>
      <c r="F122" s="8" t="inlineStr">
        <is>
          <t>kWh</t>
        </is>
      </c>
      <c r="G122" s="95" t="n">
        <v>379736.789</v>
      </c>
      <c r="H122" s="96" t="n">
        <v>46204</v>
      </c>
      <c r="I122" s="96" t="n">
        <v>46934</v>
      </c>
      <c r="J122" s="8" t="inlineStr">
        <is>
          <t>AUD</t>
        </is>
      </c>
      <c r="K122" s="97">
        <f>'Rate Inputs'!E49</f>
        <v/>
      </c>
      <c r="L122" s="97">
        <f>'Rate Inputs'!F49</f>
        <v/>
      </c>
      <c r="M122" s="98">
        <f>IF(OR($P122="Ready",$P122="FY26 provisional",$P122="FY26 secured"),IF($H122&lt;=DATE(2025,7,1),ROUNDUP($K122,-2),IF('Rate Inputs'!$J49="","",ROUNDUP(IF($H122&gt;DATE(2026,6,30),'Rate Inputs'!$J49,'Rate Inputs'!$J49*($H122-DATE(2025,7,1))/365+$K122*(DATE(2026,6,30)-$H122+1)/365),-2))),"")</f>
        <v/>
      </c>
      <c r="N122" s="98">
        <f>IF($P122="Ready",ROUNDUP(IFERROR($K122,0),-2),IF(OR($P122="FY26 provisional",$P122="FY26 secured"),"",0))</f>
        <v/>
      </c>
      <c r="O122" s="98">
        <f>IF($P122="Ready",IF('Rate Inputs'!$F49="","",ROUNDUP(IFERROR($L122,0),-2)),IF(OR($P122="FY26 provisional",$P122="FY26 secured"),"",0))</f>
        <v/>
      </c>
      <c r="P122" s="8" t="inlineStr">
        <is>
          <t>Ready</t>
        </is>
      </c>
      <c r="Q122" s="11" t="n"/>
    </row>
    <row r="123">
      <c r="A123" s="2" t="inlineStr">
        <is>
          <t>NAAA00AC25</t>
        </is>
      </c>
      <c r="B123" s="8">
        <f t="array" ref="B123:E123">_xlfn.XLOOKUP(A123,'Site Register'!A:A,'Site Register'!B:E)</f>
        <v/>
      </c>
      <c r="C123" s="8" t="inlineStr">
        <is>
          <t>Australia</t>
        </is>
      </c>
      <c r="D123" s="8" t="inlineStr">
        <is>
          <t>NSW</t>
        </is>
      </c>
      <c r="E123" s="8" t="inlineStr">
        <is>
          <t>AU Large Electricity</t>
        </is>
      </c>
      <c r="F123" s="8" t="inlineStr">
        <is>
          <t>kWh</t>
        </is>
      </c>
      <c r="G123" s="95" t="n">
        <v>468259.76</v>
      </c>
      <c r="H123" s="96" t="n">
        <v>46204</v>
      </c>
      <c r="I123" s="96" t="n">
        <v>46934</v>
      </c>
      <c r="J123" s="8" t="inlineStr">
        <is>
          <t>AUD</t>
        </is>
      </c>
      <c r="K123" s="97">
        <f>'Rate Inputs'!E50</f>
        <v/>
      </c>
      <c r="L123" s="97">
        <f>'Rate Inputs'!F50</f>
        <v/>
      </c>
      <c r="M123" s="98">
        <f>IF(OR($P123="Ready",$P123="FY26 provisional",$P123="FY26 secured"),IF($H123&lt;=DATE(2025,7,1),ROUNDUP($K123,-2),IF('Rate Inputs'!$J50="","",ROUNDUP(IF($H123&gt;DATE(2026,6,30),'Rate Inputs'!$J50,'Rate Inputs'!$J50*($H123-DATE(2025,7,1))/365+$K123*(DATE(2026,6,30)-$H123+1)/365),-2))),"")</f>
        <v/>
      </c>
      <c r="N123" s="98">
        <f>IF($P123="Ready",ROUNDUP(IFERROR($K123,0),-2),IF(OR($P123="FY26 provisional",$P123="FY26 secured"),"",0))</f>
        <v/>
      </c>
      <c r="O123" s="98">
        <f>IF($P123="Ready",IF('Rate Inputs'!$F50="","",ROUNDUP(IFERROR($L123,0),-2)),IF(OR($P123="FY26 provisional",$P123="FY26 secured"),"",0))</f>
        <v/>
      </c>
      <c r="P123" s="8" t="inlineStr">
        <is>
          <t>Ready</t>
        </is>
      </c>
      <c r="Q123" s="11" t="n"/>
    </row>
    <row r="124">
      <c r="A124" s="2" t="n">
        <v>6001311036</v>
      </c>
      <c r="B124" s="8">
        <f t="array" ref="B124:E124">_xlfn.XLOOKUP(A124,'Site Register'!A:A,'Site Register'!B:E)</f>
        <v/>
      </c>
      <c r="C124" s="8" t="inlineStr">
        <is>
          <t>Australia</t>
        </is>
      </c>
      <c r="D124" s="8" t="inlineStr">
        <is>
          <t>VIC</t>
        </is>
      </c>
      <c r="E124" s="8" t="inlineStr">
        <is>
          <t>AU Large Electricity</t>
        </is>
      </c>
      <c r="F124" s="8" t="inlineStr">
        <is>
          <t>kWh</t>
        </is>
      </c>
      <c r="G124" s="95" t="n">
        <v>1016001.512</v>
      </c>
      <c r="H124" s="96" t="n">
        <v>46204</v>
      </c>
      <c r="I124" s="96" t="n">
        <v>46934</v>
      </c>
      <c r="J124" s="8" t="inlineStr">
        <is>
          <t>AUD</t>
        </is>
      </c>
      <c r="K124" s="97">
        <f>'Rate Inputs'!E94</f>
        <v/>
      </c>
      <c r="L124" s="97">
        <f>'Rate Inputs'!F94</f>
        <v/>
      </c>
      <c r="M124" s="98">
        <f>IF(OR($P124="Ready",$P124="FY26 provisional",$P124="FY26 secured"),IF($H124&lt;=DATE(2025,7,1),ROUNDUP($K124,-2),IF('Rate Inputs'!$J94="","",ROUNDUP(IF($H124&gt;DATE(2026,6,30),'Rate Inputs'!$J94,'Rate Inputs'!$J94*($H124-DATE(2025,7,1))/365+$K124*(DATE(2026,6,30)-$H124+1)/365),-2))),"")</f>
        <v/>
      </c>
      <c r="N124" s="98">
        <f>IF($P124="Ready",ROUNDUP(IFERROR($K124,0),-2),IF(OR($P124="FY26 provisional",$P124="FY26 secured"),"",0))</f>
        <v/>
      </c>
      <c r="O124" s="98">
        <f>IF($P124="Ready",IF('Rate Inputs'!$F94="","",ROUNDUP(IFERROR($L124,0),-2)),IF(OR($P124="FY26 provisional",$P124="FY26 secured"),"",0))</f>
        <v/>
      </c>
      <c r="P124" s="8" t="inlineStr">
        <is>
          <t>Ready</t>
        </is>
      </c>
      <c r="Q124" s="11" t="n"/>
    </row>
    <row r="125">
      <c r="A125" s="2" t="n">
        <v>6203753676</v>
      </c>
      <c r="B125" s="8">
        <f t="array" ref="B125:E125">_xlfn.XLOOKUP(A125,'Site Register'!A:A,'Site Register'!B:E)</f>
        <v/>
      </c>
      <c r="C125" s="8" t="inlineStr">
        <is>
          <t>Australia</t>
        </is>
      </c>
      <c r="D125" s="8" t="inlineStr">
        <is>
          <t>VIC</t>
        </is>
      </c>
      <c r="E125" s="8" t="inlineStr">
        <is>
          <t>AU Large Electricity</t>
        </is>
      </c>
      <c r="F125" s="8" t="inlineStr">
        <is>
          <t>kWh</t>
        </is>
      </c>
      <c r="G125" s="95" t="n">
        <v>298507.32</v>
      </c>
      <c r="H125" s="96" t="n">
        <v>46204</v>
      </c>
      <c r="I125" s="96" t="n">
        <v>46934</v>
      </c>
      <c r="J125" s="8" t="inlineStr">
        <is>
          <t>AUD</t>
        </is>
      </c>
      <c r="K125" s="97">
        <f>'Rate Inputs'!E110</f>
        <v/>
      </c>
      <c r="L125" s="97">
        <f>'Rate Inputs'!F110</f>
        <v/>
      </c>
      <c r="M125" s="98">
        <f>IF(OR($P125="Ready",$P125="FY26 provisional",$P125="FY26 secured"),IF($H125&lt;=DATE(2025,7,1),ROUNDUP($K125,-2),IF('Rate Inputs'!$J110="","",ROUNDUP(IF($H125&gt;DATE(2026,6,30),'Rate Inputs'!$J110,'Rate Inputs'!$J110*($H125-DATE(2025,7,1))/365+$K125*(DATE(2026,6,30)-$H125+1)/365),-2))),"")</f>
        <v/>
      </c>
      <c r="N125" s="98">
        <f>IF($P125="Ready",ROUNDUP(IFERROR($K125,0),-2),IF(OR($P125="FY26 provisional",$P125="FY26 secured"),"",0))</f>
        <v/>
      </c>
      <c r="O125" s="98">
        <f>IF($P125="Ready",IF('Rate Inputs'!$F110="","",ROUNDUP(IFERROR($L125,0),-2)),IF(OR($P125="FY26 provisional",$P125="FY26 secured"),"",0))</f>
        <v/>
      </c>
      <c r="P125" s="8" t="inlineStr">
        <is>
          <t>Ready</t>
        </is>
      </c>
      <c r="Q125" s="11" t="n"/>
    </row>
    <row r="126">
      <c r="A126" s="2" t="n">
        <v>6204134328</v>
      </c>
      <c r="B126" s="8">
        <f t="array" ref="B126:E126">_xlfn.XLOOKUP(A126,'Site Register'!A:A,'Site Register'!B:E)</f>
        <v/>
      </c>
      <c r="C126" s="8" t="inlineStr">
        <is>
          <t>Australia</t>
        </is>
      </c>
      <c r="D126" s="8" t="inlineStr">
        <is>
          <t>VIC</t>
        </is>
      </c>
      <c r="E126" s="8" t="inlineStr">
        <is>
          <t>AU Large Electricity</t>
        </is>
      </c>
      <c r="F126" s="8" t="inlineStr">
        <is>
          <t>kWh</t>
        </is>
      </c>
      <c r="G126" s="95" t="n">
        <v>475562.1800000001</v>
      </c>
      <c r="H126" s="96" t="n">
        <v>46204</v>
      </c>
      <c r="I126" s="96" t="n">
        <v>46934</v>
      </c>
      <c r="J126" s="8" t="inlineStr">
        <is>
          <t>AUD</t>
        </is>
      </c>
      <c r="K126" s="97">
        <f>'Rate Inputs'!E113</f>
        <v/>
      </c>
      <c r="L126" s="97">
        <f>'Rate Inputs'!F113</f>
        <v/>
      </c>
      <c r="M126" s="98">
        <f>IF(OR($P126="Ready",$P126="FY26 provisional",$P126="FY26 secured"),IF($H126&lt;=DATE(2025,7,1),ROUNDUP($K126,-2),IF('Rate Inputs'!$J113="","",ROUNDUP(IF($H126&gt;DATE(2026,6,30),'Rate Inputs'!$J113,'Rate Inputs'!$J113*($H126-DATE(2025,7,1))/365+$K126*(DATE(2026,6,30)-$H126+1)/365),-2))),"")</f>
        <v/>
      </c>
      <c r="N126" s="98">
        <f>IF($P126="Ready",ROUNDUP(IFERROR($K126,0),-2),IF(OR($P126="FY26 provisional",$P126="FY26 secured"),"",0))</f>
        <v/>
      </c>
      <c r="O126" s="98">
        <f>IF($P126="Ready",IF('Rate Inputs'!$F113="","",ROUNDUP(IFERROR($L126,0),-2)),IF(OR($P126="FY26 provisional",$P126="FY26 secured"),"",0))</f>
        <v/>
      </c>
      <c r="P126" s="8" t="inlineStr">
        <is>
          <t>Ready</t>
        </is>
      </c>
      <c r="Q126" s="11" t="n"/>
    </row>
    <row r="127">
      <c r="A127" s="2" t="n">
        <v>6305920528</v>
      </c>
      <c r="B127" s="8">
        <f t="array" ref="B127:E127">_xlfn.XLOOKUP(A127,'Site Register'!A:A,'Site Register'!B:E)</f>
        <v/>
      </c>
      <c r="C127" s="8" t="inlineStr">
        <is>
          <t>Australia</t>
        </is>
      </c>
      <c r="D127" s="8" t="inlineStr">
        <is>
          <t>VIC</t>
        </is>
      </c>
      <c r="E127" s="8" t="inlineStr">
        <is>
          <t>AU Large Electricity</t>
        </is>
      </c>
      <c r="F127" s="8" t="inlineStr">
        <is>
          <t>kWh</t>
        </is>
      </c>
      <c r="G127" s="95" t="n">
        <v>800264.6200000001</v>
      </c>
      <c r="H127" s="96" t="n">
        <v>46204</v>
      </c>
      <c r="I127" s="96" t="n">
        <v>46934</v>
      </c>
      <c r="J127" s="8" t="inlineStr">
        <is>
          <t>AUD</t>
        </is>
      </c>
      <c r="K127" s="97">
        <f>'Rate Inputs'!E117</f>
        <v/>
      </c>
      <c r="L127" s="97">
        <f>'Rate Inputs'!F117</f>
        <v/>
      </c>
      <c r="M127" s="98">
        <f>IF(OR($P127="Ready",$P127="FY26 provisional",$P127="FY26 secured"),IF($H127&lt;=DATE(2025,7,1),ROUNDUP($K127,-2),IF('Rate Inputs'!$J117="","",ROUNDUP(IF($H127&gt;DATE(2026,6,30),'Rate Inputs'!$J117,'Rate Inputs'!$J117*($H127-DATE(2025,7,1))/365+$K127*(DATE(2026,6,30)-$H127+1)/365),-2))),"")</f>
        <v/>
      </c>
      <c r="N127" s="98">
        <f>IF($P127="Ready",ROUNDUP(IFERROR($K127,0),-2),IF(OR($P127="FY26 provisional",$P127="FY26 secured"),"",0))</f>
        <v/>
      </c>
      <c r="O127" s="98">
        <f>IF($P127="Ready",IF('Rate Inputs'!$F117="","",ROUNDUP(IFERROR($L127,0),-2)),IF(OR($P127="FY26 provisional",$P127="FY26 secured"),"",0))</f>
        <v/>
      </c>
      <c r="P127" s="8" t="inlineStr">
        <is>
          <t>Ready</t>
        </is>
      </c>
      <c r="Q127" s="11" t="n"/>
    </row>
    <row r="128">
      <c r="A128" s="2" t="n">
        <v>6306009124</v>
      </c>
      <c r="B128" s="8">
        <f t="array" ref="B128:E128">_xlfn.XLOOKUP(A128,'Site Register'!A:A,'Site Register'!B:E)</f>
        <v/>
      </c>
      <c r="C128" s="8" t="inlineStr">
        <is>
          <t>Australia</t>
        </is>
      </c>
      <c r="D128" s="8" t="inlineStr">
        <is>
          <t>VIC</t>
        </is>
      </c>
      <c r="E128" s="8" t="inlineStr">
        <is>
          <t>AU Large Electricity</t>
        </is>
      </c>
      <c r="F128" s="8" t="inlineStr">
        <is>
          <t>kWh</t>
        </is>
      </c>
      <c r="G128" s="95" t="n">
        <v>361392.4600000001</v>
      </c>
      <c r="H128" s="96" t="n">
        <v>46204</v>
      </c>
      <c r="I128" s="96" t="n">
        <v>46934</v>
      </c>
      <c r="J128" s="8" t="inlineStr">
        <is>
          <t>AUD</t>
        </is>
      </c>
      <c r="K128" s="97">
        <f>'Rate Inputs'!E119</f>
        <v/>
      </c>
      <c r="L128" s="97">
        <f>'Rate Inputs'!F119</f>
        <v/>
      </c>
      <c r="M128" s="98">
        <f>IF(OR($P128="Ready",$P128="FY26 provisional",$P128="FY26 secured"),IF($H128&lt;=DATE(2025,7,1),ROUNDUP($K128,-2),IF('Rate Inputs'!$J119="","",ROUNDUP(IF($H128&gt;DATE(2026,6,30),'Rate Inputs'!$J119,'Rate Inputs'!$J119*($H128-DATE(2025,7,1))/365+$K128*(DATE(2026,6,30)-$H128+1)/365),-2))),"")</f>
        <v/>
      </c>
      <c r="N128" s="98">
        <f>IF($P128="Ready",ROUNDUP(IFERROR($K128,0),-2),IF(OR($P128="FY26 provisional",$P128="FY26 secured"),"",0))</f>
        <v/>
      </c>
      <c r="O128" s="98">
        <f>IF($P128="Ready",IF('Rate Inputs'!$F119="","",ROUNDUP(IFERROR($L128,0),-2)),IF(OR($P128="FY26 provisional",$P128="FY26 secured"),"",0))</f>
        <v/>
      </c>
      <c r="P128" s="8" t="inlineStr">
        <is>
          <t>Ready</t>
        </is>
      </c>
      <c r="Q128" s="11" t="n"/>
    </row>
    <row r="129">
      <c r="A129" s="2" t="n">
        <v>6407100027</v>
      </c>
      <c r="B129" s="8">
        <f t="array" ref="B129:E129">_xlfn.XLOOKUP(A129,'Site Register'!A:A,'Site Register'!B:E)</f>
        <v/>
      </c>
      <c r="C129" s="8" t="inlineStr">
        <is>
          <t>Australia</t>
        </is>
      </c>
      <c r="D129" s="8" t="inlineStr">
        <is>
          <t>VIC</t>
        </is>
      </c>
      <c r="E129" s="8" t="inlineStr">
        <is>
          <t>AU Large Electricity</t>
        </is>
      </c>
      <c r="F129" s="8" t="inlineStr">
        <is>
          <t>kWh</t>
        </is>
      </c>
      <c r="G129" s="95" t="n">
        <v>118037.096</v>
      </c>
      <c r="H129" s="96" t="n">
        <v>46204</v>
      </c>
      <c r="I129" s="96" t="n">
        <v>46934</v>
      </c>
      <c r="J129" s="8" t="inlineStr">
        <is>
          <t>AUD</t>
        </is>
      </c>
      <c r="K129" s="97">
        <f>'Rate Inputs'!E120</f>
        <v/>
      </c>
      <c r="L129" s="97">
        <f>'Rate Inputs'!F120</f>
        <v/>
      </c>
      <c r="M129" s="98">
        <f>IF(OR($P129="Ready",$P129="FY26 provisional",$P129="FY26 secured"),IF($H129&lt;=DATE(2025,7,1),ROUNDUP($K129,-2),IF('Rate Inputs'!$J120="","",ROUNDUP(IF($H129&gt;DATE(2026,6,30),'Rate Inputs'!$J120,'Rate Inputs'!$J120*($H129-DATE(2025,7,1))/365+$K129*(DATE(2026,6,30)-$H129+1)/365),-2))),"")</f>
        <v/>
      </c>
      <c r="N129" s="98">
        <f>IF($P129="Ready",ROUNDUP(IFERROR($K129,0),-2),IF(OR($P129="FY26 provisional",$P129="FY26 secured"),"",0))</f>
        <v/>
      </c>
      <c r="O129" s="98">
        <f>IF($P129="Ready",IF('Rate Inputs'!$F120="","",ROUNDUP(IFERROR($L129,0),-2)),IF(OR($P129="FY26 provisional",$P129="FY26 secured"),"",0))</f>
        <v/>
      </c>
      <c r="P129" s="8" t="inlineStr">
        <is>
          <t>Ready</t>
        </is>
      </c>
      <c r="Q129" s="11" t="n"/>
    </row>
    <row r="130">
      <c r="A130" s="2" t="n">
        <v>6407695655</v>
      </c>
      <c r="B130" s="8">
        <f t="array" ref="B130:E130">_xlfn.XLOOKUP(A130,'Site Register'!A:A,'Site Register'!B:E)</f>
        <v/>
      </c>
      <c r="C130" s="8" t="inlineStr">
        <is>
          <t>Australia</t>
        </is>
      </c>
      <c r="D130" s="8" t="inlineStr">
        <is>
          <t>VIC</t>
        </is>
      </c>
      <c r="E130" s="8" t="inlineStr">
        <is>
          <t>AU Large Electricity</t>
        </is>
      </c>
      <c r="F130" s="8" t="inlineStr">
        <is>
          <t>kWh</t>
        </is>
      </c>
      <c r="G130" s="95" t="n">
        <v>28429.415</v>
      </c>
      <c r="H130" s="96" t="n">
        <v>46204</v>
      </c>
      <c r="I130" s="96" t="n">
        <v>46934</v>
      </c>
      <c r="J130" s="8" t="inlineStr">
        <is>
          <t>AUD</t>
        </is>
      </c>
      <c r="K130" s="97">
        <f>'Rate Inputs'!E123</f>
        <v/>
      </c>
      <c r="L130" s="97">
        <f>'Rate Inputs'!F123</f>
        <v/>
      </c>
      <c r="M130" s="98">
        <f>IF(OR($P130="Ready",$P130="FY26 provisional",$P130="FY26 secured"),IF($H130&lt;=DATE(2025,7,1),ROUNDUP($K130,-2),IF('Rate Inputs'!$J123="","",ROUNDUP(IF($H130&gt;DATE(2026,6,30),'Rate Inputs'!$J123,'Rate Inputs'!$J123*($H130-DATE(2025,7,1))/365+$K130*(DATE(2026,6,30)-$H130+1)/365),-2))),"")</f>
        <v/>
      </c>
      <c r="N130" s="98">
        <f>IF($P130="Ready",ROUNDUP(IFERROR($K130,0),-2),IF(OR($P130="FY26 provisional",$P130="FY26 secured"),"",0))</f>
        <v/>
      </c>
      <c r="O130" s="98">
        <f>IF($P130="Ready",IF('Rate Inputs'!$F123="","",ROUNDUP(IFERROR($L130,0),-2)),IF(OR($P130="FY26 provisional",$P130="FY26 secured"),"",0))</f>
        <v/>
      </c>
      <c r="P130" s="8" t="inlineStr">
        <is>
          <t>Ready</t>
        </is>
      </c>
      <c r="Q130" s="11" t="n"/>
    </row>
    <row r="131">
      <c r="A131" s="2" t="inlineStr">
        <is>
          <t>VBBB002698</t>
        </is>
      </c>
      <c r="B131" s="8">
        <f t="array" ref="B131:E131">_xlfn.XLOOKUP(A131,'Site Register'!A:A,'Site Register'!B:E)</f>
        <v/>
      </c>
      <c r="C131" s="8" t="inlineStr">
        <is>
          <t>Australia</t>
        </is>
      </c>
      <c r="D131" s="8" t="inlineStr">
        <is>
          <t>VIC</t>
        </is>
      </c>
      <c r="E131" s="8" t="inlineStr">
        <is>
          <t>AU Large Electricity</t>
        </is>
      </c>
      <c r="F131" s="8" t="inlineStr">
        <is>
          <t>kWh</t>
        </is>
      </c>
      <c r="G131" s="95" t="n">
        <v>435696.23</v>
      </c>
      <c r="H131" s="96" t="n">
        <v>46204</v>
      </c>
      <c r="I131" s="96" t="n">
        <v>46934</v>
      </c>
      <c r="J131" s="8" t="inlineStr">
        <is>
          <t>AUD</t>
        </is>
      </c>
      <c r="K131" s="97">
        <f>'Rate Inputs'!E125</f>
        <v/>
      </c>
      <c r="L131" s="97">
        <f>'Rate Inputs'!F125</f>
        <v/>
      </c>
      <c r="M131" s="98">
        <f>IF(OR($P131="Ready",$P131="FY26 provisional",$P131="FY26 secured"),IF($H131&lt;=DATE(2025,7,1),ROUNDUP($K131,-2),IF('Rate Inputs'!$J125="","",ROUNDUP(IF($H131&gt;DATE(2026,6,30),'Rate Inputs'!$J125,'Rate Inputs'!$J125*($H131-DATE(2025,7,1))/365+$K131*(DATE(2026,6,30)-$H131+1)/365),-2))),"")</f>
        <v/>
      </c>
      <c r="N131" s="98">
        <f>IF($P131="Ready",ROUNDUP(IFERROR($K131,0),-2),IF(OR($P131="FY26 provisional",$P131="FY26 secured"),"",0))</f>
        <v/>
      </c>
      <c r="O131" s="98">
        <f>IF($P131="Ready",IF('Rate Inputs'!$F125="","",ROUNDUP(IFERROR($L131,0),-2)),IF(OR($P131="FY26 provisional",$P131="FY26 secured"),"",0))</f>
        <v/>
      </c>
      <c r="P131" s="8" t="inlineStr">
        <is>
          <t>Ready</t>
        </is>
      </c>
      <c r="Q131" s="11" t="n"/>
    </row>
    <row r="132">
      <c r="A132" s="2" t="inlineStr">
        <is>
          <t>VDDD001226</t>
        </is>
      </c>
      <c r="B132" s="8">
        <f t="array" ref="B132:E132">_xlfn.XLOOKUP(A132,'Site Register'!A:A,'Site Register'!B:E)</f>
        <v/>
      </c>
      <c r="C132" s="8" t="inlineStr">
        <is>
          <t>Australia</t>
        </is>
      </c>
      <c r="D132" s="8" t="inlineStr">
        <is>
          <t>VIC</t>
        </is>
      </c>
      <c r="E132" s="8" t="inlineStr">
        <is>
          <t>AU Large Electricity</t>
        </is>
      </c>
      <c r="F132" s="8" t="inlineStr">
        <is>
          <t>kWh</t>
        </is>
      </c>
      <c r="G132" s="95" t="n">
        <v>906577.55</v>
      </c>
      <c r="H132" s="96" t="n">
        <v>46204</v>
      </c>
      <c r="I132" s="96" t="n">
        <v>46934</v>
      </c>
      <c r="J132" s="8" t="inlineStr">
        <is>
          <t>AUD</t>
        </is>
      </c>
      <c r="K132" s="97">
        <f>'Rate Inputs'!E126</f>
        <v/>
      </c>
      <c r="L132" s="97">
        <f>'Rate Inputs'!F126</f>
        <v/>
      </c>
      <c r="M132" s="98">
        <f>IF(OR($P132="Ready",$P132="FY26 provisional",$P132="FY26 secured"),IF($H132&lt;=DATE(2025,7,1),ROUNDUP($K132,-2),IF('Rate Inputs'!$J126="","",ROUNDUP(IF($H132&gt;DATE(2026,6,30),'Rate Inputs'!$J126,'Rate Inputs'!$J126*($H132-DATE(2025,7,1))/365+$K132*(DATE(2026,6,30)-$H132+1)/365),-2))),"")</f>
        <v/>
      </c>
      <c r="N132" s="98">
        <f>IF($P132="Ready",ROUNDUP(IFERROR($K132,0),-2),IF(OR($P132="FY26 provisional",$P132="FY26 secured"),"",0))</f>
        <v/>
      </c>
      <c r="O132" s="98">
        <f>IF($P132="Ready",IF('Rate Inputs'!$F126="","",ROUNDUP(IFERROR($L132,0),-2)),IF(OR($P132="FY26 provisional",$P132="FY26 secured"),"",0))</f>
        <v/>
      </c>
      <c r="P132" s="8" t="inlineStr">
        <is>
          <t>Ready</t>
        </is>
      </c>
      <c r="Q132" s="11" t="n"/>
    </row>
    <row r="133">
      <c r="A133" s="2" t="n">
        <v>2500033707</v>
      </c>
      <c r="B133" s="8">
        <f t="array" ref="B133:E133">_xlfn.XLOOKUP(A133,'Site Register'!A:A,'Site Register'!B:E)</f>
        <v/>
      </c>
      <c r="C133" s="8" t="inlineStr">
        <is>
          <t>Australia</t>
        </is>
      </c>
      <c r="D133" s="8" t="inlineStr">
        <is>
          <t>NT</t>
        </is>
      </c>
      <c r="E133" s="8" t="inlineStr">
        <is>
          <t>AU Large Electricity</t>
        </is>
      </c>
      <c r="F133" s="8" t="inlineStr">
        <is>
          <t>kWh</t>
        </is>
      </c>
      <c r="G133" s="95" t="n">
        <v>0</v>
      </c>
      <c r="H133" s="96" t="n">
        <v>46204</v>
      </c>
      <c r="I133" s="96" t="n">
        <v>46568</v>
      </c>
      <c r="J133" s="8" t="inlineStr">
        <is>
          <t>AUD</t>
        </is>
      </c>
      <c r="K133" s="97">
        <f>'Rate Inputs'!E51</f>
        <v/>
      </c>
      <c r="L133" s="97">
        <f>'Rate Inputs'!F51</f>
        <v/>
      </c>
      <c r="M133" s="98">
        <f>IF(OR($P133="Ready",$P133="FY26 provisional",$P133="FY26 secured"),IF($H133&lt;=DATE(2025,7,1),ROUNDUP($K133,-2),IF('Rate Inputs'!$J51="","",ROUNDUP(IF($H133&gt;DATE(2026,6,30),'Rate Inputs'!$J51,'Rate Inputs'!$J51*($H133-DATE(2025,7,1))/365+$K133*(DATE(2026,6,30)-$H133+1)/365),-2))),"")</f>
        <v/>
      </c>
      <c r="N133" s="98">
        <f>IF($P133="Ready",ROUNDUP(IFERROR($K133,0),-2),IF(OR($P133="FY26 provisional",$P133="FY26 secured"),"",0))</f>
        <v/>
      </c>
      <c r="O133" s="98">
        <f>IF($P133="Ready",IF('Rate Inputs'!$F51="","",ROUNDUP(IFERROR($L133,0),-2)),IF(OR($P133="FY26 provisional",$P133="FY26 secured"),"",0))</f>
        <v/>
      </c>
      <c r="P133" s="8" t="inlineStr">
        <is>
          <t>Review required</t>
        </is>
      </c>
      <c r="Q133" s="11" t="n"/>
    </row>
    <row r="134">
      <c r="A134" s="2" t="n">
        <v>2500044629</v>
      </c>
      <c r="B134" s="8">
        <f t="array" ref="B134:E134">_xlfn.XLOOKUP(A134,'Site Register'!A:A,'Site Register'!B:E)</f>
        <v/>
      </c>
      <c r="C134" s="8" t="inlineStr">
        <is>
          <t>Australia</t>
        </is>
      </c>
      <c r="D134" s="8" t="inlineStr">
        <is>
          <t>NT</t>
        </is>
      </c>
      <c r="E134" s="8" t="inlineStr">
        <is>
          <t>AU Large Electricity</t>
        </is>
      </c>
      <c r="F134" s="8" t="inlineStr">
        <is>
          <t>kWh</t>
        </is>
      </c>
      <c r="G134" s="95" t="n">
        <v>0</v>
      </c>
      <c r="H134" s="96" t="n">
        <v>46204</v>
      </c>
      <c r="I134" s="96" t="n">
        <v>46568</v>
      </c>
      <c r="J134" s="8" t="inlineStr">
        <is>
          <t>AUD</t>
        </is>
      </c>
      <c r="K134" s="97">
        <f>'Rate Inputs'!E52</f>
        <v/>
      </c>
      <c r="L134" s="97">
        <f>'Rate Inputs'!F52</f>
        <v/>
      </c>
      <c r="M134" s="98">
        <f>IF(OR($P134="Ready",$P134="FY26 provisional",$P134="FY26 secured"),IF($H134&lt;=DATE(2025,7,1),ROUNDUP($K134,-2),IF('Rate Inputs'!$J52="","",ROUNDUP(IF($H134&gt;DATE(2026,6,30),'Rate Inputs'!$J52,'Rate Inputs'!$J52*($H134-DATE(2025,7,1))/365+$K134*(DATE(2026,6,30)-$H134+1)/365),-2))),"")</f>
        <v/>
      </c>
      <c r="N134" s="98">
        <f>IF($P134="Ready",ROUNDUP(IFERROR($K134,0),-2),IF(OR($P134="FY26 provisional",$P134="FY26 secured"),"",0))</f>
        <v/>
      </c>
      <c r="O134" s="98">
        <f>IF($P134="Ready",IF('Rate Inputs'!$F52="","",ROUNDUP(IFERROR($L134,0),-2)),IF(OR($P134="FY26 provisional",$P134="FY26 secured"),"",0))</f>
        <v/>
      </c>
      <c r="P134" s="8" t="inlineStr">
        <is>
          <t>Review required</t>
        </is>
      </c>
      <c r="Q134" s="11" t="n"/>
    </row>
    <row r="135">
      <c r="A135" s="2" t="n">
        <v>2500054287</v>
      </c>
      <c r="B135" s="8">
        <f t="array" ref="B135:E135">_xlfn.XLOOKUP(A135,'Site Register'!A:A,'Site Register'!B:E)</f>
        <v/>
      </c>
      <c r="C135" s="8" t="inlineStr">
        <is>
          <t>Australia</t>
        </is>
      </c>
      <c r="D135" s="8" t="inlineStr">
        <is>
          <t>NT</t>
        </is>
      </c>
      <c r="E135" s="8" t="inlineStr">
        <is>
          <t>AU Large Electricity</t>
        </is>
      </c>
      <c r="F135" s="8" t="inlineStr">
        <is>
          <t>kWh</t>
        </is>
      </c>
      <c r="G135" s="95" t="n">
        <v>2347683.89</v>
      </c>
      <c r="H135" s="96" t="n">
        <v>46204</v>
      </c>
      <c r="I135" s="96" t="n">
        <v>46568</v>
      </c>
      <c r="J135" s="8" t="inlineStr">
        <is>
          <t>AUD</t>
        </is>
      </c>
      <c r="K135" s="97">
        <f>'Rate Inputs'!E53</f>
        <v/>
      </c>
      <c r="L135" s="97">
        <f>'Rate Inputs'!F53</f>
        <v/>
      </c>
      <c r="M135" s="98">
        <f>IF(OR($P135="Ready",$P135="FY26 provisional",$P135="FY26 secured"),IF($H135&lt;=DATE(2025,7,1),ROUNDUP($K135,-2),IF('Rate Inputs'!$J53="","",ROUNDUP(IF($H135&gt;DATE(2026,6,30),'Rate Inputs'!$J53,'Rate Inputs'!$J53*($H135-DATE(2025,7,1))/365+$K135*(DATE(2026,6,30)-$H135+1)/365),-2))),"")</f>
        <v/>
      </c>
      <c r="N135" s="98">
        <f>IF($P135="Ready",ROUNDUP(IFERROR($K135,0),-2),IF(OR($P135="FY26 provisional",$P135="FY26 secured"),"",0))</f>
        <v/>
      </c>
      <c r="O135" s="100">
        <f>N135</f>
        <v/>
      </c>
      <c r="P135" s="8" t="inlineStr">
        <is>
          <t>Ready</t>
        </is>
      </c>
      <c r="Q135" s="11" t="inlineStr">
        <is>
          <t>Estimated FY28 based on FY27 contract</t>
        </is>
      </c>
    </row>
    <row r="136">
      <c r="A136" s="2" t="n">
        <v>3030075637</v>
      </c>
      <c r="B136" s="8">
        <f t="array" ref="B136:E136">_xlfn.XLOOKUP(A136,'Site Register'!A:A,'Site Register'!B:E)</f>
        <v/>
      </c>
      <c r="C136" s="8" t="inlineStr">
        <is>
          <t>Australia</t>
        </is>
      </c>
      <c r="D136" s="8" t="inlineStr">
        <is>
          <t>QLD</t>
        </is>
      </c>
      <c r="E136" s="8" t="inlineStr">
        <is>
          <t>AU Large Electricity</t>
        </is>
      </c>
      <c r="F136" s="8" t="inlineStr">
        <is>
          <t>kWh</t>
        </is>
      </c>
      <c r="G136" s="95" t="n">
        <v>66273.91</v>
      </c>
      <c r="H136" s="96" t="n">
        <v>46204</v>
      </c>
      <c r="I136" s="96" t="n">
        <v>46934</v>
      </c>
      <c r="J136" s="8" t="inlineStr">
        <is>
          <t>AUD</t>
        </is>
      </c>
      <c r="K136" s="97">
        <f>'Rate Inputs'!E54</f>
        <v/>
      </c>
      <c r="L136" s="97">
        <f>'Rate Inputs'!F54</f>
        <v/>
      </c>
      <c r="M136" s="98">
        <f>IF(OR($P136="Ready",$P136="FY26 provisional",$P136="FY26 secured"),IF($H136&lt;=DATE(2025,7,1),ROUNDUP($K136,-2),IF('Rate Inputs'!$J54="","",ROUNDUP(IF($H136&gt;DATE(2026,6,30),'Rate Inputs'!$J54,'Rate Inputs'!$J54*($H136-DATE(2025,7,1))/365+$K136*(DATE(2026,6,30)-$H136+1)/365),-2))),"")</f>
        <v/>
      </c>
      <c r="N136" s="98">
        <f>IF($P136="Ready",ROUNDUP(IFERROR($K136,0),-2),IF(OR($P136="FY26 provisional",$P136="FY26 secured"),"",0))</f>
        <v/>
      </c>
      <c r="O136" s="98">
        <f>IF($P136="Ready",IF('Rate Inputs'!$F54="","",ROUNDUP(IFERROR($L136,0),-2)),IF(OR($P136="FY26 provisional",$P136="FY26 secured"),"",0))</f>
        <v/>
      </c>
      <c r="P136" s="8" t="inlineStr">
        <is>
          <t>Ready</t>
        </is>
      </c>
      <c r="Q136" s="11" t="n"/>
    </row>
    <row r="137">
      <c r="A137" s="2" t="n">
        <v>3051770385</v>
      </c>
      <c r="B137" s="8">
        <f t="array" ref="B137:E137">_xlfn.XLOOKUP(A137,'Site Register'!A:A,'Site Register'!B:E)</f>
        <v/>
      </c>
      <c r="C137" s="8" t="inlineStr">
        <is>
          <t>Australia</t>
        </is>
      </c>
      <c r="D137" s="8" t="inlineStr">
        <is>
          <t>QLD</t>
        </is>
      </c>
      <c r="E137" s="8" t="inlineStr">
        <is>
          <t>AU Large Electricity</t>
        </is>
      </c>
      <c r="F137" s="8" t="inlineStr">
        <is>
          <t>kWh</t>
        </is>
      </c>
      <c r="G137" s="95" t="n">
        <v>208479.476</v>
      </c>
      <c r="H137" s="96" t="n">
        <v>46204</v>
      </c>
      <c r="I137" s="96" t="n">
        <v>46934</v>
      </c>
      <c r="J137" s="8" t="inlineStr">
        <is>
          <t>AUD</t>
        </is>
      </c>
      <c r="K137" s="97">
        <f>'Rate Inputs'!E58</f>
        <v/>
      </c>
      <c r="L137" s="97">
        <f>'Rate Inputs'!F58</f>
        <v/>
      </c>
      <c r="M137" s="98">
        <f>IF(OR($P137="Ready",$P137="FY26 provisional",$P137="FY26 secured"),IF($H137&lt;=DATE(2025,7,1),ROUNDUP($K137,-2),IF('Rate Inputs'!$J58="","",ROUNDUP(IF($H137&gt;DATE(2026,6,30),'Rate Inputs'!$J58,'Rate Inputs'!$J58*($H137-DATE(2025,7,1))/365+$K137*(DATE(2026,6,30)-$H137+1)/365),-2))),"")</f>
        <v/>
      </c>
      <c r="N137" s="98">
        <f>IF($P137="Ready",ROUNDUP(IFERROR($K137,0),-2),IF(OR($P137="FY26 provisional",$P137="FY26 secured"),"",0))</f>
        <v/>
      </c>
      <c r="O137" s="98">
        <f>IF($P137="Ready",IF('Rate Inputs'!$F58="","",ROUNDUP(IFERROR($L137,0),-2)),IF(OR($P137="FY26 provisional",$P137="FY26 secured"),"",0))</f>
        <v/>
      </c>
      <c r="P137" s="8" t="inlineStr">
        <is>
          <t>Ready</t>
        </is>
      </c>
      <c r="Q137" s="11" t="n"/>
    </row>
    <row r="138">
      <c r="A138" s="2" t="n">
        <v>3116382269</v>
      </c>
      <c r="B138" s="8">
        <f t="array" ref="B138:E138">_xlfn.XLOOKUP(A138,'Site Register'!A:A,'Site Register'!B:E)</f>
        <v/>
      </c>
      <c r="C138" s="8" t="inlineStr">
        <is>
          <t>Australia</t>
        </is>
      </c>
      <c r="D138" s="8" t="inlineStr">
        <is>
          <t>QLD</t>
        </is>
      </c>
      <c r="E138" s="8" t="inlineStr">
        <is>
          <t>AU Large Electricity</t>
        </is>
      </c>
      <c r="F138" s="8" t="inlineStr">
        <is>
          <t>kWh</t>
        </is>
      </c>
      <c r="G138" s="95" t="n">
        <v>8005232.9</v>
      </c>
      <c r="H138" s="96" t="n">
        <v>46204</v>
      </c>
      <c r="I138" s="96" t="n">
        <v>46934</v>
      </c>
      <c r="J138" s="8" t="inlineStr">
        <is>
          <t>AUD</t>
        </is>
      </c>
      <c r="K138" s="97">
        <f>'Rate Inputs'!E60</f>
        <v/>
      </c>
      <c r="L138" s="97">
        <f>'Rate Inputs'!F60</f>
        <v/>
      </c>
      <c r="M138" s="98">
        <f>IF(OR($P138="Ready",$P138="FY26 provisional",$P138="FY26 secured"),IF($H138&lt;=DATE(2025,7,1),ROUNDUP($K138,-2),IF('Rate Inputs'!$J60="","",ROUNDUP(IF($H138&gt;DATE(2026,6,30),'Rate Inputs'!$J60,'Rate Inputs'!$J60*($H138-DATE(2025,7,1))/365+$K138*(DATE(2026,6,30)-$H138+1)/365),-2))),"")</f>
        <v/>
      </c>
      <c r="N138" s="98">
        <f>IF($P138="Ready",ROUNDUP(IFERROR($K138,0),-2),IF(OR($P138="FY26 provisional",$P138="FY26 secured"),"",0))</f>
        <v/>
      </c>
      <c r="O138" s="98">
        <f>IF($P138="Ready",IF('Rate Inputs'!$F60="","",ROUNDUP(IFERROR($L138,0),-2)),IF(OR($P138="FY26 provisional",$P138="FY26 secured"),"",0))</f>
        <v/>
      </c>
      <c r="P138" s="8" t="inlineStr">
        <is>
          <t>Ready</t>
        </is>
      </c>
      <c r="Q138" s="11" t="n"/>
    </row>
    <row r="139">
      <c r="A139" s="2" t="n">
        <v>3116600011</v>
      </c>
      <c r="B139" s="8">
        <f t="array" ref="B139:E139">_xlfn.XLOOKUP(A139,'Site Register'!A:A,'Site Register'!B:E)</f>
        <v/>
      </c>
      <c r="C139" s="8" t="inlineStr">
        <is>
          <t>Australia</t>
        </is>
      </c>
      <c r="D139" s="8" t="inlineStr">
        <is>
          <t>QLD</t>
        </is>
      </c>
      <c r="E139" s="8" t="inlineStr">
        <is>
          <t>AU Large Electricity</t>
        </is>
      </c>
      <c r="F139" s="8" t="inlineStr">
        <is>
          <t>kWh</t>
        </is>
      </c>
      <c r="G139" s="95" t="n">
        <v>49553.7</v>
      </c>
      <c r="H139" s="96" t="n">
        <v>46204</v>
      </c>
      <c r="I139" s="96" t="n">
        <v>46934</v>
      </c>
      <c r="J139" s="8" t="inlineStr">
        <is>
          <t>AUD</t>
        </is>
      </c>
      <c r="K139" s="97">
        <f>'Rate Inputs'!E61</f>
        <v/>
      </c>
      <c r="L139" s="97">
        <f>'Rate Inputs'!F61</f>
        <v/>
      </c>
      <c r="M139" s="98">
        <f>IF(OR($P139="Ready",$P139="FY26 provisional",$P139="FY26 secured"),IF($H139&lt;=DATE(2025,7,1),ROUNDUP($K139,-2),IF('Rate Inputs'!$J61="","",ROUNDUP(IF($H139&gt;DATE(2026,6,30),'Rate Inputs'!$J61,'Rate Inputs'!$J61*($H139-DATE(2025,7,1))/365+$K139*(DATE(2026,6,30)-$H139+1)/365),-2))),"")</f>
        <v/>
      </c>
      <c r="N139" s="98">
        <f>IF($P139="Ready",ROUNDUP(IFERROR($K139,0),-2),IF(OR($P139="FY26 provisional",$P139="FY26 secured"),"",0))</f>
        <v/>
      </c>
      <c r="O139" s="98">
        <f>IF($P139="Ready",IF('Rate Inputs'!$F61="","",ROUNDUP(IFERROR($L139,0),-2)),IF(OR($P139="FY26 provisional",$P139="FY26 secured"),"",0))</f>
        <v/>
      </c>
      <c r="P139" s="8" t="inlineStr">
        <is>
          <t>Ready</t>
        </is>
      </c>
      <c r="Q139" s="11" t="n"/>
    </row>
    <row r="140">
      <c r="A140" s="2" t="n">
        <v>3117134943</v>
      </c>
      <c r="B140" s="8">
        <f t="array" ref="B140:E140">_xlfn.XLOOKUP(A140,'Site Register'!A:A,'Site Register'!B:E)</f>
        <v/>
      </c>
      <c r="C140" s="8" t="inlineStr">
        <is>
          <t>Australia</t>
        </is>
      </c>
      <c r="D140" s="8" t="inlineStr">
        <is>
          <t>QLD</t>
        </is>
      </c>
      <c r="E140" s="8" t="inlineStr">
        <is>
          <t>AU Large Electricity</t>
        </is>
      </c>
      <c r="F140" s="8" t="inlineStr">
        <is>
          <t>kWh</t>
        </is>
      </c>
      <c r="G140" s="95" t="n">
        <v>189990.46</v>
      </c>
      <c r="H140" s="96" t="n">
        <v>46204</v>
      </c>
      <c r="I140" s="96" t="n">
        <v>46934</v>
      </c>
      <c r="J140" s="8" t="inlineStr">
        <is>
          <t>AUD</t>
        </is>
      </c>
      <c r="K140" s="97">
        <f>'Rate Inputs'!E62</f>
        <v/>
      </c>
      <c r="L140" s="97">
        <f>'Rate Inputs'!F62</f>
        <v/>
      </c>
      <c r="M140" s="98">
        <f>IF(OR($P140="Ready",$P140="FY26 provisional",$P140="FY26 secured"),IF($H140&lt;=DATE(2025,7,1),ROUNDUP($K140,-2),IF('Rate Inputs'!$J62="","",ROUNDUP(IF($H140&gt;DATE(2026,6,30),'Rate Inputs'!$J62,'Rate Inputs'!$J62*($H140-DATE(2025,7,1))/365+$K140*(DATE(2026,6,30)-$H140+1)/365),-2))),"")</f>
        <v/>
      </c>
      <c r="N140" s="98">
        <f>IF($P140="Ready",ROUNDUP(IFERROR($K140,0),-2),IF(OR($P140="FY26 provisional",$P140="FY26 secured"),"",0))</f>
        <v/>
      </c>
      <c r="O140" s="98">
        <f>IF($P140="Ready",IF('Rate Inputs'!$F62="","",ROUNDUP(IFERROR($L140,0),-2)),IF(OR($P140="FY26 provisional",$P140="FY26 secured"),"",0))</f>
        <v/>
      </c>
      <c r="P140" s="8" t="inlineStr">
        <is>
          <t>Ready</t>
        </is>
      </c>
      <c r="Q140" s="11" t="n"/>
    </row>
    <row r="141">
      <c r="A141" s="2" t="n">
        <v>3120014382</v>
      </c>
      <c r="B141" s="8">
        <f t="array" ref="B141:E141">_xlfn.XLOOKUP(A141,'Site Register'!A:A,'Site Register'!B:E)</f>
        <v/>
      </c>
      <c r="C141" s="8" t="inlineStr">
        <is>
          <t>Australia</t>
        </is>
      </c>
      <c r="D141" s="8" t="inlineStr">
        <is>
          <t>QLD</t>
        </is>
      </c>
      <c r="E141" s="8" t="inlineStr">
        <is>
          <t>AU Large Electricity</t>
        </is>
      </c>
      <c r="F141" s="8" t="inlineStr">
        <is>
          <t>kWh</t>
        </is>
      </c>
      <c r="G141" s="95" t="n">
        <v>344623.504</v>
      </c>
      <c r="H141" s="96" t="n">
        <v>46204</v>
      </c>
      <c r="I141" s="96" t="n">
        <v>46934</v>
      </c>
      <c r="J141" s="8" t="inlineStr">
        <is>
          <t>AUD</t>
        </is>
      </c>
      <c r="K141" s="97">
        <f>'Rate Inputs'!E63</f>
        <v/>
      </c>
      <c r="L141" s="97">
        <f>'Rate Inputs'!F63</f>
        <v/>
      </c>
      <c r="M141" s="98">
        <f>IF(OR($P141="Ready",$P141="FY26 provisional",$P141="FY26 secured"),IF($H141&lt;=DATE(2025,7,1),ROUNDUP($K141,-2),IF('Rate Inputs'!$J63="","",ROUNDUP(IF($H141&gt;DATE(2026,6,30),'Rate Inputs'!$J63,'Rate Inputs'!$J63*($H141-DATE(2025,7,1))/365+$K141*(DATE(2026,6,30)-$H141+1)/365),-2))),"")</f>
        <v/>
      </c>
      <c r="N141" s="98">
        <f>IF($P141="Ready",ROUNDUP(IFERROR($K141,0),-2),IF(OR($P141="FY26 provisional",$P141="FY26 secured"),"",0))</f>
        <v/>
      </c>
      <c r="O141" s="98">
        <f>IF($P141="Ready",IF('Rate Inputs'!$F63="","",ROUNDUP(IFERROR($L141,0),-2)),IF(OR($P141="FY26 provisional",$P141="FY26 secured"),"",0))</f>
        <v/>
      </c>
      <c r="P141" s="8" t="inlineStr">
        <is>
          <t>Ready</t>
        </is>
      </c>
      <c r="Q141" s="11" t="n"/>
    </row>
    <row r="142">
      <c r="A142" s="2" t="n">
        <v>3120070486</v>
      </c>
      <c r="B142" s="8">
        <f t="array" ref="B142:E142">_xlfn.XLOOKUP(A142,'Site Register'!A:A,'Site Register'!B:E)</f>
        <v/>
      </c>
      <c r="C142" s="8" t="inlineStr">
        <is>
          <t>Australia</t>
        </is>
      </c>
      <c r="D142" s="8" t="inlineStr">
        <is>
          <t>QLD</t>
        </is>
      </c>
      <c r="E142" s="8" t="inlineStr">
        <is>
          <t>AU Large Electricity</t>
        </is>
      </c>
      <c r="F142" s="8" t="inlineStr">
        <is>
          <t>kWh</t>
        </is>
      </c>
      <c r="G142" s="95" t="n">
        <v>260263.44</v>
      </c>
      <c r="H142" s="96" t="n">
        <v>46204</v>
      </c>
      <c r="I142" s="96" t="n">
        <v>46934</v>
      </c>
      <c r="J142" s="8" t="inlineStr">
        <is>
          <t>AUD</t>
        </is>
      </c>
      <c r="K142" s="97">
        <f>'Rate Inputs'!E64</f>
        <v/>
      </c>
      <c r="L142" s="97">
        <f>'Rate Inputs'!F64</f>
        <v/>
      </c>
      <c r="M142" s="98">
        <f>IF(OR($P142="Ready",$P142="FY26 provisional",$P142="FY26 secured"),IF($H142&lt;=DATE(2025,7,1),ROUNDUP($K142,-2),IF('Rate Inputs'!$J64="","",ROUNDUP(IF($H142&gt;DATE(2026,6,30),'Rate Inputs'!$J64,'Rate Inputs'!$J64*($H142-DATE(2025,7,1))/365+$K142*(DATE(2026,6,30)-$H142+1)/365),-2))),"")</f>
        <v/>
      </c>
      <c r="N142" s="98">
        <f>IF($P142="Ready",ROUNDUP(IFERROR($K142,0),-2),IF(OR($P142="FY26 provisional",$P142="FY26 secured"),"",0))</f>
        <v/>
      </c>
      <c r="O142" s="98">
        <f>IF($P142="Ready",IF('Rate Inputs'!$F64="","",ROUNDUP(IFERROR($L142,0),-2)),IF(OR($P142="FY26 provisional",$P142="FY26 secured"),"",0))</f>
        <v/>
      </c>
      <c r="P142" s="8" t="inlineStr">
        <is>
          <t>Ready</t>
        </is>
      </c>
      <c r="Q142" s="11" t="n"/>
    </row>
    <row r="143">
      <c r="A143" s="2" t="n">
        <v>3120103988</v>
      </c>
      <c r="B143" s="8">
        <f t="array" ref="B143:E143">_xlfn.XLOOKUP(A143,'Site Register'!A:A,'Site Register'!B:E)</f>
        <v/>
      </c>
      <c r="C143" s="8" t="inlineStr">
        <is>
          <t>Australia</t>
        </is>
      </c>
      <c r="D143" s="8" t="inlineStr">
        <is>
          <t>QLD</t>
        </is>
      </c>
      <c r="E143" s="8" t="inlineStr">
        <is>
          <t>AU Large Electricity</t>
        </is>
      </c>
      <c r="F143" s="8" t="inlineStr">
        <is>
          <t>kWh</t>
        </is>
      </c>
      <c r="G143" s="95" t="n">
        <v>747633.8</v>
      </c>
      <c r="H143" s="96" t="n">
        <v>46204</v>
      </c>
      <c r="I143" s="96" t="n">
        <v>46934</v>
      </c>
      <c r="J143" s="8" t="inlineStr">
        <is>
          <t>AUD</t>
        </is>
      </c>
      <c r="K143" s="97">
        <f>'Rate Inputs'!E65</f>
        <v/>
      </c>
      <c r="L143" s="97">
        <f>'Rate Inputs'!F65</f>
        <v/>
      </c>
      <c r="M143" s="98">
        <f>IF(OR($P143="Ready",$P143="FY26 provisional",$P143="FY26 secured"),IF($H143&lt;=DATE(2025,7,1),ROUNDUP($K143,-2),IF('Rate Inputs'!$J65="","",ROUNDUP(IF($H143&gt;DATE(2026,6,30),'Rate Inputs'!$J65,'Rate Inputs'!$J65*($H143-DATE(2025,7,1))/365+$K143*(DATE(2026,6,30)-$H143+1)/365),-2))),"")</f>
        <v/>
      </c>
      <c r="N143" s="98">
        <f>IF($P143="Ready",ROUNDUP(IFERROR($K143,0),-2),IF(OR($P143="FY26 provisional",$P143="FY26 secured"),"",0))</f>
        <v/>
      </c>
      <c r="O143" s="98">
        <f>IF($P143="Ready",IF('Rate Inputs'!$F65="","",ROUNDUP(IFERROR($L143,0),-2)),IF(OR($P143="FY26 provisional",$P143="FY26 secured"),"",0))</f>
        <v/>
      </c>
      <c r="P143" s="8" t="inlineStr">
        <is>
          <t>Ready</t>
        </is>
      </c>
      <c r="Q143" s="11" t="n"/>
    </row>
    <row r="144">
      <c r="A144" s="2" t="n">
        <v>3120129028</v>
      </c>
      <c r="B144" s="8">
        <f t="array" ref="B144:E144">_xlfn.XLOOKUP(A144,'Site Register'!A:A,'Site Register'!B:E)</f>
        <v/>
      </c>
      <c r="C144" s="8" t="inlineStr">
        <is>
          <t>Australia</t>
        </is>
      </c>
      <c r="D144" s="8" t="inlineStr">
        <is>
          <t>QLD</t>
        </is>
      </c>
      <c r="E144" s="8" t="inlineStr">
        <is>
          <t>AU Large Electricity</t>
        </is>
      </c>
      <c r="F144" s="8" t="inlineStr">
        <is>
          <t>kWh</t>
        </is>
      </c>
      <c r="G144" s="95" t="n">
        <v>207140.699999999</v>
      </c>
      <c r="H144" s="96" t="n">
        <v>46204</v>
      </c>
      <c r="I144" s="96" t="n">
        <v>46934</v>
      </c>
      <c r="J144" s="8" t="inlineStr">
        <is>
          <t>AUD</t>
        </is>
      </c>
      <c r="K144" s="97">
        <f>'Rate Inputs'!E66</f>
        <v/>
      </c>
      <c r="L144" s="97">
        <f>'Rate Inputs'!F66</f>
        <v/>
      </c>
      <c r="M144" s="98">
        <f>IF(OR($P144="Ready",$P144="FY26 provisional",$P144="FY26 secured"),IF($H144&lt;=DATE(2025,7,1),ROUNDUP($K144,-2),IF('Rate Inputs'!$J66="","",ROUNDUP(IF($H144&gt;DATE(2026,6,30),'Rate Inputs'!$J66,'Rate Inputs'!$J66*($H144-DATE(2025,7,1))/365+$K144*(DATE(2026,6,30)-$H144+1)/365),-2))),"")</f>
        <v/>
      </c>
      <c r="N144" s="98">
        <f>IF($P144="Ready",ROUNDUP(IFERROR($K144,0),-2),IF(OR($P144="FY26 provisional",$P144="FY26 secured"),"",0))</f>
        <v/>
      </c>
      <c r="O144" s="98">
        <f>IF($P144="Ready",IF('Rate Inputs'!$F66="","",ROUNDUP(IFERROR($L144,0),-2)),IF(OR($P144="FY26 provisional",$P144="FY26 secured"),"",0))</f>
        <v/>
      </c>
      <c r="P144" s="8" t="inlineStr">
        <is>
          <t>Ready</t>
        </is>
      </c>
      <c r="Q144" s="11" t="n"/>
    </row>
    <row r="145">
      <c r="A145" s="2" t="n">
        <v>3120143385</v>
      </c>
      <c r="B145" s="8">
        <f t="array" ref="B145:E145">_xlfn.XLOOKUP(A145,'Site Register'!A:A,'Site Register'!B:E)</f>
        <v/>
      </c>
      <c r="C145" s="8" t="inlineStr">
        <is>
          <t>Australia</t>
        </is>
      </c>
      <c r="D145" s="8" t="inlineStr">
        <is>
          <t>QLD</t>
        </is>
      </c>
      <c r="E145" s="8" t="inlineStr">
        <is>
          <t>AU Large Electricity</t>
        </is>
      </c>
      <c r="F145" s="8" t="inlineStr">
        <is>
          <t>kWh</t>
        </is>
      </c>
      <c r="G145" s="95" t="n">
        <v>225934.4146</v>
      </c>
      <c r="H145" s="96" t="n">
        <v>46204</v>
      </c>
      <c r="I145" s="96" t="n">
        <v>46934</v>
      </c>
      <c r="J145" s="8" t="inlineStr">
        <is>
          <t>AUD</t>
        </is>
      </c>
      <c r="K145" s="97">
        <f>'Rate Inputs'!E67</f>
        <v/>
      </c>
      <c r="L145" s="97">
        <f>'Rate Inputs'!F67</f>
        <v/>
      </c>
      <c r="M145" s="98">
        <f>IF(OR($P145="Ready",$P145="FY26 provisional",$P145="FY26 secured"),IF($H145&lt;=DATE(2025,7,1),ROUNDUP($K145,-2),IF('Rate Inputs'!$J67="","",ROUNDUP(IF($H145&gt;DATE(2026,6,30),'Rate Inputs'!$J67,'Rate Inputs'!$J67*($H145-DATE(2025,7,1))/365+$K145*(DATE(2026,6,30)-$H145+1)/365),-2))),"")</f>
        <v/>
      </c>
      <c r="N145" s="98">
        <f>IF($P145="Ready",ROUNDUP(IFERROR($K145,0),-2),IF(OR($P145="FY26 provisional",$P145="FY26 secured"),"",0))</f>
        <v/>
      </c>
      <c r="O145" s="98">
        <f>IF($P145="Ready",IF('Rate Inputs'!$F67="","",ROUNDUP(IFERROR($L145,0),-2)),IF(OR($P145="FY26 provisional",$P145="FY26 secured"),"",0))</f>
        <v/>
      </c>
      <c r="P145" s="8" t="inlineStr">
        <is>
          <t>Ready</t>
        </is>
      </c>
      <c r="Q145" s="11" t="n"/>
    </row>
    <row r="146">
      <c r="A146" s="2" t="n">
        <v>3120725958</v>
      </c>
      <c r="B146" s="8">
        <f t="array" ref="B146:E146">_xlfn.XLOOKUP(A146,'Site Register'!A:A,'Site Register'!B:E)</f>
        <v/>
      </c>
      <c r="C146" s="8" t="inlineStr">
        <is>
          <t>Australia</t>
        </is>
      </c>
      <c r="D146" s="8" t="inlineStr">
        <is>
          <t>QLD</t>
        </is>
      </c>
      <c r="E146" s="8" t="inlineStr">
        <is>
          <t>AU Large Electricity</t>
        </is>
      </c>
      <c r="F146" s="8" t="inlineStr">
        <is>
          <t>kWh</t>
        </is>
      </c>
      <c r="G146" s="95" t="n">
        <v>1047801.85</v>
      </c>
      <c r="H146" s="96" t="n">
        <v>46204</v>
      </c>
      <c r="I146" s="96" t="n">
        <v>46934</v>
      </c>
      <c r="J146" s="8" t="inlineStr">
        <is>
          <t>AUD</t>
        </is>
      </c>
      <c r="K146" s="97">
        <f>'Rate Inputs'!E68</f>
        <v/>
      </c>
      <c r="L146" s="97">
        <f>'Rate Inputs'!F68</f>
        <v/>
      </c>
      <c r="M146" s="98">
        <f>IF(OR($P146="Ready",$P146="FY26 provisional",$P146="FY26 secured"),IF($H146&lt;=DATE(2025,7,1),ROUNDUP($K146,-2),IF('Rate Inputs'!$J68="","",ROUNDUP(IF($H146&gt;DATE(2026,6,30),'Rate Inputs'!$J68,'Rate Inputs'!$J68*($H146-DATE(2025,7,1))/365+$K146*(DATE(2026,6,30)-$H146+1)/365),-2))),"")</f>
        <v/>
      </c>
      <c r="N146" s="98">
        <f>IF($P146="Ready",ROUNDUP(IFERROR($K146,0),-2),IF(OR($P146="FY26 provisional",$P146="FY26 secured"),"",0))</f>
        <v/>
      </c>
      <c r="O146" s="98">
        <f>IF($P146="Ready",IF('Rate Inputs'!$F68="","",ROUNDUP(IFERROR($L146,0),-2)),IF(OR($P146="FY26 provisional",$P146="FY26 secured"),"",0))</f>
        <v/>
      </c>
      <c r="P146" s="8" t="inlineStr">
        <is>
          <t>Ready</t>
        </is>
      </c>
      <c r="Q146" s="11" t="n"/>
    </row>
    <row r="147">
      <c r="A147" s="2" t="inlineStr">
        <is>
          <t>QB05383854</t>
        </is>
      </c>
      <c r="B147" s="8">
        <f t="array" ref="B147:E147">_xlfn.XLOOKUP(A147,'Site Register'!A:A,'Site Register'!B:E)</f>
        <v/>
      </c>
      <c r="C147" s="8" t="inlineStr">
        <is>
          <t>Australia</t>
        </is>
      </c>
      <c r="D147" s="8" t="inlineStr">
        <is>
          <t>QLD</t>
        </is>
      </c>
      <c r="E147" s="8" t="inlineStr">
        <is>
          <t>AU Large Electricity</t>
        </is>
      </c>
      <c r="F147" s="8" t="inlineStr">
        <is>
          <t>kWh</t>
        </is>
      </c>
      <c r="G147" s="95" t="n">
        <v>876582.28</v>
      </c>
      <c r="H147" s="96" t="n">
        <v>46204</v>
      </c>
      <c r="I147" s="96" t="n">
        <v>46934</v>
      </c>
      <c r="J147" s="8" t="inlineStr">
        <is>
          <t>AUD</t>
        </is>
      </c>
      <c r="K147" s="97">
        <f>'Rate Inputs'!E69</f>
        <v/>
      </c>
      <c r="L147" s="97">
        <f>'Rate Inputs'!F69</f>
        <v/>
      </c>
      <c r="M147" s="98">
        <f>IF(OR($P147="Ready",$P147="FY26 provisional",$P147="FY26 secured"),IF($H147&lt;=DATE(2025,7,1),ROUNDUP($K147,-2),IF('Rate Inputs'!$J69="","",ROUNDUP(IF($H147&gt;DATE(2026,6,30),'Rate Inputs'!$J69,'Rate Inputs'!$J69*($H147-DATE(2025,7,1))/365+$K147*(DATE(2026,6,30)-$H147+1)/365),-2))),"")</f>
        <v/>
      </c>
      <c r="N147" s="98">
        <f>IF($P147="Ready",ROUNDUP(IFERROR($K147,0),-2),IF(OR($P147="FY26 provisional",$P147="FY26 secured"),"",0))</f>
        <v/>
      </c>
      <c r="O147" s="98">
        <f>IF($P147="Ready",IF('Rate Inputs'!$F69="","",ROUNDUP(IFERROR($L147,0),-2)),IF(OR($P147="FY26 provisional",$P147="FY26 secured"),"",0))</f>
        <v/>
      </c>
      <c r="P147" s="8" t="inlineStr">
        <is>
          <t>Ready</t>
        </is>
      </c>
      <c r="Q147" s="11" t="n"/>
    </row>
    <row r="148">
      <c r="A148" s="2" t="inlineStr">
        <is>
          <t>QB06081428</t>
        </is>
      </c>
      <c r="B148" s="8">
        <f t="array" ref="B148:E148">_xlfn.XLOOKUP(A148,'Site Register'!A:A,'Site Register'!B:E)</f>
        <v/>
      </c>
      <c r="C148" s="8" t="inlineStr">
        <is>
          <t>Australia</t>
        </is>
      </c>
      <c r="D148" s="8" t="inlineStr">
        <is>
          <t>QLD</t>
        </is>
      </c>
      <c r="E148" s="8" t="inlineStr">
        <is>
          <t>AU Large Electricity</t>
        </is>
      </c>
      <c r="F148" s="8" t="inlineStr">
        <is>
          <t>kWh</t>
        </is>
      </c>
      <c r="G148" s="95" t="n">
        <v>1044289.84</v>
      </c>
      <c r="H148" s="96" t="n">
        <v>46204</v>
      </c>
      <c r="I148" s="96" t="n">
        <v>46934</v>
      </c>
      <c r="J148" s="8" t="inlineStr">
        <is>
          <t>AUD</t>
        </is>
      </c>
      <c r="K148" s="97">
        <f>'Rate Inputs'!E70</f>
        <v/>
      </c>
      <c r="L148" s="97">
        <f>'Rate Inputs'!F70</f>
        <v/>
      </c>
      <c r="M148" s="98">
        <f>IF(OR($P148="Ready",$P148="FY26 provisional",$P148="FY26 secured"),IF($H148&lt;=DATE(2025,7,1),ROUNDUP($K148,-2),IF('Rate Inputs'!$J70="","",ROUNDUP(IF($H148&gt;DATE(2026,6,30),'Rate Inputs'!$J70,'Rate Inputs'!$J70*($H148-DATE(2025,7,1))/365+$K148*(DATE(2026,6,30)-$H148+1)/365),-2))),"")</f>
        <v/>
      </c>
      <c r="N148" s="98">
        <f>IF($P148="Ready",ROUNDUP(IFERROR($K148,0),-2),IF(OR($P148="FY26 provisional",$P148="FY26 secured"),"",0))</f>
        <v/>
      </c>
      <c r="O148" s="98">
        <f>IF($P148="Ready",IF('Rate Inputs'!$F70="","",ROUNDUP(IFERROR($L148,0),-2)),IF(OR($P148="FY26 provisional",$P148="FY26 secured"),"",0))</f>
        <v/>
      </c>
      <c r="P148" s="8" t="inlineStr">
        <is>
          <t>Ready</t>
        </is>
      </c>
      <c r="Q148" s="11" t="n"/>
    </row>
    <row r="149">
      <c r="A149" s="2" t="inlineStr">
        <is>
          <t>QB06082220</t>
        </is>
      </c>
      <c r="B149" s="8">
        <f t="array" ref="B149:E149">_xlfn.XLOOKUP(A149,'Site Register'!A:A,'Site Register'!B:E)</f>
        <v/>
      </c>
      <c r="C149" s="8" t="inlineStr">
        <is>
          <t>Australia</t>
        </is>
      </c>
      <c r="D149" s="8" t="inlineStr">
        <is>
          <t>QLD</t>
        </is>
      </c>
      <c r="E149" s="8" t="inlineStr">
        <is>
          <t>AU Large Electricity</t>
        </is>
      </c>
      <c r="F149" s="8" t="inlineStr">
        <is>
          <t>kWh</t>
        </is>
      </c>
      <c r="G149" s="95" t="n">
        <v>80526.60000000001</v>
      </c>
      <c r="H149" s="96" t="n">
        <v>46204</v>
      </c>
      <c r="I149" s="96" t="n">
        <v>46934</v>
      </c>
      <c r="J149" s="8" t="inlineStr">
        <is>
          <t>AUD</t>
        </is>
      </c>
      <c r="K149" s="97">
        <f>'Rate Inputs'!E71</f>
        <v/>
      </c>
      <c r="L149" s="97">
        <f>'Rate Inputs'!F71</f>
        <v/>
      </c>
      <c r="M149" s="98">
        <f>IF(OR($P149="Ready",$P149="FY26 provisional",$P149="FY26 secured"),IF($H149&lt;=DATE(2025,7,1),ROUNDUP($K149,-2),IF('Rate Inputs'!$J71="","",ROUNDUP(IF($H149&gt;DATE(2026,6,30),'Rate Inputs'!$J71,'Rate Inputs'!$J71*($H149-DATE(2025,7,1))/365+$K149*(DATE(2026,6,30)-$H149+1)/365),-2))),"")</f>
        <v/>
      </c>
      <c r="N149" s="98">
        <f>IF($P149="Ready",ROUNDUP(IFERROR($K149,0),-2),IF(OR($P149="FY26 provisional",$P149="FY26 secured"),"",0))</f>
        <v/>
      </c>
      <c r="O149" s="98">
        <f>IF($P149="Ready",IF('Rate Inputs'!$F71="","",ROUNDUP(IFERROR($L149,0),-2)),IF(OR($P149="FY26 provisional",$P149="FY26 secured"),"",0))</f>
        <v/>
      </c>
      <c r="P149" s="8" t="inlineStr">
        <is>
          <t>Ready</t>
        </is>
      </c>
      <c r="Q149" s="11" t="n"/>
    </row>
    <row r="150">
      <c r="A150" s="2" t="inlineStr">
        <is>
          <t>QGGG000010</t>
        </is>
      </c>
      <c r="B150" s="8">
        <f t="array" ref="B150:E150">_xlfn.XLOOKUP(A150,'Site Register'!A:A,'Site Register'!B:E)</f>
        <v/>
      </c>
      <c r="C150" s="8" t="inlineStr">
        <is>
          <t>Australia</t>
        </is>
      </c>
      <c r="D150" s="8" t="inlineStr">
        <is>
          <t>QLD</t>
        </is>
      </c>
      <c r="E150" s="8" t="inlineStr">
        <is>
          <t>AU Large Electricity</t>
        </is>
      </c>
      <c r="F150" s="8" t="inlineStr">
        <is>
          <t>kWh</t>
        </is>
      </c>
      <c r="G150" s="95" t="n">
        <v>3994276.89999999</v>
      </c>
      <c r="H150" s="96" t="n">
        <v>46204</v>
      </c>
      <c r="I150" s="96" t="n">
        <v>46934</v>
      </c>
      <c r="J150" s="8" t="inlineStr">
        <is>
          <t>AUD</t>
        </is>
      </c>
      <c r="K150" s="97">
        <f>'Rate Inputs'!E74</f>
        <v/>
      </c>
      <c r="L150" s="97">
        <f>'Rate Inputs'!F74</f>
        <v/>
      </c>
      <c r="M150" s="98">
        <f>IF(OR($P150="Ready",$P150="FY26 provisional",$P150="FY26 secured"),IF($H150&lt;=DATE(2025,7,1),ROUNDUP($K150,-2),IF('Rate Inputs'!$J74="","",ROUNDUP(IF($H150&gt;DATE(2026,6,30),'Rate Inputs'!$J74,'Rate Inputs'!$J74*($H150-DATE(2025,7,1))/365+$K150*(DATE(2026,6,30)-$H150+1)/365),-2))),"")</f>
        <v/>
      </c>
      <c r="N150" s="98">
        <f>IF($P150="Ready",ROUNDUP(IFERROR($K150,0),-2),IF(OR($P150="FY26 provisional",$P150="FY26 secured"),"",0))</f>
        <v/>
      </c>
      <c r="O150" s="98">
        <f>IF($P150="Ready",IF('Rate Inputs'!$F74="","",ROUNDUP(IFERROR($L150,0),-2)),IF(OR($P150="FY26 provisional",$P150="FY26 secured"),"",0))</f>
        <v/>
      </c>
      <c r="P150" s="8" t="inlineStr">
        <is>
          <t>Ready</t>
        </is>
      </c>
      <c r="Q150" s="11" t="n"/>
    </row>
    <row r="151">
      <c r="A151" s="2" t="inlineStr">
        <is>
          <t>QGGG000320</t>
        </is>
      </c>
      <c r="B151" s="8">
        <f t="array" ref="B151:E151">_xlfn.XLOOKUP(A151,'Site Register'!A:A,'Site Register'!B:E)</f>
        <v/>
      </c>
      <c r="C151" s="8" t="inlineStr">
        <is>
          <t>Australia</t>
        </is>
      </c>
      <c r="D151" s="8" t="inlineStr">
        <is>
          <t>QLD</t>
        </is>
      </c>
      <c r="E151" s="8" t="inlineStr">
        <is>
          <t>AU Large Electricity</t>
        </is>
      </c>
      <c r="F151" s="8" t="inlineStr">
        <is>
          <t>kWh</t>
        </is>
      </c>
      <c r="G151" s="95" t="n">
        <v>165144.29</v>
      </c>
      <c r="H151" s="96" t="n">
        <v>46204</v>
      </c>
      <c r="I151" s="96" t="n">
        <v>46934</v>
      </c>
      <c r="J151" s="8" t="inlineStr">
        <is>
          <t>AUD</t>
        </is>
      </c>
      <c r="K151" s="97">
        <f>'Rate Inputs'!E75</f>
        <v/>
      </c>
      <c r="L151" s="97">
        <f>'Rate Inputs'!F75</f>
        <v/>
      </c>
      <c r="M151" s="98">
        <f>IF(OR($P151="Ready",$P151="FY26 provisional",$P151="FY26 secured"),IF($H151&lt;=DATE(2025,7,1),ROUNDUP($K151,-2),IF('Rate Inputs'!$J75="","",ROUNDUP(IF($H151&gt;DATE(2026,6,30),'Rate Inputs'!$J75,'Rate Inputs'!$J75*($H151-DATE(2025,7,1))/365+$K151*(DATE(2026,6,30)-$H151+1)/365),-2))),"")</f>
        <v/>
      </c>
      <c r="N151" s="98">
        <f>IF($P151="Ready",ROUNDUP(IFERROR($K151,0),-2),IF(OR($P151="FY26 provisional",$P151="FY26 secured"),"",0))</f>
        <v/>
      </c>
      <c r="O151" s="98">
        <f>IF($P151="Ready",IF('Rate Inputs'!$F75="","",ROUNDUP(IFERROR($L151,0),-2)),IF(OR($P151="FY26 provisional",$P151="FY26 secured"),"",0))</f>
        <v/>
      </c>
      <c r="P151" s="8" t="inlineStr">
        <is>
          <t>Ready</t>
        </is>
      </c>
      <c r="Q151" s="11" t="n"/>
    </row>
    <row r="152">
      <c r="A152" s="2" t="n">
        <v>2001160742</v>
      </c>
      <c r="B152" s="8">
        <f t="array" ref="B152:E152">_xlfn.XLOOKUP(A152,'Site Register'!A:A,'Site Register'!B:E)</f>
        <v/>
      </c>
      <c r="C152" s="8" t="inlineStr">
        <is>
          <t>Australia</t>
        </is>
      </c>
      <c r="D152" s="8" t="inlineStr">
        <is>
          <t>SA</t>
        </is>
      </c>
      <c r="E152" s="8" t="inlineStr">
        <is>
          <t>AU Large Electricity</t>
        </is>
      </c>
      <c r="F152" s="8" t="inlineStr">
        <is>
          <t>kWh</t>
        </is>
      </c>
      <c r="G152" s="95" t="n">
        <v>119987.46</v>
      </c>
      <c r="H152" s="96" t="n">
        <v>46204</v>
      </c>
      <c r="I152" s="96" t="n">
        <v>46934</v>
      </c>
      <c r="J152" s="8" t="inlineStr">
        <is>
          <t>AUD</t>
        </is>
      </c>
      <c r="K152" s="97">
        <f>'Rate Inputs'!E78</f>
        <v/>
      </c>
      <c r="L152" s="97">
        <f>'Rate Inputs'!F78</f>
        <v/>
      </c>
      <c r="M152" s="98">
        <f>IF(OR($P152="Ready",$P152="FY26 provisional",$P152="FY26 secured"),IF($H152&lt;=DATE(2025,7,1),ROUNDUP($K152,-2),IF('Rate Inputs'!$J78="","",ROUNDUP(IF($H152&gt;DATE(2026,6,30),'Rate Inputs'!$J78,'Rate Inputs'!$J78*($H152-DATE(2025,7,1))/365+$K152*(DATE(2026,6,30)-$H152+1)/365),-2))),"")</f>
        <v/>
      </c>
      <c r="N152" s="98">
        <f>IF($P152="Ready",ROUNDUP(IFERROR($K152,0),-2),IF(OR($P152="FY26 provisional",$P152="FY26 secured"),"",0))</f>
        <v/>
      </c>
      <c r="O152" s="98">
        <f>IF($P152="Ready",IF('Rate Inputs'!$F78="","",ROUNDUP(IFERROR($L152,0),-2)),IF(OR($P152="FY26 provisional",$P152="FY26 secured"),"",0))</f>
        <v/>
      </c>
      <c r="P152" s="8" t="inlineStr">
        <is>
          <t>Ready</t>
        </is>
      </c>
      <c r="Q152" s="11" t="n"/>
    </row>
    <row r="153">
      <c r="A153" s="2" t="n">
        <v>2002254877</v>
      </c>
      <c r="B153" s="8">
        <f t="array" ref="B153:E153">_xlfn.XLOOKUP(A153,'Site Register'!A:A,'Site Register'!B:E)</f>
        <v/>
      </c>
      <c r="C153" s="8" t="inlineStr">
        <is>
          <t>Australia</t>
        </is>
      </c>
      <c r="D153" s="8" t="inlineStr">
        <is>
          <t>SA</t>
        </is>
      </c>
      <c r="E153" s="8" t="inlineStr">
        <is>
          <t>AU Large Electricity</t>
        </is>
      </c>
      <c r="F153" s="8" t="inlineStr">
        <is>
          <t>kWh</t>
        </is>
      </c>
      <c r="G153" s="95" t="n">
        <v>1255064.06</v>
      </c>
      <c r="H153" s="96" t="n">
        <v>46204</v>
      </c>
      <c r="I153" s="96" t="n">
        <v>46934</v>
      </c>
      <c r="J153" s="8" t="inlineStr">
        <is>
          <t>AUD</t>
        </is>
      </c>
      <c r="K153" s="97">
        <f>'Rate Inputs'!E86</f>
        <v/>
      </c>
      <c r="L153" s="97">
        <f>'Rate Inputs'!F86</f>
        <v/>
      </c>
      <c r="M153" s="98">
        <f>IF(OR($P153="Ready",$P153="FY26 provisional",$P153="FY26 secured"),IF($H153&lt;=DATE(2025,7,1),ROUNDUP($K153,-2),IF('Rate Inputs'!$J86="","",ROUNDUP(IF($H153&gt;DATE(2026,6,30),'Rate Inputs'!$J86,'Rate Inputs'!$J86*($H153-DATE(2025,7,1))/365+$K153*(DATE(2026,6,30)-$H153+1)/365),-2))),"")</f>
        <v/>
      </c>
      <c r="N153" s="98">
        <f>IF($P153="Ready",ROUNDUP(IFERROR($K153,0),-2),IF(OR($P153="FY26 provisional",$P153="FY26 secured"),"",0))</f>
        <v/>
      </c>
      <c r="O153" s="98">
        <f>IF($P153="Ready",IF('Rate Inputs'!$F86="","",ROUNDUP(IFERROR($L153,0),-2)),IF(OR($P153="FY26 provisional",$P153="FY26 secured"),"",0))</f>
        <v/>
      </c>
      <c r="P153" s="8" t="inlineStr">
        <is>
          <t>Ready</t>
        </is>
      </c>
      <c r="Q153" s="11" t="n"/>
    </row>
    <row r="154">
      <c r="A154" s="2" t="inlineStr">
        <is>
          <t>SAAAAAB023</t>
        </is>
      </c>
      <c r="B154" s="8">
        <f t="array" ref="B154:E154">_xlfn.XLOOKUP(A154,'Site Register'!A:A,'Site Register'!B:E)</f>
        <v/>
      </c>
      <c r="C154" s="8" t="inlineStr">
        <is>
          <t>Australia</t>
        </is>
      </c>
      <c r="D154" s="8" t="inlineStr">
        <is>
          <t>SA</t>
        </is>
      </c>
      <c r="E154" s="8" t="inlineStr">
        <is>
          <t>AU Large Electricity</t>
        </is>
      </c>
      <c r="F154" s="8" t="inlineStr">
        <is>
          <t>kWh</t>
        </is>
      </c>
      <c r="G154" s="95" t="n">
        <v>384392.53</v>
      </c>
      <c r="H154" s="96" t="n">
        <v>46204</v>
      </c>
      <c r="I154" s="96" t="n">
        <v>46934</v>
      </c>
      <c r="J154" s="8" t="inlineStr">
        <is>
          <t>AUD</t>
        </is>
      </c>
      <c r="K154" s="97">
        <f>'Rate Inputs'!E88</f>
        <v/>
      </c>
      <c r="L154" s="97">
        <f>'Rate Inputs'!F88</f>
        <v/>
      </c>
      <c r="M154" s="98">
        <f>IF(OR($P154="Ready",$P154="FY26 provisional",$P154="FY26 secured"),IF($H154&lt;=DATE(2025,7,1),ROUNDUP($K154,-2),IF('Rate Inputs'!$J88="","",ROUNDUP(IF($H154&gt;DATE(2026,6,30),'Rate Inputs'!$J88,'Rate Inputs'!$J88*($H154-DATE(2025,7,1))/365+$K154*(DATE(2026,6,30)-$H154+1)/365),-2))),"")</f>
        <v/>
      </c>
      <c r="N154" s="98">
        <f>IF($P154="Ready",ROUNDUP(IFERROR($K154,0),-2),IF(OR($P154="FY26 provisional",$P154="FY26 secured"),"",0))</f>
        <v/>
      </c>
      <c r="O154" s="98">
        <f>IF($P154="Ready",IF('Rate Inputs'!$F88="","",ROUNDUP(IFERROR($L154,0),-2)),IF(OR($P154="FY26 provisional",$P154="FY26 secured"),"",0))</f>
        <v/>
      </c>
      <c r="P154" s="8" t="inlineStr">
        <is>
          <t>Ready</t>
        </is>
      </c>
      <c r="Q154" s="11" t="n"/>
    </row>
    <row r="155">
      <c r="A155" s="2" t="inlineStr">
        <is>
          <t>SAAAAAC481</t>
        </is>
      </c>
      <c r="B155" s="8">
        <f t="array" ref="B155:E155">_xlfn.XLOOKUP(A155,'Site Register'!A:A,'Site Register'!B:E)</f>
        <v/>
      </c>
      <c r="C155" s="8" t="inlineStr">
        <is>
          <t>Australia</t>
        </is>
      </c>
      <c r="D155" s="8" t="inlineStr">
        <is>
          <t>SA</t>
        </is>
      </c>
      <c r="E155" s="8" t="inlineStr">
        <is>
          <t>AU Large Electricity</t>
        </is>
      </c>
      <c r="F155" s="8" t="inlineStr">
        <is>
          <t>kWh</t>
        </is>
      </c>
      <c r="G155" s="95" t="n">
        <v>154241.09</v>
      </c>
      <c r="H155" s="96" t="n">
        <v>46204</v>
      </c>
      <c r="I155" s="96" t="n">
        <v>46934</v>
      </c>
      <c r="J155" s="8" t="inlineStr">
        <is>
          <t>AUD</t>
        </is>
      </c>
      <c r="K155" s="97">
        <f>'Rate Inputs'!E89</f>
        <v/>
      </c>
      <c r="L155" s="97">
        <f>'Rate Inputs'!F89</f>
        <v/>
      </c>
      <c r="M155" s="98">
        <f>IF(OR($P155="Ready",$P155="FY26 provisional",$P155="FY26 secured"),IF($H155&lt;=DATE(2025,7,1),ROUNDUP($K155,-2),IF('Rate Inputs'!$J89="","",ROUNDUP(IF($H155&gt;DATE(2026,6,30),'Rate Inputs'!$J89,'Rate Inputs'!$J89*($H155-DATE(2025,7,1))/365+$K155*(DATE(2026,6,30)-$H155+1)/365),-2))),"")</f>
        <v/>
      </c>
      <c r="N155" s="98">
        <f>IF($P155="Ready",ROUNDUP(IFERROR($K155,0),-2),IF(OR($P155="FY26 provisional",$P155="FY26 secured"),"",0))</f>
        <v/>
      </c>
      <c r="O155" s="98">
        <f>IF($P155="Ready",IF('Rate Inputs'!$F89="","",ROUNDUP(IFERROR($L155,0),-2)),IF(OR($P155="FY26 provisional",$P155="FY26 secured"),"",0))</f>
        <v/>
      </c>
      <c r="P155" s="8" t="inlineStr">
        <is>
          <t>Ready</t>
        </is>
      </c>
      <c r="Q155" s="11" t="n"/>
    </row>
    <row r="156">
      <c r="A156" s="2" t="n">
        <v>8000002117</v>
      </c>
      <c r="B156" s="8">
        <f t="array" ref="B156:E156">_xlfn.XLOOKUP(A156,'Site Register'!A:A,'Site Register'!B:E)</f>
        <v/>
      </c>
      <c r="C156" s="8" t="inlineStr">
        <is>
          <t>Australia</t>
        </is>
      </c>
      <c r="D156" s="8" t="inlineStr">
        <is>
          <t>TAS</t>
        </is>
      </c>
      <c r="E156" s="8" t="inlineStr">
        <is>
          <t>AU Large Electricity</t>
        </is>
      </c>
      <c r="F156" s="8" t="inlineStr">
        <is>
          <t>kWh</t>
        </is>
      </c>
      <c r="G156" s="95" t="n">
        <v>448303.491</v>
      </c>
      <c r="H156" s="96" t="n">
        <v>46204</v>
      </c>
      <c r="I156" s="96" t="n">
        <v>47664</v>
      </c>
      <c r="J156" s="8" t="inlineStr">
        <is>
          <t>AUD</t>
        </is>
      </c>
      <c r="K156" s="97">
        <f>'Rate Inputs'!E90</f>
        <v/>
      </c>
      <c r="L156" s="97">
        <f>'Rate Inputs'!F90</f>
        <v/>
      </c>
      <c r="M156" s="98">
        <f>IF(OR($P156="Ready",$P156="FY26 provisional",$P156="FY26 secured"),IF($H156&lt;=DATE(2025,7,1),ROUNDUP($K156,-2),IF('Rate Inputs'!$J90="","",ROUNDUP(IF($H156&gt;DATE(2026,6,30),'Rate Inputs'!$J90,'Rate Inputs'!$J90*($H156-DATE(2025,7,1))/365+$K156*(DATE(2026,6,30)-$H156+1)/365),-2))),"")</f>
        <v/>
      </c>
      <c r="N156" s="98">
        <f>IF($P156="Ready",ROUNDUP(IFERROR($K156,0),-2),IF(OR($P156="FY26 provisional",$P156="FY26 secured"),"",0))</f>
        <v/>
      </c>
      <c r="O156" s="98">
        <f>IF($P156="Ready",IF('Rate Inputs'!$F90="","",ROUNDUP(IFERROR($L156,0),-2)),IF(OR($P156="FY26 provisional",$P156="FY26 secured"),"",0))</f>
        <v/>
      </c>
      <c r="P156" s="8" t="inlineStr">
        <is>
          <t>Ready</t>
        </is>
      </c>
      <c r="Q156" s="11" t="n"/>
    </row>
    <row r="157">
      <c r="A157" s="2" t="n">
        <v>8000002963</v>
      </c>
      <c r="B157" s="8">
        <f t="array" ref="B157:E157">_xlfn.XLOOKUP(A157,'Site Register'!A:A,'Site Register'!B:E)</f>
        <v/>
      </c>
      <c r="C157" s="8" t="inlineStr">
        <is>
          <t>Australia</t>
        </is>
      </c>
      <c r="D157" s="8" t="inlineStr">
        <is>
          <t>TAS</t>
        </is>
      </c>
      <c r="E157" s="8" t="inlineStr">
        <is>
          <t>AU Large Electricity</t>
        </is>
      </c>
      <c r="F157" s="8" t="inlineStr">
        <is>
          <t>kWh</t>
        </is>
      </c>
      <c r="G157" s="95" t="n">
        <v>122988.745</v>
      </c>
      <c r="H157" s="96" t="n">
        <v>46204</v>
      </c>
      <c r="I157" s="96" t="n">
        <v>47664</v>
      </c>
      <c r="J157" s="8" t="inlineStr">
        <is>
          <t>AUD</t>
        </is>
      </c>
      <c r="K157" s="97">
        <f>'Rate Inputs'!E91</f>
        <v/>
      </c>
      <c r="L157" s="97">
        <f>'Rate Inputs'!F91</f>
        <v/>
      </c>
      <c r="M157" s="98">
        <f>IF(OR($P157="Ready",$P157="FY26 provisional",$P157="FY26 secured"),IF($H157&lt;=DATE(2025,7,1),ROUNDUP($K157,-2),IF('Rate Inputs'!$J91="","",ROUNDUP(IF($H157&gt;DATE(2026,6,30),'Rate Inputs'!$J91,'Rate Inputs'!$J91*($H157-DATE(2025,7,1))/365+$K157*(DATE(2026,6,30)-$H157+1)/365),-2))),"")</f>
        <v/>
      </c>
      <c r="N157" s="98">
        <f>IF($P157="Ready",ROUNDUP(IFERROR($K157,0),-2),IF(OR($P157="FY26 provisional",$P157="FY26 secured"),"",0))</f>
        <v/>
      </c>
      <c r="O157" s="98">
        <f>IF($P157="Ready",IF('Rate Inputs'!$F91="","",ROUNDUP(IFERROR($L157,0),-2)),IF(OR($P157="FY26 provisional",$P157="FY26 secured"),"",0))</f>
        <v/>
      </c>
      <c r="P157" s="8" t="inlineStr">
        <is>
          <t>Ready</t>
        </is>
      </c>
      <c r="Q157" s="11" t="n"/>
    </row>
    <row r="158">
      <c r="A158" s="2" t="n">
        <v>8000326927</v>
      </c>
      <c r="B158" s="8">
        <f t="array" ref="B158:E158">_xlfn.XLOOKUP(A158,'Site Register'!A:A,'Site Register'!B:E)</f>
        <v/>
      </c>
      <c r="C158" s="8" t="inlineStr">
        <is>
          <t>Australia</t>
        </is>
      </c>
      <c r="D158" s="8" t="inlineStr">
        <is>
          <t>TAS</t>
        </is>
      </c>
      <c r="E158" s="8" t="inlineStr">
        <is>
          <t>AU Large Electricity</t>
        </is>
      </c>
      <c r="F158" s="8" t="inlineStr">
        <is>
          <t>kWh</t>
        </is>
      </c>
      <c r="G158" s="95" t="n">
        <v>489994.031</v>
      </c>
      <c r="H158" s="96" t="n">
        <v>46204</v>
      </c>
      <c r="I158" s="96" t="n">
        <v>47664</v>
      </c>
      <c r="J158" s="8" t="inlineStr">
        <is>
          <t>AUD</t>
        </is>
      </c>
      <c r="K158" s="97">
        <f>'Rate Inputs'!E92</f>
        <v/>
      </c>
      <c r="L158" s="97">
        <f>'Rate Inputs'!F92</f>
        <v/>
      </c>
      <c r="M158" s="98">
        <f>IF(OR($P158="Ready",$P158="FY26 provisional",$P158="FY26 secured"),IF($H158&lt;=DATE(2025,7,1),ROUNDUP($K158,-2),IF('Rate Inputs'!$J92="","",ROUNDUP(IF($H158&gt;DATE(2026,6,30),'Rate Inputs'!$J92,'Rate Inputs'!$J92*($H158-DATE(2025,7,1))/365+$K158*(DATE(2026,6,30)-$H158+1)/365),-2))),"")</f>
        <v/>
      </c>
      <c r="N158" s="98">
        <f>IF($P158="Ready",ROUNDUP(IFERROR($K158,0),-2),IF(OR($P158="FY26 provisional",$P158="FY26 secured"),"",0))</f>
        <v/>
      </c>
      <c r="O158" s="98">
        <f>IF($P158="Ready",IF('Rate Inputs'!$F92="","",ROUNDUP(IFERROR($L158,0),-2)),IF(OR($P158="FY26 provisional",$P158="FY26 secured"),"",0))</f>
        <v/>
      </c>
      <c r="P158" s="8" t="inlineStr">
        <is>
          <t>Ready</t>
        </is>
      </c>
      <c r="Q158" s="11" t="n"/>
    </row>
    <row r="159">
      <c r="A159" s="2" t="n">
        <v>8001000591</v>
      </c>
      <c r="B159" s="8">
        <f t="array" ref="B159:E159">_xlfn.XLOOKUP(A159,'Site Register'!A:A,'Site Register'!B:E)</f>
        <v/>
      </c>
      <c r="C159" s="8" t="inlineStr">
        <is>
          <t>Australia</t>
        </is>
      </c>
      <c r="D159" s="8" t="inlineStr">
        <is>
          <t>WA</t>
        </is>
      </c>
      <c r="E159" s="8" t="inlineStr">
        <is>
          <t>AU Large Electricity</t>
        </is>
      </c>
      <c r="F159" s="8" t="inlineStr">
        <is>
          <t>kWh</t>
        </is>
      </c>
      <c r="G159" s="95" t="n">
        <v>2400959.8</v>
      </c>
      <c r="H159" s="96" t="n">
        <v>46204</v>
      </c>
      <c r="I159" s="96" t="n">
        <v>46934</v>
      </c>
      <c r="J159" s="8" t="inlineStr">
        <is>
          <t>AUD</t>
        </is>
      </c>
      <c r="K159" s="97">
        <f>'Rate Inputs'!E127</f>
        <v/>
      </c>
      <c r="L159" s="97">
        <f>'Rate Inputs'!F127</f>
        <v/>
      </c>
      <c r="M159" s="98">
        <f>IF(OR($P159="Ready",$P159="FY26 provisional",$P159="FY26 secured"),IF($H159&lt;=DATE(2025,7,1),ROUNDUP($K159,-2),IF('Rate Inputs'!$J127="","",ROUNDUP(IF($H159&gt;DATE(2026,6,30),'Rate Inputs'!$J127,'Rate Inputs'!$J127*($H159-DATE(2025,7,1))/365+$K159*(DATE(2026,6,30)-$H159+1)/365),-2))),"")</f>
        <v/>
      </c>
      <c r="N159" s="98">
        <f>IF($P159="Ready",ROUNDUP(IFERROR($K159,0),-2),IF(OR($P159="FY26 provisional",$P159="FY26 secured"),"",0))</f>
        <v/>
      </c>
      <c r="O159" s="98">
        <f>IF($P159="Ready",IF('Rate Inputs'!$F127="","",ROUNDUP(IFERROR($L159,0),-2)),IF(OR($P159="FY26 provisional",$P159="FY26 secured"),"",0))</f>
        <v/>
      </c>
      <c r="P159" s="8" t="inlineStr">
        <is>
          <t>Ready</t>
        </is>
      </c>
      <c r="Q159" s="11" t="n"/>
    </row>
    <row r="160">
      <c r="A160" s="2" t="n">
        <v>8001000592</v>
      </c>
      <c r="B160" s="8">
        <f t="array" ref="B160:E160">_xlfn.XLOOKUP(A160,'Site Register'!A:A,'Site Register'!B:E)</f>
        <v/>
      </c>
      <c r="C160" s="8" t="inlineStr">
        <is>
          <t>Australia</t>
        </is>
      </c>
      <c r="D160" s="8" t="inlineStr">
        <is>
          <t>WA</t>
        </is>
      </c>
      <c r="E160" s="8" t="inlineStr">
        <is>
          <t>AU Large Electricity</t>
        </is>
      </c>
      <c r="F160" s="8" t="inlineStr">
        <is>
          <t>kWh</t>
        </is>
      </c>
      <c r="G160" s="95" t="n">
        <v>2066442.3</v>
      </c>
      <c r="H160" s="96" t="n">
        <v>46204</v>
      </c>
      <c r="I160" s="96" t="n">
        <v>46934</v>
      </c>
      <c r="J160" s="8" t="inlineStr">
        <is>
          <t>AUD</t>
        </is>
      </c>
      <c r="K160" s="97">
        <f>'Rate Inputs'!E128</f>
        <v/>
      </c>
      <c r="L160" s="97">
        <f>'Rate Inputs'!F128</f>
        <v/>
      </c>
      <c r="M160" s="98">
        <f>IF(OR($P160="Ready",$P160="FY26 provisional",$P160="FY26 secured"),IF($H160&lt;=DATE(2025,7,1),ROUNDUP($K160,-2),IF('Rate Inputs'!$J128="","",ROUNDUP(IF($H160&gt;DATE(2026,6,30),'Rate Inputs'!$J128,'Rate Inputs'!$J128*($H160-DATE(2025,7,1))/365+$K160*(DATE(2026,6,30)-$H160+1)/365),-2))),"")</f>
        <v/>
      </c>
      <c r="N160" s="98">
        <f>IF($P160="Ready",ROUNDUP(IFERROR($K160,0),-2),IF(OR($P160="FY26 provisional",$P160="FY26 secured"),"",0))</f>
        <v/>
      </c>
      <c r="O160" s="98">
        <f>IF($P160="Ready",IF('Rate Inputs'!$F128="","",ROUNDUP(IFERROR($L160,0),-2)),IF(OR($P160="FY26 provisional",$P160="FY26 secured"),"",0))</f>
        <v/>
      </c>
      <c r="P160" s="8" t="inlineStr">
        <is>
          <t>Ready</t>
        </is>
      </c>
      <c r="Q160" s="11" t="n"/>
    </row>
    <row r="161">
      <c r="A161" s="2" t="n">
        <v>8001010840</v>
      </c>
      <c r="B161" s="8">
        <f t="array" ref="B161:E161">_xlfn.XLOOKUP(A161,'Site Register'!A:A,'Site Register'!B:E)</f>
        <v/>
      </c>
      <c r="C161" s="8" t="inlineStr">
        <is>
          <t>Australia</t>
        </is>
      </c>
      <c r="D161" s="8" t="inlineStr">
        <is>
          <t>WA</t>
        </is>
      </c>
      <c r="E161" s="8" t="inlineStr">
        <is>
          <t>AU Large Electricity</t>
        </is>
      </c>
      <c r="F161" s="8" t="inlineStr">
        <is>
          <t>kWh</t>
        </is>
      </c>
      <c r="G161" s="95" t="n">
        <v>485627.715</v>
      </c>
      <c r="H161" s="96" t="n">
        <v>46204</v>
      </c>
      <c r="I161" s="96" t="n">
        <v>46934</v>
      </c>
      <c r="J161" s="8" t="inlineStr">
        <is>
          <t>AUD</t>
        </is>
      </c>
      <c r="K161" s="97">
        <f>'Rate Inputs'!E129</f>
        <v/>
      </c>
      <c r="L161" s="97">
        <f>'Rate Inputs'!F129</f>
        <v/>
      </c>
      <c r="M161" s="98">
        <f>IF(OR($P161="Ready",$P161="FY26 provisional",$P161="FY26 secured"),IF($H161&lt;=DATE(2025,7,1),ROUNDUP($K161,-2),IF('Rate Inputs'!$J129="","",ROUNDUP(IF($H161&gt;DATE(2026,6,30),'Rate Inputs'!$J129,'Rate Inputs'!$J129*($H161-DATE(2025,7,1))/365+$K161*(DATE(2026,6,30)-$H161+1)/365),-2))),"")</f>
        <v/>
      </c>
      <c r="N161" s="98">
        <f>IF($P161="Ready",ROUNDUP(IFERROR($K161,0),-2),IF(OR($P161="FY26 provisional",$P161="FY26 secured"),"",0))</f>
        <v/>
      </c>
      <c r="O161" s="98">
        <f>IF($P161="Ready",IF('Rate Inputs'!$F129="","",ROUNDUP(IFERROR($L161,0),-2)),IF(OR($P161="FY26 provisional",$P161="FY26 secured"),"",0))</f>
        <v/>
      </c>
      <c r="P161" s="8" t="inlineStr">
        <is>
          <t>Ready</t>
        </is>
      </c>
      <c r="Q161" s="11" t="n"/>
    </row>
    <row r="162">
      <c r="A162" s="2" t="n">
        <v>8001015167</v>
      </c>
      <c r="B162" s="8">
        <f t="array" ref="B162:E162">_xlfn.XLOOKUP(A162,'Site Register'!A:A,'Site Register'!B:E)</f>
        <v/>
      </c>
      <c r="C162" s="8" t="inlineStr">
        <is>
          <t>Australia</t>
        </is>
      </c>
      <c r="D162" s="8" t="inlineStr">
        <is>
          <t>WA</t>
        </is>
      </c>
      <c r="E162" s="8" t="inlineStr">
        <is>
          <t>AU Large Electricity</t>
        </is>
      </c>
      <c r="F162" s="8" t="inlineStr">
        <is>
          <t>kWh</t>
        </is>
      </c>
      <c r="G162" s="95" t="n">
        <v>170522.252</v>
      </c>
      <c r="H162" s="96" t="n">
        <v>46204</v>
      </c>
      <c r="I162" s="96" t="n">
        <v>46934</v>
      </c>
      <c r="J162" s="8" t="inlineStr">
        <is>
          <t>AUD</t>
        </is>
      </c>
      <c r="K162" s="97">
        <f>'Rate Inputs'!E130</f>
        <v/>
      </c>
      <c r="L162" s="97">
        <f>'Rate Inputs'!F130</f>
        <v/>
      </c>
      <c r="M162" s="98">
        <f>IF(OR($P162="Ready",$P162="FY26 provisional",$P162="FY26 secured"),IF($H162&lt;=DATE(2025,7,1),ROUNDUP($K162,-2),IF('Rate Inputs'!$J130="","",ROUNDUP(IF($H162&gt;DATE(2026,6,30),'Rate Inputs'!$J130,'Rate Inputs'!$J130*($H162-DATE(2025,7,1))/365+$K162*(DATE(2026,6,30)-$H162+1)/365),-2))),"")</f>
        <v/>
      </c>
      <c r="N162" s="98">
        <f>IF($P162="Ready",ROUNDUP(IFERROR($K162,0),-2),IF(OR($P162="FY26 provisional",$P162="FY26 secured"),"",0))</f>
        <v/>
      </c>
      <c r="O162" s="98">
        <f>IF($P162="Ready",IF('Rate Inputs'!$F130="","",ROUNDUP(IFERROR($L162,0),-2)),IF(OR($P162="FY26 provisional",$P162="FY26 secured"),"",0))</f>
        <v/>
      </c>
      <c r="P162" s="8" t="inlineStr">
        <is>
          <t>Ready</t>
        </is>
      </c>
      <c r="Q162" s="11" t="n"/>
    </row>
    <row r="163">
      <c r="A163" s="2" t="n">
        <v>8001016501</v>
      </c>
      <c r="B163" s="8">
        <f t="array" ref="B163:E163">_xlfn.XLOOKUP(A163,'Site Register'!A:A,'Site Register'!B:E)</f>
        <v/>
      </c>
      <c r="C163" s="8" t="inlineStr">
        <is>
          <t>Australia</t>
        </is>
      </c>
      <c r="D163" s="8" t="inlineStr">
        <is>
          <t>WA</t>
        </is>
      </c>
      <c r="E163" s="8" t="inlineStr">
        <is>
          <t>AU Large Electricity</t>
        </is>
      </c>
      <c r="F163" s="8" t="inlineStr">
        <is>
          <t>kWh</t>
        </is>
      </c>
      <c r="G163" s="95" t="n">
        <v>203319.864</v>
      </c>
      <c r="H163" s="96" t="n">
        <v>46204</v>
      </c>
      <c r="I163" s="96" t="n">
        <v>46934</v>
      </c>
      <c r="J163" s="8" t="inlineStr">
        <is>
          <t>AUD</t>
        </is>
      </c>
      <c r="K163" s="97">
        <f>'Rate Inputs'!E131</f>
        <v/>
      </c>
      <c r="L163" s="97">
        <f>'Rate Inputs'!F131</f>
        <v/>
      </c>
      <c r="M163" s="98">
        <f>IF(OR($P163="Ready",$P163="FY26 provisional",$P163="FY26 secured"),IF($H163&lt;=DATE(2025,7,1),ROUNDUP($K163,-2),IF('Rate Inputs'!$J131="","",ROUNDUP(IF($H163&gt;DATE(2026,6,30),'Rate Inputs'!$J131,'Rate Inputs'!$J131*($H163-DATE(2025,7,1))/365+$K163*(DATE(2026,6,30)-$H163+1)/365),-2))),"")</f>
        <v/>
      </c>
      <c r="N163" s="98">
        <f>IF($P163="Ready",ROUNDUP(IFERROR($K163,0),-2),IF(OR($P163="FY26 provisional",$P163="FY26 secured"),"",0))</f>
        <v/>
      </c>
      <c r="O163" s="98">
        <f>IF($P163="Ready",IF('Rate Inputs'!$F131="","",ROUNDUP(IFERROR($L163,0),-2)),IF(OR($P163="FY26 provisional",$P163="FY26 secured"),"",0))</f>
        <v/>
      </c>
      <c r="P163" s="8" t="inlineStr">
        <is>
          <t>Ready</t>
        </is>
      </c>
      <c r="Q163" s="11" t="n"/>
    </row>
    <row r="164">
      <c r="A164" s="2" t="n">
        <v>8001356541</v>
      </c>
      <c r="B164" s="8">
        <f t="array" ref="B164:E164">_xlfn.XLOOKUP(A164,'Site Register'!A:A,'Site Register'!B:E)</f>
        <v/>
      </c>
      <c r="C164" s="8" t="inlineStr">
        <is>
          <t>Australia</t>
        </is>
      </c>
      <c r="D164" s="8" t="inlineStr">
        <is>
          <t>WA</t>
        </is>
      </c>
      <c r="E164" s="8" t="inlineStr">
        <is>
          <t>AU Large Electricity</t>
        </is>
      </c>
      <c r="F164" s="8" t="inlineStr">
        <is>
          <t>kWh</t>
        </is>
      </c>
      <c r="G164" s="95" t="n">
        <v>34456.176</v>
      </c>
      <c r="H164" s="96" t="n">
        <v>46204</v>
      </c>
      <c r="I164" s="96" t="n">
        <v>46934</v>
      </c>
      <c r="J164" s="8" t="inlineStr">
        <is>
          <t>AUD</t>
        </is>
      </c>
      <c r="K164" s="97">
        <f>'Rate Inputs'!E132</f>
        <v/>
      </c>
      <c r="L164" s="97">
        <f>'Rate Inputs'!F132</f>
        <v/>
      </c>
      <c r="M164" s="98">
        <f>IF(OR($P164="Ready",$P164="FY26 provisional",$P164="FY26 secured"),IF($H164&lt;=DATE(2025,7,1),ROUNDUP($K164,-2),IF('Rate Inputs'!$J132="","",ROUNDUP(IF($H164&gt;DATE(2026,6,30),'Rate Inputs'!$J132,'Rate Inputs'!$J132*($H164-DATE(2025,7,1))/365+$K164*(DATE(2026,6,30)-$H164+1)/365),-2))),"")</f>
        <v/>
      </c>
      <c r="N164" s="98">
        <f>IF($P164="Ready",ROUNDUP(IFERROR($K164,0),-2),IF(OR($P164="FY26 provisional",$P164="FY26 secured"),"",0))</f>
        <v/>
      </c>
      <c r="O164" s="98">
        <f>IF($P164="Ready",IF('Rate Inputs'!$F132="","",ROUNDUP(IFERROR($L164,0),-2)),IF(OR($P164="FY26 provisional",$P164="FY26 secured"),"",0))</f>
        <v/>
      </c>
      <c r="P164" s="8" t="inlineStr">
        <is>
          <t>Ready</t>
        </is>
      </c>
      <c r="Q164" s="11" t="n"/>
    </row>
    <row r="165">
      <c r="A165" s="2" t="n">
        <v>8002193716</v>
      </c>
      <c r="B165" s="8">
        <f t="array" ref="B165:E165">_xlfn.XLOOKUP(A165,'Site Register'!A:A,'Site Register'!B:E)</f>
        <v/>
      </c>
      <c r="C165" s="8" t="inlineStr">
        <is>
          <t>Australia</t>
        </is>
      </c>
      <c r="D165" s="8" t="inlineStr">
        <is>
          <t>WA</t>
        </is>
      </c>
      <c r="E165" s="8" t="inlineStr">
        <is>
          <t>AU Large Electricity</t>
        </is>
      </c>
      <c r="F165" s="8" t="inlineStr">
        <is>
          <t>kWh</t>
        </is>
      </c>
      <c r="G165" s="95" t="n">
        <v>555826.23</v>
      </c>
      <c r="H165" s="96" t="n">
        <v>46204</v>
      </c>
      <c r="I165" s="96" t="n">
        <v>46934</v>
      </c>
      <c r="J165" s="8" t="inlineStr">
        <is>
          <t>AUD</t>
        </is>
      </c>
      <c r="K165" s="97">
        <f>'Rate Inputs'!E133</f>
        <v/>
      </c>
      <c r="L165" s="97">
        <f>'Rate Inputs'!F133</f>
        <v/>
      </c>
      <c r="M165" s="98">
        <f>IF(OR($P165="Ready",$P165="FY26 provisional",$P165="FY26 secured"),IF($H165&lt;=DATE(2025,7,1),ROUNDUP($K165,-2),IF('Rate Inputs'!$J133="","",ROUNDUP(IF($H165&gt;DATE(2026,6,30),'Rate Inputs'!$J133,'Rate Inputs'!$J133*($H165-DATE(2025,7,1))/365+$K165*(DATE(2026,6,30)-$H165+1)/365),-2))),"")</f>
        <v/>
      </c>
      <c r="N165" s="98">
        <f>IF($P165="Ready",ROUNDUP(IFERROR($K165,0),-2),IF(OR($P165="FY26 provisional",$P165="FY26 secured"),"",0))</f>
        <v/>
      </c>
      <c r="O165" s="98">
        <f>IF($P165="Ready",IF('Rate Inputs'!$F133="","",ROUNDUP(IFERROR($L165,0),-2)),IF(OR($P165="FY26 provisional",$P165="FY26 secured"),"",0))</f>
        <v/>
      </c>
      <c r="P165" s="8" t="inlineStr">
        <is>
          <t>Ready</t>
        </is>
      </c>
      <c r="Q165" s="11" t="n"/>
    </row>
    <row r="166">
      <c r="A166" s="2" t="inlineStr">
        <is>
          <t>0000004290DEF89</t>
        </is>
      </c>
      <c r="B166" s="8">
        <f t="array" ref="B166:E166">_xlfn.XLOOKUP(A166,'Site Register'!A:A,'Site Register'!B:E)</f>
        <v/>
      </c>
      <c r="C166" s="8" t="inlineStr">
        <is>
          <t>New Zealand</t>
        </is>
      </c>
      <c r="D166" s="8" t="inlineStr">
        <is>
          <t>South Island</t>
        </is>
      </c>
      <c r="E166" s="8" t="inlineStr">
        <is>
          <t>NZ NTOU Electricity</t>
        </is>
      </c>
      <c r="F166" s="8" t="inlineStr">
        <is>
          <t>kWh</t>
        </is>
      </c>
      <c r="G166" s="95" t="n">
        <v>156484.0425531915</v>
      </c>
      <c r="H166" s="96" t="n">
        <v>46388</v>
      </c>
      <c r="I166" s="96" t="n">
        <v>47483</v>
      </c>
      <c r="J166" s="8" t="inlineStr">
        <is>
          <t>NZD</t>
        </is>
      </c>
      <c r="K166" s="97">
        <f>'Rate Inputs'!E166</f>
        <v/>
      </c>
      <c r="L166" s="97">
        <f>'Rate Inputs'!F166</f>
        <v/>
      </c>
      <c r="M166" s="98">
        <f>IF(OR($P166="Ready",$P166="FY26 provisional",$P166="FY26 secured"),IF($H166&lt;=DATE(2025,7,1),ROUNDUP($K166,-2),IF('Rate Inputs'!$J166="","",ROUNDUP(IF($H166&gt;DATE(2026,6,30),'Rate Inputs'!$J166,'Rate Inputs'!$J166*($H166-DATE(2025,7,1))/365+$K166*(DATE(2026,6,30)-$H166+1)/365),-2))),"")</f>
        <v/>
      </c>
      <c r="N166" s="98">
        <f>IF($P166="Ready",ROUNDUP(IFERROR($K166,0),-2),IF(OR($P166="FY26 provisional",$P166="FY26 secured"),"",0))</f>
        <v/>
      </c>
      <c r="O166" s="98">
        <f>IF($P166="Ready",IF('Rate Inputs'!$F166="","",ROUNDUP(IFERROR($L166,0),-2)),IF(OR($P166="FY26 provisional",$P166="FY26 secured"),"",0))</f>
        <v/>
      </c>
      <c r="P166" s="8" t="inlineStr">
        <is>
          <t>Ready</t>
        </is>
      </c>
      <c r="Q166" s="11" t="n"/>
    </row>
    <row r="167">
      <c r="A167" s="2" t="inlineStr">
        <is>
          <t>0000017346CEE5A</t>
        </is>
      </c>
      <c r="B167" s="8">
        <f t="array" ref="B167:E167">_xlfn.XLOOKUP(A167,'Site Register'!A:A,'Site Register'!B:E)</f>
        <v/>
      </c>
      <c r="C167" s="8" t="inlineStr">
        <is>
          <t>New Zealand</t>
        </is>
      </c>
      <c r="D167" s="8" t="inlineStr">
        <is>
          <t>South Island</t>
        </is>
      </c>
      <c r="E167" s="8" t="inlineStr">
        <is>
          <t>NZ NTOU Electricity</t>
        </is>
      </c>
      <c r="F167" s="8" t="inlineStr">
        <is>
          <t>kWh</t>
        </is>
      </c>
      <c r="G167" s="95" t="n">
        <v>7626.170212765958</v>
      </c>
      <c r="H167" s="96" t="n">
        <v>46388</v>
      </c>
      <c r="I167" s="96" t="n">
        <v>47483</v>
      </c>
      <c r="J167" s="8" t="inlineStr">
        <is>
          <t>NZD</t>
        </is>
      </c>
      <c r="K167" s="97">
        <f>'Rate Inputs'!E168</f>
        <v/>
      </c>
      <c r="L167" s="97">
        <f>'Rate Inputs'!F168</f>
        <v/>
      </c>
      <c r="M167" s="98">
        <f>IF(OR($P167="Ready",$P167="FY26 provisional",$P167="FY26 secured"),IF($H167&lt;=DATE(2025,7,1),ROUNDUP($K167,-2),IF('Rate Inputs'!$J168="","",ROUNDUP(IF($H167&gt;DATE(2026,6,30),'Rate Inputs'!$J168,'Rate Inputs'!$J168*($H167-DATE(2025,7,1))/365+$K167*(DATE(2026,6,30)-$H167+1)/365),-2))),"")</f>
        <v/>
      </c>
      <c r="N167" s="98">
        <f>IF($P167="Ready",ROUNDUP(IFERROR($K167,0),-2),IF(OR($P167="FY26 provisional",$P167="FY26 secured"),"",0))</f>
        <v/>
      </c>
      <c r="O167" s="98">
        <f>IF($P167="Ready",IF('Rate Inputs'!$F168="","",ROUNDUP(IFERROR($L167,0),-2)),IF(OR($P167="FY26 provisional",$P167="FY26 secured"),"",0))</f>
        <v/>
      </c>
      <c r="P167" s="8" t="inlineStr">
        <is>
          <t>Ready</t>
        </is>
      </c>
      <c r="Q167" s="11" t="n"/>
    </row>
    <row r="168">
      <c r="A168" s="2" t="inlineStr">
        <is>
          <t>0000024744TR7DE</t>
        </is>
      </c>
      <c r="B168" s="8">
        <f t="array" ref="B168:E168">_xlfn.XLOOKUP(A168,'Site Register'!A:A,'Site Register'!B:E)</f>
        <v/>
      </c>
      <c r="C168" s="8" t="inlineStr">
        <is>
          <t>New Zealand</t>
        </is>
      </c>
      <c r="D168" s="8" t="inlineStr">
        <is>
          <t>North Island</t>
        </is>
      </c>
      <c r="E168" s="8" t="inlineStr">
        <is>
          <t>NZ NTOU Electricity</t>
        </is>
      </c>
      <c r="F168" s="8" t="inlineStr">
        <is>
          <t>kWh</t>
        </is>
      </c>
      <c r="G168" s="95" t="n">
        <v>105784.4208037825</v>
      </c>
      <c r="H168" s="96" t="n">
        <v>46388</v>
      </c>
      <c r="I168" s="96" t="n">
        <v>47483</v>
      </c>
      <c r="J168" s="8" t="inlineStr">
        <is>
          <t>NZD</t>
        </is>
      </c>
      <c r="K168" s="97">
        <f>'Rate Inputs'!E170</f>
        <v/>
      </c>
      <c r="L168" s="97">
        <f>'Rate Inputs'!F170</f>
        <v/>
      </c>
      <c r="M168" s="98">
        <f>IF(OR($P168="Ready",$P168="FY26 provisional",$P168="FY26 secured"),IF($H168&lt;=DATE(2025,7,1),ROUNDUP($K168,-2),IF('Rate Inputs'!$J170="","",ROUNDUP(IF($H168&gt;DATE(2026,6,30),'Rate Inputs'!$J170,'Rate Inputs'!$J170*($H168-DATE(2025,7,1))/365+$K168*(DATE(2026,6,30)-$H168+1)/365),-2))),"")</f>
        <v/>
      </c>
      <c r="N168" s="98">
        <f>IF($P168="Ready",ROUNDUP(IFERROR($K168,0),-2),IF(OR($P168="FY26 provisional",$P168="FY26 secured"),"",0))</f>
        <v/>
      </c>
      <c r="O168" s="98">
        <f>IF($P168="Ready",IF('Rate Inputs'!$F170="","",ROUNDUP(IFERROR($L168,0),-2)),IF(OR($P168="FY26 provisional",$P168="FY26 secured"),"",0))</f>
        <v/>
      </c>
      <c r="P168" s="8" t="inlineStr">
        <is>
          <t>Ready</t>
        </is>
      </c>
      <c r="Q168" s="11" t="n"/>
    </row>
    <row r="169">
      <c r="A169" s="2" t="inlineStr">
        <is>
          <t>0000025040UN2AE</t>
        </is>
      </c>
      <c r="B169" s="8">
        <f t="array" ref="B169:E169">_xlfn.XLOOKUP(A169,'Site Register'!A:A,'Site Register'!B:E)</f>
        <v/>
      </c>
      <c r="C169" s="8" t="inlineStr">
        <is>
          <t>New Zealand</t>
        </is>
      </c>
      <c r="D169" s="8" t="inlineStr">
        <is>
          <t>North Island</t>
        </is>
      </c>
      <c r="E169" s="8" t="inlineStr">
        <is>
          <t>NZ NTOU Electricity</t>
        </is>
      </c>
      <c r="F169" s="8" t="inlineStr">
        <is>
          <t>kWh</t>
        </is>
      </c>
      <c r="G169" s="95" t="n">
        <v>14808.81796690307</v>
      </c>
      <c r="H169" s="96" t="n">
        <v>46388</v>
      </c>
      <c r="I169" s="96" t="n">
        <v>47483</v>
      </c>
      <c r="J169" s="8" t="inlineStr">
        <is>
          <t>NZD</t>
        </is>
      </c>
      <c r="K169" s="97">
        <f>'Rate Inputs'!E171</f>
        <v/>
      </c>
      <c r="L169" s="97">
        <f>'Rate Inputs'!F171</f>
        <v/>
      </c>
      <c r="M169" s="98">
        <f>IF(OR($P169="Ready",$P169="FY26 provisional",$P169="FY26 secured"),IF($H169&lt;=DATE(2025,7,1),ROUNDUP($K169,-2),IF('Rate Inputs'!$J171="","",ROUNDUP(IF($H169&gt;DATE(2026,6,30),'Rate Inputs'!$J171,'Rate Inputs'!$J171*($H169-DATE(2025,7,1))/365+$K169*(DATE(2026,6,30)-$H169+1)/365),-2))),"")</f>
        <v/>
      </c>
      <c r="N169" s="98">
        <f>IF($P169="Ready",ROUNDUP(IFERROR($K169,0),-2),IF(OR($P169="FY26 provisional",$P169="FY26 secured"),"",0))</f>
        <v/>
      </c>
      <c r="O169" s="98">
        <f>IF($P169="Ready",IF('Rate Inputs'!$F171="","",ROUNDUP(IFERROR($L169,0),-2)),IF(OR($P169="FY26 provisional",$P169="FY26 secured"),"",0))</f>
        <v/>
      </c>
      <c r="P169" s="8" t="inlineStr">
        <is>
          <t>Ready</t>
        </is>
      </c>
      <c r="Q169" s="11" t="n"/>
    </row>
    <row r="170">
      <c r="A170" s="2" t="inlineStr">
        <is>
          <t>0000028649TRA01</t>
        </is>
      </c>
      <c r="B170" s="8">
        <f t="array" ref="B170:E170">_xlfn.XLOOKUP(A170,'Site Register'!A:A,'Site Register'!B:E)</f>
        <v/>
      </c>
      <c r="C170" s="8" t="inlineStr">
        <is>
          <t>New Zealand</t>
        </is>
      </c>
      <c r="D170" s="8" t="inlineStr">
        <is>
          <t>North Island</t>
        </is>
      </c>
      <c r="E170" s="8" t="inlineStr">
        <is>
          <t>NZ NTOU Electricity</t>
        </is>
      </c>
      <c r="F170" s="8" t="inlineStr">
        <is>
          <t>kWh</t>
        </is>
      </c>
      <c r="G170" s="95" t="n">
        <v>24229.78723404255</v>
      </c>
      <c r="H170" s="96" t="n">
        <v>46388</v>
      </c>
      <c r="I170" s="96" t="n">
        <v>47483</v>
      </c>
      <c r="J170" s="8" t="inlineStr">
        <is>
          <t>NZD</t>
        </is>
      </c>
      <c r="K170" s="97">
        <f>'Rate Inputs'!E172</f>
        <v/>
      </c>
      <c r="L170" s="97">
        <f>'Rate Inputs'!F172</f>
        <v/>
      </c>
      <c r="M170" s="98">
        <f>IF(OR($P170="Ready",$P170="FY26 provisional",$P170="FY26 secured"),IF($H170&lt;=DATE(2025,7,1),ROUNDUP($K170,-2),IF('Rate Inputs'!$J172="","",ROUNDUP(IF($H170&gt;DATE(2026,6,30),'Rate Inputs'!$J172,'Rate Inputs'!$J172*($H170-DATE(2025,7,1))/365+$K170*(DATE(2026,6,30)-$H170+1)/365),-2))),"")</f>
        <v/>
      </c>
      <c r="N170" s="98">
        <f>IF($P170="Ready",ROUNDUP(IFERROR($K170,0),-2),IF(OR($P170="FY26 provisional",$P170="FY26 secured"),"",0))</f>
        <v/>
      </c>
      <c r="O170" s="98">
        <f>IF($P170="Ready",IF('Rate Inputs'!$F172="","",ROUNDUP(IFERROR($L170,0),-2)),IF(OR($P170="FY26 provisional",$P170="FY26 secured"),"",0))</f>
        <v/>
      </c>
      <c r="P170" s="8" t="inlineStr">
        <is>
          <t>Ready</t>
        </is>
      </c>
      <c r="Q170" s="11" t="n"/>
    </row>
    <row r="171">
      <c r="A171" s="2" t="inlineStr">
        <is>
          <t>0000029575HBC93</t>
        </is>
      </c>
      <c r="B171" s="8">
        <f t="array" ref="B171:E171">_xlfn.XLOOKUP(A171,'Site Register'!A:A,'Site Register'!B:E)</f>
        <v/>
      </c>
      <c r="C171" s="8" t="inlineStr">
        <is>
          <t>New Zealand</t>
        </is>
      </c>
      <c r="D171" s="8" t="inlineStr">
        <is>
          <t>North Island</t>
        </is>
      </c>
      <c r="E171" s="8" t="inlineStr">
        <is>
          <t>NZ NTOU Electricity</t>
        </is>
      </c>
      <c r="F171" s="8" t="inlineStr">
        <is>
          <t>kWh</t>
        </is>
      </c>
      <c r="G171" s="95" t="n">
        <v>87933.14858490566</v>
      </c>
      <c r="H171" s="96" t="n">
        <v>46388</v>
      </c>
      <c r="I171" s="96" t="n">
        <v>47483</v>
      </c>
      <c r="J171" s="8" t="inlineStr">
        <is>
          <t>NZD</t>
        </is>
      </c>
      <c r="K171" s="97">
        <f>'Rate Inputs'!E173</f>
        <v/>
      </c>
      <c r="L171" s="97">
        <f>'Rate Inputs'!F173</f>
        <v/>
      </c>
      <c r="M171" s="98">
        <f>IF(OR($P171="Ready",$P171="FY26 provisional",$P171="FY26 secured"),IF($H171&lt;=DATE(2025,7,1),ROUNDUP($K171,-2),IF('Rate Inputs'!$J173="","",ROUNDUP(IF($H171&gt;DATE(2026,6,30),'Rate Inputs'!$J173,'Rate Inputs'!$J173*($H171-DATE(2025,7,1))/365+$K171*(DATE(2026,6,30)-$H171+1)/365),-2))),"")</f>
        <v/>
      </c>
      <c r="N171" s="98">
        <f>IF($P171="Ready",ROUNDUP(IFERROR($K171,0),-2),IF(OR($P171="FY26 provisional",$P171="FY26 secured"),"",0))</f>
        <v/>
      </c>
      <c r="O171" s="98">
        <f>IF($P171="Ready",IF('Rate Inputs'!$F173="","",ROUNDUP(IFERROR($L171,0),-2)),IF(OR($P171="FY26 provisional",$P171="FY26 secured"),"",0))</f>
        <v/>
      </c>
      <c r="P171" s="8" t="inlineStr">
        <is>
          <t>Ready</t>
        </is>
      </c>
      <c r="Q171" s="11" t="n"/>
    </row>
    <row r="172">
      <c r="A172" s="2" t="inlineStr">
        <is>
          <t>0000029746CH3C0</t>
        </is>
      </c>
      <c r="B172" s="8">
        <f t="array" ref="B172:E172">_xlfn.XLOOKUP(A172,'Site Register'!A:A,'Site Register'!B:E)</f>
        <v/>
      </c>
      <c r="C172" s="8" t="inlineStr">
        <is>
          <t>New Zealand</t>
        </is>
      </c>
      <c r="D172" s="8" t="inlineStr">
        <is>
          <t>North Island</t>
        </is>
      </c>
      <c r="E172" s="8" t="inlineStr">
        <is>
          <t>NZ NTOU Electricity</t>
        </is>
      </c>
      <c r="F172" s="8" t="inlineStr">
        <is>
          <t>kWh</t>
        </is>
      </c>
      <c r="G172" s="95" t="n">
        <v>15205.74468085106</v>
      </c>
      <c r="H172" s="96" t="n">
        <v>46388</v>
      </c>
      <c r="I172" s="96" t="n">
        <v>47483</v>
      </c>
      <c r="J172" s="8" t="inlineStr">
        <is>
          <t>NZD</t>
        </is>
      </c>
      <c r="K172" s="97">
        <f>'Rate Inputs'!E174</f>
        <v/>
      </c>
      <c r="L172" s="97">
        <f>'Rate Inputs'!F174</f>
        <v/>
      </c>
      <c r="M172" s="98">
        <f>IF(OR($P172="Ready",$P172="FY26 provisional",$P172="FY26 secured"),IF($H172&lt;=DATE(2025,7,1),ROUNDUP($K172,-2),IF('Rate Inputs'!$J174="","",ROUNDUP(IF($H172&gt;DATE(2026,6,30),'Rate Inputs'!$J174,'Rate Inputs'!$J174*($H172-DATE(2025,7,1))/365+$K172*(DATE(2026,6,30)-$H172+1)/365),-2))),"")</f>
        <v/>
      </c>
      <c r="N172" s="98">
        <f>IF($P172="Ready",ROUNDUP(IFERROR($K172,0),-2),IF(OR($P172="FY26 provisional",$P172="FY26 secured"),"",0))</f>
        <v/>
      </c>
      <c r="O172" s="98">
        <f>IF($P172="Ready",IF('Rate Inputs'!$F174="","",ROUNDUP(IFERROR($L172,0),-2)),IF(OR($P172="FY26 provisional",$P172="FY26 secured"),"",0))</f>
        <v/>
      </c>
      <c r="P172" s="8" t="inlineStr">
        <is>
          <t>Ready</t>
        </is>
      </c>
      <c r="Q172" s="11" t="n"/>
    </row>
    <row r="173">
      <c r="A173" s="2" t="inlineStr">
        <is>
          <t>0000030443TR776</t>
        </is>
      </c>
      <c r="B173" s="8">
        <f t="array" ref="B173:E173">_xlfn.XLOOKUP(A173,'Site Register'!A:A,'Site Register'!B:E)</f>
        <v/>
      </c>
      <c r="C173" s="8" t="inlineStr">
        <is>
          <t>New Zealand</t>
        </is>
      </c>
      <c r="D173" s="8" t="inlineStr">
        <is>
          <t>North Island</t>
        </is>
      </c>
      <c r="E173" s="8" t="inlineStr">
        <is>
          <t>NZ NTOU Electricity</t>
        </is>
      </c>
      <c r="F173" s="8" t="inlineStr">
        <is>
          <t>kWh</t>
        </is>
      </c>
      <c r="G173" s="95" t="n">
        <v>6507.872340425532</v>
      </c>
      <c r="H173" s="96" t="n">
        <v>46388</v>
      </c>
      <c r="I173" s="96" t="n">
        <v>47483</v>
      </c>
      <c r="J173" s="8" t="inlineStr">
        <is>
          <t>NZD</t>
        </is>
      </c>
      <c r="K173" s="97">
        <f>'Rate Inputs'!E175</f>
        <v/>
      </c>
      <c r="L173" s="97">
        <f>'Rate Inputs'!F175</f>
        <v/>
      </c>
      <c r="M173" s="98">
        <f>IF(OR($P173="Ready",$P173="FY26 provisional",$P173="FY26 secured"),IF($H173&lt;=DATE(2025,7,1),ROUNDUP($K173,-2),IF('Rate Inputs'!$J175="","",ROUNDUP(IF($H173&gt;DATE(2026,6,30),'Rate Inputs'!$J175,'Rate Inputs'!$J175*($H173-DATE(2025,7,1))/365+$K173*(DATE(2026,6,30)-$H173+1)/365),-2))),"")</f>
        <v/>
      </c>
      <c r="N173" s="98">
        <f>IF($P173="Ready",ROUNDUP(IFERROR($K173,0),-2),IF(OR($P173="FY26 provisional",$P173="FY26 secured"),"",0))</f>
        <v/>
      </c>
      <c r="O173" s="98">
        <f>IF($P173="Ready",IF('Rate Inputs'!$F175="","",ROUNDUP(IFERROR($L173,0),-2)),IF(OR($P173="FY26 provisional",$P173="FY26 secured"),"",0))</f>
        <v/>
      </c>
      <c r="P173" s="8" t="inlineStr">
        <is>
          <t>Ready</t>
        </is>
      </c>
      <c r="Q173" s="11" t="n"/>
    </row>
    <row r="174">
      <c r="A174" s="2" t="inlineStr">
        <is>
          <t>0000030446TRA39</t>
        </is>
      </c>
      <c r="B174" s="8">
        <f t="array" ref="B174:E174">_xlfn.XLOOKUP(A174,'Site Register'!A:A,'Site Register'!B:E)</f>
        <v/>
      </c>
      <c r="C174" s="8" t="inlineStr">
        <is>
          <t>New Zealand</t>
        </is>
      </c>
      <c r="D174" s="8" t="inlineStr">
        <is>
          <t>North Island</t>
        </is>
      </c>
      <c r="E174" s="8" t="inlineStr">
        <is>
          <t>NZ NTOU Electricity</t>
        </is>
      </c>
      <c r="F174" s="8" t="inlineStr">
        <is>
          <t>kWh</t>
        </is>
      </c>
      <c r="G174" s="95" t="n">
        <v>5193.699763593381</v>
      </c>
      <c r="H174" s="96" t="n">
        <v>46388</v>
      </c>
      <c r="I174" s="96" t="n">
        <v>47483</v>
      </c>
      <c r="J174" s="8" t="inlineStr">
        <is>
          <t>NZD</t>
        </is>
      </c>
      <c r="K174" s="97">
        <f>'Rate Inputs'!E176</f>
        <v/>
      </c>
      <c r="L174" s="97">
        <f>'Rate Inputs'!F176</f>
        <v/>
      </c>
      <c r="M174" s="98">
        <f>IF(OR($P174="Ready",$P174="FY26 provisional",$P174="FY26 secured"),IF($H174&lt;=DATE(2025,7,1),ROUNDUP($K174,-2),IF('Rate Inputs'!$J176="","",ROUNDUP(IF($H174&gt;DATE(2026,6,30),'Rate Inputs'!$J176,'Rate Inputs'!$J176*($H174-DATE(2025,7,1))/365+$K174*(DATE(2026,6,30)-$H174+1)/365),-2))),"")</f>
        <v/>
      </c>
      <c r="N174" s="98">
        <f>IF($P174="Ready",ROUNDUP(IFERROR($K174,0),-2),IF(OR($P174="FY26 provisional",$P174="FY26 secured"),"",0))</f>
        <v/>
      </c>
      <c r="O174" s="98">
        <f>IF($P174="Ready",IF('Rate Inputs'!$F176="","",ROUNDUP(IFERROR($L174,0),-2)),IF(OR($P174="FY26 provisional",$P174="FY26 secured"),"",0))</f>
        <v/>
      </c>
      <c r="P174" s="8" t="inlineStr">
        <is>
          <t>Ready</t>
        </is>
      </c>
      <c r="Q174" s="11" t="n"/>
    </row>
    <row r="175">
      <c r="A175" s="2" t="inlineStr">
        <is>
          <t>0000041352NT1D5</t>
        </is>
      </c>
      <c r="B175" s="8">
        <f t="array" ref="B175:E175">_xlfn.XLOOKUP(A175,'Site Register'!A:A,'Site Register'!B:E)</f>
        <v/>
      </c>
      <c r="C175" s="8" t="inlineStr">
        <is>
          <t>New Zealand</t>
        </is>
      </c>
      <c r="D175" s="8" t="inlineStr">
        <is>
          <t>South Island</t>
        </is>
      </c>
      <c r="E175" s="8" t="inlineStr">
        <is>
          <t>NZ NTOU Electricity</t>
        </is>
      </c>
      <c r="F175" s="8" t="inlineStr">
        <is>
          <t>kWh</t>
        </is>
      </c>
      <c r="G175" s="95" t="n">
        <v>21216.59574468085</v>
      </c>
      <c r="H175" s="96" t="n">
        <v>46388</v>
      </c>
      <c r="I175" s="96" t="n">
        <v>47483</v>
      </c>
      <c r="J175" s="8" t="inlineStr">
        <is>
          <t>NZD</t>
        </is>
      </c>
      <c r="K175" s="97">
        <f>'Rate Inputs'!E178</f>
        <v/>
      </c>
      <c r="L175" s="97">
        <f>'Rate Inputs'!F178</f>
        <v/>
      </c>
      <c r="M175" s="98">
        <f>IF(OR($P175="Ready",$P175="FY26 provisional",$P175="FY26 secured"),IF($H175&lt;=DATE(2025,7,1),ROUNDUP($K175,-2),IF('Rate Inputs'!$J178="","",ROUNDUP(IF($H175&gt;DATE(2026,6,30),'Rate Inputs'!$J178,'Rate Inputs'!$J178*($H175-DATE(2025,7,1))/365+$K175*(DATE(2026,6,30)-$H175+1)/365),-2))),"")</f>
        <v/>
      </c>
      <c r="N175" s="98">
        <f>IF($P175="Ready",ROUNDUP(IFERROR($K175,0),-2),IF(OR($P175="FY26 provisional",$P175="FY26 secured"),"",0))</f>
        <v/>
      </c>
      <c r="O175" s="98">
        <f>IF($P175="Ready",IF('Rate Inputs'!$F178="","",ROUNDUP(IFERROR($L175,0),-2)),IF(OR($P175="FY26 provisional",$P175="FY26 secured"),"",0))</f>
        <v/>
      </c>
      <c r="P175" s="8" t="inlineStr">
        <is>
          <t>Ready</t>
        </is>
      </c>
      <c r="Q175" s="11" t="n"/>
    </row>
    <row r="176">
      <c r="A176" s="2" t="inlineStr">
        <is>
          <t>0000044234WE347</t>
        </is>
      </c>
      <c r="B176" s="8">
        <f t="array" ref="B176:E176">_xlfn.XLOOKUP(A176,'Site Register'!A:A,'Site Register'!B:E)</f>
        <v/>
      </c>
      <c r="C176" s="8" t="inlineStr">
        <is>
          <t>New Zealand</t>
        </is>
      </c>
      <c r="D176" s="8" t="inlineStr">
        <is>
          <t>North Island</t>
        </is>
      </c>
      <c r="E176" s="8" t="inlineStr">
        <is>
          <t>NZ NTOU Electricity</t>
        </is>
      </c>
      <c r="F176" s="8" t="inlineStr">
        <is>
          <t>kWh</t>
        </is>
      </c>
      <c r="G176" s="95" t="n">
        <v>42182.11627906976</v>
      </c>
      <c r="H176" s="96" t="n">
        <v>46388</v>
      </c>
      <c r="I176" s="96" t="n">
        <v>47483</v>
      </c>
      <c r="J176" s="8" t="inlineStr">
        <is>
          <t>NZD</t>
        </is>
      </c>
      <c r="K176" s="97">
        <f>'Rate Inputs'!E179</f>
        <v/>
      </c>
      <c r="L176" s="97">
        <f>'Rate Inputs'!F179</f>
        <v/>
      </c>
      <c r="M176" s="98">
        <f>IF(OR($P176="Ready",$P176="FY26 provisional",$P176="FY26 secured"),IF($H176&lt;=DATE(2025,7,1),ROUNDUP($K176,-2),IF('Rate Inputs'!$J179="","",ROUNDUP(IF($H176&gt;DATE(2026,6,30),'Rate Inputs'!$J179,'Rate Inputs'!$J179*($H176-DATE(2025,7,1))/365+$K176*(DATE(2026,6,30)-$H176+1)/365),-2))),"")</f>
        <v/>
      </c>
      <c r="N176" s="98">
        <f>IF($P176="Ready",ROUNDUP(IFERROR($K176,0),-2),IF(OR($P176="FY26 provisional",$P176="FY26 secured"),"",0))</f>
        <v/>
      </c>
      <c r="O176" s="98">
        <f>IF($P176="Ready",IF('Rate Inputs'!$F179="","",ROUNDUP(IFERROR($L176,0),-2)),IF(OR($P176="FY26 provisional",$P176="FY26 secured"),"",0))</f>
        <v/>
      </c>
      <c r="P176" s="8" t="inlineStr">
        <is>
          <t>Ready</t>
        </is>
      </c>
      <c r="Q176" s="11" t="n"/>
    </row>
    <row r="177">
      <c r="A177" s="2" t="inlineStr">
        <is>
          <t>0000045869HR155</t>
        </is>
      </c>
      <c r="B177" s="8">
        <f t="array" ref="B177:E177">_xlfn.XLOOKUP(A177,'Site Register'!A:A,'Site Register'!B:E)</f>
        <v/>
      </c>
      <c r="C177" s="8" t="inlineStr">
        <is>
          <t>New Zealand</t>
        </is>
      </c>
      <c r="D177" s="8" t="inlineStr">
        <is>
          <t>North Island</t>
        </is>
      </c>
      <c r="E177" s="8" t="inlineStr">
        <is>
          <t>NZ NTOU Electricity</t>
        </is>
      </c>
      <c r="F177" s="8" t="inlineStr">
        <is>
          <t>kWh</t>
        </is>
      </c>
      <c r="G177" s="95" t="n">
        <v>42282.18676122931</v>
      </c>
      <c r="H177" s="96" t="n">
        <v>46388</v>
      </c>
      <c r="I177" s="96" t="n">
        <v>47483</v>
      </c>
      <c r="J177" s="8" t="inlineStr">
        <is>
          <t>NZD</t>
        </is>
      </c>
      <c r="K177" s="97">
        <f>'Rate Inputs'!E181</f>
        <v/>
      </c>
      <c r="L177" s="97">
        <f>'Rate Inputs'!F181</f>
        <v/>
      </c>
      <c r="M177" s="98">
        <f>IF(OR($P177="Ready",$P177="FY26 provisional",$P177="FY26 secured"),IF($H177&lt;=DATE(2025,7,1),ROUNDUP($K177,-2),IF('Rate Inputs'!$J181="","",ROUNDUP(IF($H177&gt;DATE(2026,6,30),'Rate Inputs'!$J181,'Rate Inputs'!$J181*($H177-DATE(2025,7,1))/365+$K177*(DATE(2026,6,30)-$H177+1)/365),-2))),"")</f>
        <v/>
      </c>
      <c r="N177" s="98">
        <f>IF($P177="Ready",ROUNDUP(IFERROR($K177,0),-2),IF(OR($P177="FY26 provisional",$P177="FY26 secured"),"",0))</f>
        <v/>
      </c>
      <c r="O177" s="98">
        <f>IF($P177="Ready",IF('Rate Inputs'!$F181="","",ROUNDUP(IFERROR($L177,0),-2)),IF(OR($P177="FY26 provisional",$P177="FY26 secured"),"",0))</f>
        <v/>
      </c>
      <c r="P177" s="8" t="inlineStr">
        <is>
          <t>Ready</t>
        </is>
      </c>
      <c r="Q177" s="11" t="n"/>
    </row>
    <row r="178">
      <c r="A178" s="2" t="inlineStr">
        <is>
          <t>0000048678UN93C</t>
        </is>
      </c>
      <c r="B178" s="8">
        <f t="array" ref="B178:E178">_xlfn.XLOOKUP(A178,'Site Register'!A:A,'Site Register'!B:E)</f>
        <v/>
      </c>
      <c r="C178" s="8" t="inlineStr">
        <is>
          <t>New Zealand</t>
        </is>
      </c>
      <c r="D178" s="8" t="inlineStr">
        <is>
          <t>North Island</t>
        </is>
      </c>
      <c r="E178" s="8" t="inlineStr">
        <is>
          <t>NZ NTOU Electricity</t>
        </is>
      </c>
      <c r="F178" s="8" t="inlineStr">
        <is>
          <t>kWh</t>
        </is>
      </c>
      <c r="G178" s="95" t="n">
        <v>17632.51879699248</v>
      </c>
      <c r="H178" s="96" t="n">
        <v>46388</v>
      </c>
      <c r="I178" s="96" t="n">
        <v>47483</v>
      </c>
      <c r="J178" s="8" t="inlineStr">
        <is>
          <t>NZD</t>
        </is>
      </c>
      <c r="K178" s="97">
        <f>'Rate Inputs'!E182</f>
        <v/>
      </c>
      <c r="L178" s="97">
        <f>'Rate Inputs'!F182</f>
        <v/>
      </c>
      <c r="M178" s="98">
        <f>IF(OR($P178="Ready",$P178="FY26 provisional",$P178="FY26 secured"),IF($H178&lt;=DATE(2025,7,1),ROUNDUP($K178,-2),IF('Rate Inputs'!$J182="","",ROUNDUP(IF($H178&gt;DATE(2026,6,30),'Rate Inputs'!$J182,'Rate Inputs'!$J182*($H178-DATE(2025,7,1))/365+$K178*(DATE(2026,6,30)-$H178+1)/365),-2))),"")</f>
        <v/>
      </c>
      <c r="N178" s="98">
        <f>IF($P178="Ready",ROUNDUP(IFERROR($K178,0),-2),IF(OR($P178="FY26 provisional",$P178="FY26 secured"),"",0))</f>
        <v/>
      </c>
      <c r="O178" s="98">
        <f>IF($P178="Ready",IF('Rate Inputs'!$F182="","",ROUNDUP(IFERROR($L178,0),-2)),IF(OR($P178="FY26 provisional",$P178="FY26 secured"),"",0))</f>
        <v/>
      </c>
      <c r="P178" s="8" t="inlineStr">
        <is>
          <t>Ready</t>
        </is>
      </c>
      <c r="Q178" s="11" t="n"/>
    </row>
    <row r="179">
      <c r="A179" s="2" t="inlineStr">
        <is>
          <t>0000050496WT310</t>
        </is>
      </c>
      <c r="B179" s="8">
        <f t="array" ref="B179:E179">_xlfn.XLOOKUP(A179,'Site Register'!A:A,'Site Register'!B:E)</f>
        <v/>
      </c>
      <c r="C179" s="8" t="inlineStr">
        <is>
          <t>New Zealand</t>
        </is>
      </c>
      <c r="D179" s="8" t="inlineStr">
        <is>
          <t>South Island</t>
        </is>
      </c>
      <c r="E179" s="8" t="inlineStr">
        <is>
          <t>NZ NTOU Electricity</t>
        </is>
      </c>
      <c r="F179" s="8" t="inlineStr">
        <is>
          <t>kWh</t>
        </is>
      </c>
      <c r="G179" s="95" t="n">
        <v>2658.152173913043</v>
      </c>
      <c r="H179" s="96" t="n">
        <v>46388</v>
      </c>
      <c r="I179" s="96" t="n">
        <v>47483</v>
      </c>
      <c r="J179" s="8" t="inlineStr">
        <is>
          <t>NZD</t>
        </is>
      </c>
      <c r="K179" s="97">
        <f>'Rate Inputs'!E183</f>
        <v/>
      </c>
      <c r="L179" s="97">
        <f>'Rate Inputs'!F183</f>
        <v/>
      </c>
      <c r="M179" s="98">
        <f>IF(OR($P179="Ready",$P179="FY26 provisional",$P179="FY26 secured"),IF($H179&lt;=DATE(2025,7,1),ROUNDUP($K179,-2),IF('Rate Inputs'!$J183="","",ROUNDUP(IF($H179&gt;DATE(2026,6,30),'Rate Inputs'!$J183,'Rate Inputs'!$J183*($H179-DATE(2025,7,1))/365+$K179*(DATE(2026,6,30)-$H179+1)/365),-2))),"")</f>
        <v/>
      </c>
      <c r="N179" s="98">
        <f>IF($P179="Ready",ROUNDUP(IFERROR($K179,0),-2),IF(OR($P179="FY26 provisional",$P179="FY26 secured"),"",0))</f>
        <v/>
      </c>
      <c r="O179" s="98">
        <f>IF($P179="Ready",IF('Rate Inputs'!$F183="","",ROUNDUP(IFERROR($L179,0),-2)),IF(OR($P179="FY26 provisional",$P179="FY26 secured"),"",0))</f>
        <v/>
      </c>
      <c r="P179" s="8" t="inlineStr">
        <is>
          <t>Ready</t>
        </is>
      </c>
      <c r="Q179" s="11" t="n"/>
    </row>
    <row r="180">
      <c r="A180" s="2" t="inlineStr">
        <is>
          <t>0000052765HB960</t>
        </is>
      </c>
      <c r="B180" s="8">
        <f t="array" ref="B180:E180">_xlfn.XLOOKUP(A180,'Site Register'!A:A,'Site Register'!B:E)</f>
        <v/>
      </c>
      <c r="C180" s="8" t="inlineStr">
        <is>
          <t>New Zealand</t>
        </is>
      </c>
      <c r="D180" s="8" t="inlineStr">
        <is>
          <t>North Island</t>
        </is>
      </c>
      <c r="E180" s="8" t="inlineStr">
        <is>
          <t>NZ NTOU Electricity</t>
        </is>
      </c>
      <c r="F180" s="8" t="inlineStr">
        <is>
          <t>kWh</t>
        </is>
      </c>
      <c r="G180" s="95" t="n">
        <v>1946.666666666667</v>
      </c>
      <c r="H180" s="96" t="n">
        <v>46388</v>
      </c>
      <c r="I180" s="96" t="n">
        <v>47483</v>
      </c>
      <c r="J180" s="8" t="inlineStr">
        <is>
          <t>NZD</t>
        </is>
      </c>
      <c r="K180" s="97">
        <f>'Rate Inputs'!E185</f>
        <v/>
      </c>
      <c r="L180" s="97">
        <f>'Rate Inputs'!F185</f>
        <v/>
      </c>
      <c r="M180" s="98">
        <f>IF(OR($P180="Ready",$P180="FY26 provisional",$P180="FY26 secured"),IF($H180&lt;=DATE(2025,7,1),ROUNDUP($K180,-2),IF('Rate Inputs'!$J185="","",ROUNDUP(IF($H180&gt;DATE(2026,6,30),'Rate Inputs'!$J185,'Rate Inputs'!$J185*($H180-DATE(2025,7,1))/365+$K180*(DATE(2026,6,30)-$H180+1)/365),-2))),"")</f>
        <v/>
      </c>
      <c r="N180" s="98">
        <f>IF($P180="Ready",ROUNDUP(IFERROR($K180,0),-2),IF(OR($P180="FY26 provisional",$P180="FY26 secured"),"",0))</f>
        <v/>
      </c>
      <c r="O180" s="98">
        <f>IF($P180="Ready",IF('Rate Inputs'!$F185="","",ROUNDUP(IFERROR($L180,0),-2)),IF(OR($P180="FY26 provisional",$P180="FY26 secured"),"",0))</f>
        <v/>
      </c>
      <c r="P180" s="8" t="inlineStr">
        <is>
          <t>Ready</t>
        </is>
      </c>
      <c r="Q180" s="11" t="n"/>
    </row>
    <row r="181">
      <c r="A181" s="2" t="inlineStr">
        <is>
          <t>0000055490UN954</t>
        </is>
      </c>
      <c r="B181" s="8">
        <f t="array" ref="B181:E181">_xlfn.XLOOKUP(A181,'Site Register'!A:A,'Site Register'!B:E)</f>
        <v/>
      </c>
      <c r="C181" s="8" t="inlineStr">
        <is>
          <t>New Zealand</t>
        </is>
      </c>
      <c r="D181" s="8" t="inlineStr">
        <is>
          <t>North Island</t>
        </is>
      </c>
      <c r="E181" s="8" t="inlineStr">
        <is>
          <t>NZ NTOU Electricity</t>
        </is>
      </c>
      <c r="F181" s="8" t="inlineStr">
        <is>
          <t>kWh</t>
        </is>
      </c>
      <c r="G181" s="95" t="n">
        <v>971.6075650118204</v>
      </c>
      <c r="H181" s="96" t="n">
        <v>46388</v>
      </c>
      <c r="I181" s="96" t="n">
        <v>47483</v>
      </c>
      <c r="J181" s="8" t="inlineStr">
        <is>
          <t>NZD</t>
        </is>
      </c>
      <c r="K181" s="97">
        <f>'Rate Inputs'!E186</f>
        <v/>
      </c>
      <c r="L181" s="97">
        <f>'Rate Inputs'!F186</f>
        <v/>
      </c>
      <c r="M181" s="98">
        <f>IF(OR($P181="Ready",$P181="FY26 provisional",$P181="FY26 secured"),IF($H181&lt;=DATE(2025,7,1),ROUNDUP($K181,-2),IF('Rate Inputs'!$J186="","",ROUNDUP(IF($H181&gt;DATE(2026,6,30),'Rate Inputs'!$J186,'Rate Inputs'!$J186*($H181-DATE(2025,7,1))/365+$K181*(DATE(2026,6,30)-$H181+1)/365),-2))),"")</f>
        <v/>
      </c>
      <c r="N181" s="98">
        <f>IF($P181="Ready",ROUNDUP(IFERROR($K181,0),-2),IF(OR($P181="FY26 provisional",$P181="FY26 secured"),"",0))</f>
        <v/>
      </c>
      <c r="O181" s="98">
        <f>IF($P181="Ready",IF('Rate Inputs'!$F186="","",ROUNDUP(IFERROR($L181,0),-2)),IF(OR($P181="FY26 provisional",$P181="FY26 secured"),"",0))</f>
        <v/>
      </c>
      <c r="P181" s="8" t="inlineStr">
        <is>
          <t>Ready</t>
        </is>
      </c>
      <c r="Q181" s="11" t="n"/>
    </row>
    <row r="182">
      <c r="A182" s="2" t="inlineStr">
        <is>
          <t>0000055906UN234</t>
        </is>
      </c>
      <c r="B182" s="8">
        <f t="array" ref="B182:E182">_xlfn.XLOOKUP(A182,'Site Register'!A:A,'Site Register'!B:E)</f>
        <v/>
      </c>
      <c r="C182" s="8" t="inlineStr">
        <is>
          <t>New Zealand</t>
        </is>
      </c>
      <c r="D182" s="8" t="inlineStr">
        <is>
          <t>North Island</t>
        </is>
      </c>
      <c r="E182" s="8" t="inlineStr">
        <is>
          <t>NZ NTOU Electricity</t>
        </is>
      </c>
      <c r="F182" s="8" t="inlineStr">
        <is>
          <t>kWh</t>
        </is>
      </c>
      <c r="G182" s="95" t="n">
        <v>22215.81560283688</v>
      </c>
      <c r="H182" s="96" t="n">
        <v>46388</v>
      </c>
      <c r="I182" s="96" t="n">
        <v>47483</v>
      </c>
      <c r="J182" s="8" t="inlineStr">
        <is>
          <t>NZD</t>
        </is>
      </c>
      <c r="K182" s="97">
        <f>'Rate Inputs'!E187</f>
        <v/>
      </c>
      <c r="L182" s="97">
        <f>'Rate Inputs'!F187</f>
        <v/>
      </c>
      <c r="M182" s="98">
        <f>IF(OR($P182="Ready",$P182="FY26 provisional",$P182="FY26 secured"),IF($H182&lt;=DATE(2025,7,1),ROUNDUP($K182,-2),IF('Rate Inputs'!$J187="","",ROUNDUP(IF($H182&gt;DATE(2026,6,30),'Rate Inputs'!$J187,'Rate Inputs'!$J187*($H182-DATE(2025,7,1))/365+$K182*(DATE(2026,6,30)-$H182+1)/365),-2))),"")</f>
        <v/>
      </c>
      <c r="N182" s="98">
        <f>IF($P182="Ready",ROUNDUP(IFERROR($K182,0),-2),IF(OR($P182="FY26 provisional",$P182="FY26 secured"),"",0))</f>
        <v/>
      </c>
      <c r="O182" s="98">
        <f>IF($P182="Ready",IF('Rate Inputs'!$F187="","",ROUNDUP(IFERROR($L182,0),-2)),IF(OR($P182="FY26 provisional",$P182="FY26 secured"),"",0))</f>
        <v/>
      </c>
      <c r="P182" s="8" t="inlineStr">
        <is>
          <t>Ready</t>
        </is>
      </c>
      <c r="Q182" s="11" t="n"/>
    </row>
    <row r="183">
      <c r="A183" s="2" t="inlineStr">
        <is>
          <t>0000055908UN1AF</t>
        </is>
      </c>
      <c r="B183" s="8">
        <f t="array" ref="B183:E183">_xlfn.XLOOKUP(A183,'Site Register'!A:A,'Site Register'!B:E)</f>
        <v/>
      </c>
      <c r="C183" s="8" t="inlineStr">
        <is>
          <t>New Zealand</t>
        </is>
      </c>
      <c r="D183" s="8" t="inlineStr">
        <is>
          <t>North Island</t>
        </is>
      </c>
      <c r="E183" s="8" t="inlineStr">
        <is>
          <t>NZ NTOU Electricity</t>
        </is>
      </c>
      <c r="F183" s="8" t="inlineStr">
        <is>
          <t>kWh</t>
        </is>
      </c>
      <c r="G183" s="95" t="n">
        <v>1970.827423167849</v>
      </c>
      <c r="H183" s="96" t="n">
        <v>46388</v>
      </c>
      <c r="I183" s="96" t="n">
        <v>47483</v>
      </c>
      <c r="J183" s="8" t="inlineStr">
        <is>
          <t>NZD</t>
        </is>
      </c>
      <c r="K183" s="97">
        <f>'Rate Inputs'!E188</f>
        <v/>
      </c>
      <c r="L183" s="97">
        <f>'Rate Inputs'!F188</f>
        <v/>
      </c>
      <c r="M183" s="98">
        <f>IF(OR($P183="Ready",$P183="FY26 provisional",$P183="FY26 secured"),IF($H183&lt;=DATE(2025,7,1),ROUNDUP($K183,-2),IF('Rate Inputs'!$J188="","",ROUNDUP(IF($H183&gt;DATE(2026,6,30),'Rate Inputs'!$J188,'Rate Inputs'!$J188*($H183-DATE(2025,7,1))/365+$K183*(DATE(2026,6,30)-$H183+1)/365),-2))),"")</f>
        <v/>
      </c>
      <c r="N183" s="98">
        <f>IF($P183="Ready",ROUNDUP(IFERROR($K183,0),-2),IF(OR($P183="FY26 provisional",$P183="FY26 secured"),"",0))</f>
        <v/>
      </c>
      <c r="O183" s="98">
        <f>IF($P183="Ready",IF('Rate Inputs'!$F188="","",ROUNDUP(IFERROR($L183,0),-2)),IF(OR($P183="FY26 provisional",$P183="FY26 secured"),"",0))</f>
        <v/>
      </c>
      <c r="P183" s="8" t="inlineStr">
        <is>
          <t>Ready</t>
        </is>
      </c>
      <c r="Q183" s="11" t="n"/>
    </row>
    <row r="184">
      <c r="A184" s="2" t="inlineStr">
        <is>
          <t>0000058140WE772</t>
        </is>
      </c>
      <c r="B184" s="8">
        <f t="array" ref="B184:E184">_xlfn.XLOOKUP(A184,'Site Register'!A:A,'Site Register'!B:E)</f>
        <v/>
      </c>
      <c r="C184" s="8" t="inlineStr">
        <is>
          <t>New Zealand</t>
        </is>
      </c>
      <c r="D184" s="8" t="inlineStr">
        <is>
          <t>North Island</t>
        </is>
      </c>
      <c r="E184" s="8" t="inlineStr">
        <is>
          <t>NZ NTOU Electricity</t>
        </is>
      </c>
      <c r="F184" s="8" t="inlineStr">
        <is>
          <t>kWh</t>
        </is>
      </c>
      <c r="G184" s="95" t="n">
        <v>8418.32268370607</v>
      </c>
      <c r="H184" s="96" t="n">
        <v>46388</v>
      </c>
      <c r="I184" s="96" t="n">
        <v>47483</v>
      </c>
      <c r="J184" s="8" t="inlineStr">
        <is>
          <t>NZD</t>
        </is>
      </c>
      <c r="K184" s="97">
        <f>'Rate Inputs'!E189</f>
        <v/>
      </c>
      <c r="L184" s="97">
        <f>'Rate Inputs'!F189</f>
        <v/>
      </c>
      <c r="M184" s="98">
        <f>IF(OR($P184="Ready",$P184="FY26 provisional",$P184="FY26 secured"),IF($H184&lt;=DATE(2025,7,1),ROUNDUP($K184,-2),IF('Rate Inputs'!$J189="","",ROUNDUP(IF($H184&gt;DATE(2026,6,30),'Rate Inputs'!$J189,'Rate Inputs'!$J189*($H184-DATE(2025,7,1))/365+$K184*(DATE(2026,6,30)-$H184+1)/365),-2))),"")</f>
        <v/>
      </c>
      <c r="N184" s="98">
        <f>IF($P184="Ready",ROUNDUP(IFERROR($K184,0),-2),IF(OR($P184="FY26 provisional",$P184="FY26 secured"),"",0))</f>
        <v/>
      </c>
      <c r="O184" s="98">
        <f>IF($P184="Ready",IF('Rate Inputs'!$F189="","",ROUNDUP(IFERROR($L184,0),-2)),IF(OR($P184="FY26 provisional",$P184="FY26 secured"),"",0))</f>
        <v/>
      </c>
      <c r="P184" s="8" t="inlineStr">
        <is>
          <t>Ready</t>
        </is>
      </c>
      <c r="Q184" s="11" t="n"/>
    </row>
    <row r="185">
      <c r="A185" s="2" t="inlineStr">
        <is>
          <t>0000058309TR718</t>
        </is>
      </c>
      <c r="B185" s="8">
        <f t="array" ref="B185:E185">_xlfn.XLOOKUP(A185,'Site Register'!A:A,'Site Register'!B:E)</f>
        <v/>
      </c>
      <c r="C185" s="8" t="inlineStr">
        <is>
          <t>New Zealand</t>
        </is>
      </c>
      <c r="D185" s="8" t="inlineStr">
        <is>
          <t>North Island</t>
        </is>
      </c>
      <c r="E185" s="8" t="inlineStr">
        <is>
          <t>NZ NTOU Electricity</t>
        </is>
      </c>
      <c r="F185" s="8" t="inlineStr">
        <is>
          <t>kWh</t>
        </is>
      </c>
      <c r="G185" s="95" t="n">
        <v>17950.49234135667</v>
      </c>
      <c r="H185" s="96" t="n">
        <v>46388</v>
      </c>
      <c r="I185" s="96" t="n">
        <v>47483</v>
      </c>
      <c r="J185" s="8" t="inlineStr">
        <is>
          <t>NZD</t>
        </is>
      </c>
      <c r="K185" s="97">
        <f>'Rate Inputs'!E190</f>
        <v/>
      </c>
      <c r="L185" s="97">
        <f>'Rate Inputs'!F190</f>
        <v/>
      </c>
      <c r="M185" s="98">
        <f>IF(OR($P185="Ready",$P185="FY26 provisional",$P185="FY26 secured"),IF($H185&lt;=DATE(2025,7,1),ROUNDUP($K185,-2),IF('Rate Inputs'!$J190="","",ROUNDUP(IF($H185&gt;DATE(2026,6,30),'Rate Inputs'!$J190,'Rate Inputs'!$J190*($H185-DATE(2025,7,1))/365+$K185*(DATE(2026,6,30)-$H185+1)/365),-2))),"")</f>
        <v/>
      </c>
      <c r="N185" s="98">
        <f>IF($P185="Ready",ROUNDUP(IFERROR($K185,0),-2),IF(OR($P185="FY26 provisional",$P185="FY26 secured"),"",0))</f>
        <v/>
      </c>
      <c r="O185" s="98">
        <f>IF($P185="Ready",IF('Rate Inputs'!$F190="","",ROUNDUP(IFERROR($L185,0),-2)),IF(OR($P185="FY26 provisional",$P185="FY26 secured"),"",0))</f>
        <v/>
      </c>
      <c r="P185" s="8" t="inlineStr">
        <is>
          <t>Ready</t>
        </is>
      </c>
      <c r="Q185" s="11" t="n"/>
    </row>
    <row r="186">
      <c r="A186" s="2" t="inlineStr">
        <is>
          <t>0000064350CP5A6</t>
        </is>
      </c>
      <c r="B186" s="8">
        <f t="array" ref="B186:E186">_xlfn.XLOOKUP(A186,'Site Register'!A:A,'Site Register'!B:E)</f>
        <v/>
      </c>
      <c r="C186" s="8" t="inlineStr">
        <is>
          <t>New Zealand</t>
        </is>
      </c>
      <c r="D186" s="8" t="inlineStr">
        <is>
          <t>North Island</t>
        </is>
      </c>
      <c r="E186" s="8" t="inlineStr">
        <is>
          <t>NZ NTOU Electricity</t>
        </is>
      </c>
      <c r="F186" s="8" t="inlineStr">
        <is>
          <t>kWh</t>
        </is>
      </c>
      <c r="G186" s="95" t="n">
        <v>37534.01265822785</v>
      </c>
      <c r="H186" s="96" t="n">
        <v>46388</v>
      </c>
      <c r="I186" s="96" t="n">
        <v>47483</v>
      </c>
      <c r="J186" s="8" t="inlineStr">
        <is>
          <t>NZD</t>
        </is>
      </c>
      <c r="K186" s="97">
        <f>'Rate Inputs'!E191</f>
        <v/>
      </c>
      <c r="L186" s="97">
        <f>'Rate Inputs'!F191</f>
        <v/>
      </c>
      <c r="M186" s="98">
        <f>IF(OR($P186="Ready",$P186="FY26 provisional",$P186="FY26 secured"),IF($H186&lt;=DATE(2025,7,1),ROUNDUP($K186,-2),IF('Rate Inputs'!$J191="","",ROUNDUP(IF($H186&gt;DATE(2026,6,30),'Rate Inputs'!$J191,'Rate Inputs'!$J191*($H186-DATE(2025,7,1))/365+$K186*(DATE(2026,6,30)-$H186+1)/365),-2))),"")</f>
        <v/>
      </c>
      <c r="N186" s="98">
        <f>IF($P186="Ready",ROUNDUP(IFERROR($K186,0),-2),IF(OR($P186="FY26 provisional",$P186="FY26 secured"),"",0))</f>
        <v/>
      </c>
      <c r="O186" s="98">
        <f>IF($P186="Ready",IF('Rate Inputs'!$F191="","",ROUNDUP(IFERROR($L186,0),-2)),IF(OR($P186="FY26 provisional",$P186="FY26 secured"),"",0))</f>
        <v/>
      </c>
      <c r="P186" s="8" t="inlineStr">
        <is>
          <t>Ready</t>
        </is>
      </c>
      <c r="Q186" s="11" t="n"/>
    </row>
    <row r="187">
      <c r="A187" s="2" t="inlineStr">
        <is>
          <t>0000166865CKBDD</t>
        </is>
      </c>
      <c r="B187" s="8">
        <f t="array" ref="B187:E187">_xlfn.XLOOKUP(A187,'Site Register'!A:A,'Site Register'!B:E)</f>
        <v/>
      </c>
      <c r="C187" s="8" t="inlineStr">
        <is>
          <t>New Zealand</t>
        </is>
      </c>
      <c r="D187" s="8" t="inlineStr">
        <is>
          <t>North Island</t>
        </is>
      </c>
      <c r="E187" s="8" t="inlineStr">
        <is>
          <t>NZ NTOU Electricity</t>
        </is>
      </c>
      <c r="F187" s="8" t="inlineStr">
        <is>
          <t>kWh</t>
        </is>
      </c>
      <c r="G187" s="95" t="n">
        <v>27888.04846938775</v>
      </c>
      <c r="H187" s="96" t="n">
        <v>46388</v>
      </c>
      <c r="I187" s="96" t="n">
        <v>47483</v>
      </c>
      <c r="J187" s="8" t="inlineStr">
        <is>
          <t>NZD</t>
        </is>
      </c>
      <c r="K187" s="97">
        <f>'Rate Inputs'!E193</f>
        <v/>
      </c>
      <c r="L187" s="97">
        <f>'Rate Inputs'!F193</f>
        <v/>
      </c>
      <c r="M187" s="98">
        <f>IF(OR($P187="Ready",$P187="FY26 provisional",$P187="FY26 secured"),IF($H187&lt;=DATE(2025,7,1),ROUNDUP($K187,-2),IF('Rate Inputs'!$J193="","",ROUNDUP(IF($H187&gt;DATE(2026,6,30),'Rate Inputs'!$J193,'Rate Inputs'!$J193*($H187-DATE(2025,7,1))/365+$K187*(DATE(2026,6,30)-$H187+1)/365),-2))),"")</f>
        <v/>
      </c>
      <c r="N187" s="98">
        <f>IF($P187="Ready",ROUNDUP(IFERROR($K187,0),-2),IF(OR($P187="FY26 provisional",$P187="FY26 secured"),"",0))</f>
        <v/>
      </c>
      <c r="O187" s="98">
        <f>IF($P187="Ready",IF('Rate Inputs'!$F193="","",ROUNDUP(IFERROR($L187,0),-2)),IF(OR($P187="FY26 provisional",$P187="FY26 secured"),"",0))</f>
        <v/>
      </c>
      <c r="P187" s="8" t="inlineStr">
        <is>
          <t>Ready</t>
        </is>
      </c>
      <c r="Q187" s="11" t="n"/>
    </row>
    <row r="188">
      <c r="A188" s="2" t="inlineStr">
        <is>
          <t>0000166949CKC92</t>
        </is>
      </c>
      <c r="B188" s="8">
        <f t="array" ref="B188:E188">_xlfn.XLOOKUP(A188,'Site Register'!A:A,'Site Register'!B:E)</f>
        <v/>
      </c>
      <c r="C188" s="8" t="inlineStr">
        <is>
          <t>New Zealand</t>
        </is>
      </c>
      <c r="D188" s="8" t="inlineStr">
        <is>
          <t>North Island</t>
        </is>
      </c>
      <c r="E188" s="8" t="inlineStr">
        <is>
          <t>NZ NTOU Electricity</t>
        </is>
      </c>
      <c r="F188" s="8" t="inlineStr">
        <is>
          <t>kWh</t>
        </is>
      </c>
      <c r="G188" s="95" t="n">
        <v>22321.08747044917</v>
      </c>
      <c r="H188" s="96" t="n">
        <v>46388</v>
      </c>
      <c r="I188" s="96" t="n">
        <v>47483</v>
      </c>
      <c r="J188" s="8" t="inlineStr">
        <is>
          <t>NZD</t>
        </is>
      </c>
      <c r="K188" s="97">
        <f>'Rate Inputs'!E194</f>
        <v/>
      </c>
      <c r="L188" s="97">
        <f>'Rate Inputs'!F194</f>
        <v/>
      </c>
      <c r="M188" s="98">
        <f>IF(OR($P188="Ready",$P188="FY26 provisional",$P188="FY26 secured"),IF($H188&lt;=DATE(2025,7,1),ROUNDUP($K188,-2),IF('Rate Inputs'!$J194="","",ROUNDUP(IF($H188&gt;DATE(2026,6,30),'Rate Inputs'!$J194,'Rate Inputs'!$J194*($H188-DATE(2025,7,1))/365+$K188*(DATE(2026,6,30)-$H188+1)/365),-2))),"")</f>
        <v/>
      </c>
      <c r="N188" s="98">
        <f>IF($P188="Ready",ROUNDUP(IFERROR($K188,0),-2),IF(OR($P188="FY26 provisional",$P188="FY26 secured"),"",0))</f>
        <v/>
      </c>
      <c r="O188" s="98">
        <f>IF($P188="Ready",IF('Rate Inputs'!$F194="","",ROUNDUP(IFERROR($L188,0),-2)),IF(OR($P188="FY26 provisional",$P188="FY26 secured"),"",0))</f>
        <v/>
      </c>
      <c r="P188" s="8" t="inlineStr">
        <is>
          <t>Ready</t>
        </is>
      </c>
      <c r="Q188" s="11" t="n"/>
    </row>
    <row r="189">
      <c r="A189" s="2" t="inlineStr">
        <is>
          <t>0000170681CKB47</t>
        </is>
      </c>
      <c r="B189" s="8">
        <f t="array" ref="B189:E189">_xlfn.XLOOKUP(A189,'Site Register'!A:A,'Site Register'!B:E)</f>
        <v/>
      </c>
      <c r="C189" s="8" t="inlineStr">
        <is>
          <t>New Zealand</t>
        </is>
      </c>
      <c r="D189" s="8" t="inlineStr">
        <is>
          <t>North Island</t>
        </is>
      </c>
      <c r="E189" s="8" t="inlineStr">
        <is>
          <t>NZ NTOU Electricity</t>
        </is>
      </c>
      <c r="F189" s="8" t="inlineStr">
        <is>
          <t>kWh</t>
        </is>
      </c>
      <c r="G189" s="95" t="n">
        <v>4504.255319148936</v>
      </c>
      <c r="H189" s="96" t="n">
        <v>46388</v>
      </c>
      <c r="I189" s="96" t="n">
        <v>47483</v>
      </c>
      <c r="J189" s="8" t="inlineStr">
        <is>
          <t>NZD</t>
        </is>
      </c>
      <c r="K189" s="97">
        <f>'Rate Inputs'!E195</f>
        <v/>
      </c>
      <c r="L189" s="97">
        <f>'Rate Inputs'!F195</f>
        <v/>
      </c>
      <c r="M189" s="98">
        <f>IF(OR($P189="Ready",$P189="FY26 provisional",$P189="FY26 secured"),IF($H189&lt;=DATE(2025,7,1),ROUNDUP($K189,-2),IF('Rate Inputs'!$J195="","",ROUNDUP(IF($H189&gt;DATE(2026,6,30),'Rate Inputs'!$J195,'Rate Inputs'!$J195*($H189-DATE(2025,7,1))/365+$K189*(DATE(2026,6,30)-$H189+1)/365),-2))),"")</f>
        <v/>
      </c>
      <c r="N189" s="98">
        <f>IF($P189="Ready",ROUNDUP(IFERROR($K189,0),-2),IF(OR($P189="FY26 provisional",$P189="FY26 secured"),"",0))</f>
        <v/>
      </c>
      <c r="O189" s="98">
        <f>IF($P189="Ready",IF('Rate Inputs'!$F195="","",ROUNDUP(IFERROR($L189,0),-2)),IF(OR($P189="FY26 provisional",$P189="FY26 secured"),"",0))</f>
        <v/>
      </c>
      <c r="P189" s="8" t="inlineStr">
        <is>
          <t>Ready</t>
        </is>
      </c>
      <c r="Q189" s="11" t="n"/>
    </row>
    <row r="190">
      <c r="A190" s="2" t="inlineStr">
        <is>
          <t>0000172164CK0F0</t>
        </is>
      </c>
      <c r="B190" s="8">
        <f t="array" ref="B190:E190">_xlfn.XLOOKUP(A190,'Site Register'!A:A,'Site Register'!B:E)</f>
        <v/>
      </c>
      <c r="C190" s="8" t="inlineStr">
        <is>
          <t>New Zealand</t>
        </is>
      </c>
      <c r="D190" s="8" t="inlineStr">
        <is>
          <t>North Island</t>
        </is>
      </c>
      <c r="E190" s="8" t="inlineStr">
        <is>
          <t>NZ NTOU Electricity</t>
        </is>
      </c>
      <c r="F190" s="8" t="inlineStr">
        <is>
          <t>kWh</t>
        </is>
      </c>
      <c r="G190" s="95" t="n">
        <v>12295.52699228792</v>
      </c>
      <c r="H190" s="96" t="n">
        <v>46388</v>
      </c>
      <c r="I190" s="96" t="n">
        <v>47483</v>
      </c>
      <c r="J190" s="8" t="inlineStr">
        <is>
          <t>NZD</t>
        </is>
      </c>
      <c r="K190" s="97">
        <f>'Rate Inputs'!E196</f>
        <v/>
      </c>
      <c r="L190" s="97">
        <f>'Rate Inputs'!F196</f>
        <v/>
      </c>
      <c r="M190" s="98">
        <f>IF(OR($P190="Ready",$P190="FY26 provisional",$P190="FY26 secured"),IF($H190&lt;=DATE(2025,7,1),ROUNDUP($K190,-2),IF('Rate Inputs'!$J196="","",ROUNDUP(IF($H190&gt;DATE(2026,6,30),'Rate Inputs'!$J196,'Rate Inputs'!$J196*($H190-DATE(2025,7,1))/365+$K190*(DATE(2026,6,30)-$H190+1)/365),-2))),"")</f>
        <v/>
      </c>
      <c r="N190" s="98">
        <f>IF($P190="Ready",ROUNDUP(IFERROR($K190,0),-2),IF(OR($P190="FY26 provisional",$P190="FY26 secured"),"",0))</f>
        <v/>
      </c>
      <c r="O190" s="98">
        <f>IF($P190="Ready",IF('Rate Inputs'!$F196="","",ROUNDUP(IFERROR($L190,0),-2)),IF(OR($P190="FY26 provisional",$P190="FY26 secured"),"",0))</f>
        <v/>
      </c>
      <c r="P190" s="8" t="inlineStr">
        <is>
          <t>Ready</t>
        </is>
      </c>
      <c r="Q190" s="11" t="n"/>
    </row>
    <row r="191">
      <c r="A191" s="2" t="inlineStr">
        <is>
          <t>0000172288CKA57</t>
        </is>
      </c>
      <c r="B191" s="8">
        <f t="array" ref="B191:E191">_xlfn.XLOOKUP(A191,'Site Register'!A:A,'Site Register'!B:E)</f>
        <v/>
      </c>
      <c r="C191" s="8" t="inlineStr">
        <is>
          <t>New Zealand</t>
        </is>
      </c>
      <c r="D191" s="8" t="inlineStr">
        <is>
          <t>North Island</t>
        </is>
      </c>
      <c r="E191" s="8" t="inlineStr">
        <is>
          <t>NZ NTOU Electricity</t>
        </is>
      </c>
      <c r="F191" s="8" t="inlineStr">
        <is>
          <t>kWh</t>
        </is>
      </c>
      <c r="G191" s="95" t="n">
        <v>1009.574468085106</v>
      </c>
      <c r="H191" s="96" t="n">
        <v>46388</v>
      </c>
      <c r="I191" s="96" t="n">
        <v>47483</v>
      </c>
      <c r="J191" s="8" t="inlineStr">
        <is>
          <t>NZD</t>
        </is>
      </c>
      <c r="K191" s="97">
        <f>'Rate Inputs'!E197</f>
        <v/>
      </c>
      <c r="L191" s="97">
        <f>'Rate Inputs'!F197</f>
        <v/>
      </c>
      <c r="M191" s="98">
        <f>IF(OR($P191="Ready",$P191="FY26 provisional",$P191="FY26 secured"),IF($H191&lt;=DATE(2025,7,1),ROUNDUP($K191,-2),IF('Rate Inputs'!$J197="","",ROUNDUP(IF($H191&gt;DATE(2026,6,30),'Rate Inputs'!$J197,'Rate Inputs'!$J197*($H191-DATE(2025,7,1))/365+$K191*(DATE(2026,6,30)-$H191+1)/365),-2))),"")</f>
        <v/>
      </c>
      <c r="N191" s="98">
        <f>IF($P191="Ready",ROUNDUP(IFERROR($K191,0),-2),IF(OR($P191="FY26 provisional",$P191="FY26 secured"),"",0))</f>
        <v/>
      </c>
      <c r="O191" s="98">
        <f>IF($P191="Ready",IF('Rate Inputs'!$F197="","",ROUNDUP(IFERROR($L191,0),-2)),IF(OR($P191="FY26 provisional",$P191="FY26 secured"),"",0))</f>
        <v/>
      </c>
      <c r="P191" s="8" t="inlineStr">
        <is>
          <t>Ready</t>
        </is>
      </c>
      <c r="Q191" s="11" t="n"/>
    </row>
    <row r="192">
      <c r="A192" s="2" t="inlineStr">
        <is>
          <t>0000175917CKD00</t>
        </is>
      </c>
      <c r="B192" s="8">
        <f t="array" ref="B192:E192">_xlfn.XLOOKUP(A192,'Site Register'!A:A,'Site Register'!B:E)</f>
        <v/>
      </c>
      <c r="C192" s="8" t="inlineStr">
        <is>
          <t>New Zealand</t>
        </is>
      </c>
      <c r="D192" s="8" t="inlineStr">
        <is>
          <t>North Island</t>
        </is>
      </c>
      <c r="E192" s="8" t="inlineStr">
        <is>
          <t>NZ NTOU Electricity</t>
        </is>
      </c>
      <c r="F192" s="8" t="inlineStr">
        <is>
          <t>kWh</t>
        </is>
      </c>
      <c r="G192" s="95" t="n">
        <v>9842.574468085106</v>
      </c>
      <c r="H192" s="96" t="n">
        <v>46388</v>
      </c>
      <c r="I192" s="96" t="n">
        <v>47483</v>
      </c>
      <c r="J192" s="8" t="inlineStr">
        <is>
          <t>NZD</t>
        </is>
      </c>
      <c r="K192" s="97">
        <f>'Rate Inputs'!E198</f>
        <v/>
      </c>
      <c r="L192" s="97">
        <f>'Rate Inputs'!F198</f>
        <v/>
      </c>
      <c r="M192" s="98">
        <f>IF(OR($P192="Ready",$P192="FY26 provisional",$P192="FY26 secured"),IF($H192&lt;=DATE(2025,7,1),ROUNDUP($K192,-2),IF('Rate Inputs'!$J198="","",ROUNDUP(IF($H192&gt;DATE(2026,6,30),'Rate Inputs'!$J198,'Rate Inputs'!$J198*($H192-DATE(2025,7,1))/365+$K192*(DATE(2026,6,30)-$H192+1)/365),-2))),"")</f>
        <v/>
      </c>
      <c r="N192" s="98">
        <f>IF($P192="Ready",ROUNDUP(IFERROR($K192,0),-2),IF(OR($P192="FY26 provisional",$P192="FY26 secured"),"",0))</f>
        <v/>
      </c>
      <c r="O192" s="98">
        <f>IF($P192="Ready",IF('Rate Inputs'!$F198="","",ROUNDUP(IFERROR($L192,0),-2)),IF(OR($P192="FY26 provisional",$P192="FY26 secured"),"",0))</f>
        <v/>
      </c>
      <c r="P192" s="8" t="inlineStr">
        <is>
          <t>Ready</t>
        </is>
      </c>
      <c r="Q192" s="11" t="n"/>
    </row>
    <row r="193">
      <c r="A193" s="2" t="inlineStr">
        <is>
          <t>0000188682UNB66</t>
        </is>
      </c>
      <c r="B193" s="8">
        <f t="array" ref="B193:E193">_xlfn.XLOOKUP(A193,'Site Register'!A:A,'Site Register'!B:E)</f>
        <v/>
      </c>
      <c r="C193" s="8" t="inlineStr">
        <is>
          <t>New Zealand</t>
        </is>
      </c>
      <c r="D193" s="8" t="inlineStr">
        <is>
          <t>North Island</t>
        </is>
      </c>
      <c r="E193" s="8" t="inlineStr">
        <is>
          <t>NZ NTOU Electricity</t>
        </is>
      </c>
      <c r="F193" s="8" t="inlineStr">
        <is>
          <t>kWh</t>
        </is>
      </c>
      <c r="G193" s="95" t="n">
        <v>16550.11820330969</v>
      </c>
      <c r="H193" s="96" t="n">
        <v>46388</v>
      </c>
      <c r="I193" s="96" t="n">
        <v>47483</v>
      </c>
      <c r="J193" s="8" t="inlineStr">
        <is>
          <t>NZD</t>
        </is>
      </c>
      <c r="K193" s="97">
        <f>'Rate Inputs'!E199</f>
        <v/>
      </c>
      <c r="L193" s="97">
        <f>'Rate Inputs'!F199</f>
        <v/>
      </c>
      <c r="M193" s="98">
        <f>IF(OR($P193="Ready",$P193="FY26 provisional",$P193="FY26 secured"),IF($H193&lt;=DATE(2025,7,1),ROUNDUP($K193,-2),IF('Rate Inputs'!$J199="","",ROUNDUP(IF($H193&gt;DATE(2026,6,30),'Rate Inputs'!$J199,'Rate Inputs'!$J199*($H193-DATE(2025,7,1))/365+$K193*(DATE(2026,6,30)-$H193+1)/365),-2))),"")</f>
        <v/>
      </c>
      <c r="N193" s="98">
        <f>IF($P193="Ready",ROUNDUP(IFERROR($K193,0),-2),IF(OR($P193="FY26 provisional",$P193="FY26 secured"),"",0))</f>
        <v/>
      </c>
      <c r="O193" s="98">
        <f>IF($P193="Ready",IF('Rate Inputs'!$F199="","",ROUNDUP(IFERROR($L193,0),-2)),IF(OR($P193="FY26 provisional",$P193="FY26 secured"),"",0))</f>
        <v/>
      </c>
      <c r="P193" s="8" t="inlineStr">
        <is>
          <t>Ready</t>
        </is>
      </c>
      <c r="Q193" s="11" t="n"/>
    </row>
    <row r="194">
      <c r="A194" s="2" t="inlineStr">
        <is>
          <t>0000188684UNAE9</t>
        </is>
      </c>
      <c r="B194" s="8">
        <f t="array" ref="B194:E194">_xlfn.XLOOKUP(A194,'Site Register'!A:A,'Site Register'!B:E)</f>
        <v/>
      </c>
      <c r="C194" s="8" t="inlineStr">
        <is>
          <t>New Zealand</t>
        </is>
      </c>
      <c r="D194" s="8" t="inlineStr">
        <is>
          <t>North Island</t>
        </is>
      </c>
      <c r="E194" s="8" t="inlineStr">
        <is>
          <t>NZ NTOU Electricity</t>
        </is>
      </c>
      <c r="F194" s="8" t="inlineStr">
        <is>
          <t>kWh</t>
        </is>
      </c>
      <c r="G194" s="95" t="n">
        <v>23071.79669030733</v>
      </c>
      <c r="H194" s="96" t="n">
        <v>46388</v>
      </c>
      <c r="I194" s="96" t="n">
        <v>47483</v>
      </c>
      <c r="J194" s="8" t="inlineStr">
        <is>
          <t>NZD</t>
        </is>
      </c>
      <c r="K194" s="97">
        <f>'Rate Inputs'!E200</f>
        <v/>
      </c>
      <c r="L194" s="97">
        <f>'Rate Inputs'!F200</f>
        <v/>
      </c>
      <c r="M194" s="98">
        <f>IF(OR($P194="Ready",$P194="FY26 provisional",$P194="FY26 secured"),IF($H194&lt;=DATE(2025,7,1),ROUNDUP($K194,-2),IF('Rate Inputs'!$J200="","",ROUNDUP(IF($H194&gt;DATE(2026,6,30),'Rate Inputs'!$J200,'Rate Inputs'!$J200*($H194-DATE(2025,7,1))/365+$K194*(DATE(2026,6,30)-$H194+1)/365),-2))),"")</f>
        <v/>
      </c>
      <c r="N194" s="98">
        <f>IF($P194="Ready",ROUNDUP(IFERROR($K194,0),-2),IF(OR($P194="FY26 provisional",$P194="FY26 secured"),"",0))</f>
        <v/>
      </c>
      <c r="O194" s="98">
        <f>IF($P194="Ready",IF('Rate Inputs'!$F200="","",ROUNDUP(IFERROR($L194,0),-2)),IF(OR($P194="FY26 provisional",$P194="FY26 secured"),"",0))</f>
        <v/>
      </c>
      <c r="P194" s="8" t="inlineStr">
        <is>
          <t>Ready</t>
        </is>
      </c>
      <c r="Q194" s="11" t="n"/>
    </row>
    <row r="195">
      <c r="A195" s="2" t="inlineStr">
        <is>
          <t>0000207625DE64D</t>
        </is>
      </c>
      <c r="B195" s="8">
        <f t="array" ref="B195:E195">_xlfn.XLOOKUP(A195,'Site Register'!A:A,'Site Register'!B:E)</f>
        <v/>
      </c>
      <c r="C195" s="8" t="inlineStr">
        <is>
          <t>New Zealand</t>
        </is>
      </c>
      <c r="D195" s="8" t="inlineStr">
        <is>
          <t>South Island</t>
        </is>
      </c>
      <c r="E195" s="8" t="inlineStr">
        <is>
          <t>NZ NTOU Electricity</t>
        </is>
      </c>
      <c r="F195" s="8" t="inlineStr">
        <is>
          <t>kWh</t>
        </is>
      </c>
      <c r="G195" s="95" t="n">
        <v>108486.9739952719</v>
      </c>
      <c r="H195" s="96" t="n">
        <v>46388</v>
      </c>
      <c r="I195" s="96" t="n">
        <v>47483</v>
      </c>
      <c r="J195" s="8" t="inlineStr">
        <is>
          <t>NZD</t>
        </is>
      </c>
      <c r="K195" s="97">
        <f>'Rate Inputs'!E201</f>
        <v/>
      </c>
      <c r="L195" s="97">
        <f>'Rate Inputs'!F201</f>
        <v/>
      </c>
      <c r="M195" s="98">
        <f>IF(OR($P195="Ready",$P195="FY26 provisional",$P195="FY26 secured"),IF($H195&lt;=DATE(2025,7,1),ROUNDUP($K195,-2),IF('Rate Inputs'!$J201="","",ROUNDUP(IF($H195&gt;DATE(2026,6,30),'Rate Inputs'!$J201,'Rate Inputs'!$J201*($H195-DATE(2025,7,1))/365+$K195*(DATE(2026,6,30)-$H195+1)/365),-2))),"")</f>
        <v/>
      </c>
      <c r="N195" s="98">
        <f>IF($P195="Ready",ROUNDUP(IFERROR($K195,0),-2),IF(OR($P195="FY26 provisional",$P195="FY26 secured"),"",0))</f>
        <v/>
      </c>
      <c r="O195" s="98">
        <f>IF($P195="Ready",IF('Rate Inputs'!$F201="","",ROUNDUP(IFERROR($L195,0),-2)),IF(OR($P195="FY26 provisional",$P195="FY26 secured"),"",0))</f>
        <v/>
      </c>
      <c r="P195" s="8" t="inlineStr">
        <is>
          <t>Ready</t>
        </is>
      </c>
      <c r="Q195" s="11" t="n"/>
    </row>
    <row r="196">
      <c r="A196" s="2" t="inlineStr">
        <is>
          <t>0000212636WE1AF</t>
        </is>
      </c>
      <c r="B196" s="8">
        <f t="array" ref="B196:E196">_xlfn.XLOOKUP(A196,'Site Register'!A:A,'Site Register'!B:E)</f>
        <v/>
      </c>
      <c r="C196" s="8" t="inlineStr">
        <is>
          <t>New Zealand</t>
        </is>
      </c>
      <c r="D196" s="8" t="inlineStr">
        <is>
          <t>North Island</t>
        </is>
      </c>
      <c r="E196" s="8" t="inlineStr">
        <is>
          <t>NZ NTOU Electricity</t>
        </is>
      </c>
      <c r="F196" s="8" t="inlineStr">
        <is>
          <t>kWh</t>
        </is>
      </c>
      <c r="G196" s="95" t="n">
        <v>47211.84397163121</v>
      </c>
      <c r="H196" s="96" t="n">
        <v>46388</v>
      </c>
      <c r="I196" s="96" t="n">
        <v>47483</v>
      </c>
      <c r="J196" s="8" t="inlineStr">
        <is>
          <t>NZD</t>
        </is>
      </c>
      <c r="K196" s="97">
        <f>'Rate Inputs'!E202</f>
        <v/>
      </c>
      <c r="L196" s="97">
        <f>'Rate Inputs'!F202</f>
        <v/>
      </c>
      <c r="M196" s="98">
        <f>IF(OR($P196="Ready",$P196="FY26 provisional",$P196="FY26 secured"),IF($H196&lt;=DATE(2025,7,1),ROUNDUP($K196,-2),IF('Rate Inputs'!$J202="","",ROUNDUP(IF($H196&gt;DATE(2026,6,30),'Rate Inputs'!$J202,'Rate Inputs'!$J202*($H196-DATE(2025,7,1))/365+$K196*(DATE(2026,6,30)-$H196+1)/365),-2))),"")</f>
        <v/>
      </c>
      <c r="N196" s="98">
        <f>IF($P196="Ready",ROUNDUP(IFERROR($K196,0),-2),IF(OR($P196="FY26 provisional",$P196="FY26 secured"),"",0))</f>
        <v/>
      </c>
      <c r="O196" s="98">
        <f>IF($P196="Ready",IF('Rate Inputs'!$F202="","",ROUNDUP(IFERROR($L196,0),-2)),IF(OR($P196="FY26 provisional",$P196="FY26 secured"),"",0))</f>
        <v/>
      </c>
      <c r="P196" s="8" t="inlineStr">
        <is>
          <t>Ready</t>
        </is>
      </c>
      <c r="Q196" s="11" t="n"/>
    </row>
    <row r="197">
      <c r="A197" s="2" t="inlineStr">
        <is>
          <t>0000260933MP6FD</t>
        </is>
      </c>
      <c r="B197" s="8">
        <f t="array" ref="B197:E197">_xlfn.XLOOKUP(A197,'Site Register'!A:A,'Site Register'!B:E)</f>
        <v/>
      </c>
      <c r="C197" s="8" t="inlineStr">
        <is>
          <t>New Zealand</t>
        </is>
      </c>
      <c r="D197" s="8" t="inlineStr">
        <is>
          <t>South Island</t>
        </is>
      </c>
      <c r="E197" s="8" t="inlineStr">
        <is>
          <t>NZ NTOU Electricity</t>
        </is>
      </c>
      <c r="F197" s="8" t="inlineStr">
        <is>
          <t>kWh</t>
        </is>
      </c>
      <c r="G197" s="95" t="n">
        <v>4774.776315789473</v>
      </c>
      <c r="H197" s="96" t="n">
        <v>46388</v>
      </c>
      <c r="I197" s="96" t="n">
        <v>47483</v>
      </c>
      <c r="J197" s="8" t="inlineStr">
        <is>
          <t>NZD</t>
        </is>
      </c>
      <c r="K197" s="97">
        <f>'Rate Inputs'!E203</f>
        <v/>
      </c>
      <c r="L197" s="97">
        <f>'Rate Inputs'!F203</f>
        <v/>
      </c>
      <c r="M197" s="98">
        <f>IF(OR($P197="Ready",$P197="FY26 provisional",$P197="FY26 secured"),IF($H197&lt;=DATE(2025,7,1),ROUNDUP($K197,-2),IF('Rate Inputs'!$J203="","",ROUNDUP(IF($H197&gt;DATE(2026,6,30),'Rate Inputs'!$J203,'Rate Inputs'!$J203*($H197-DATE(2025,7,1))/365+$K197*(DATE(2026,6,30)-$H197+1)/365),-2))),"")</f>
        <v/>
      </c>
      <c r="N197" s="98">
        <f>IF($P197="Ready",ROUNDUP(IFERROR($K197,0),-2),IF(OR($P197="FY26 provisional",$P197="FY26 secured"),"",0))</f>
        <v/>
      </c>
      <c r="O197" s="98">
        <f>IF($P197="Ready",IF('Rate Inputs'!$F203="","",ROUNDUP(IFERROR($L197,0),-2)),IF(OR($P197="FY26 provisional",$P197="FY26 secured"),"",0))</f>
        <v/>
      </c>
      <c r="P197" s="8" t="inlineStr">
        <is>
          <t>Ready</t>
        </is>
      </c>
      <c r="Q197" s="11" t="n"/>
    </row>
    <row r="198">
      <c r="A198" s="2" t="inlineStr">
        <is>
          <t>0000260936MPBB2</t>
        </is>
      </c>
      <c r="B198" s="8">
        <f t="array" ref="B198:E198">_xlfn.XLOOKUP(A198,'Site Register'!A:A,'Site Register'!B:E)</f>
        <v/>
      </c>
      <c r="C198" s="8" t="inlineStr">
        <is>
          <t>New Zealand</t>
        </is>
      </c>
      <c r="D198" s="8" t="inlineStr">
        <is>
          <t>South Island</t>
        </is>
      </c>
      <c r="E198" s="8" t="inlineStr">
        <is>
          <t>NZ NTOU Electricity</t>
        </is>
      </c>
      <c r="F198" s="8" t="inlineStr">
        <is>
          <t>kWh</t>
        </is>
      </c>
      <c r="G198" s="95" t="n">
        <v>14698.36879432624</v>
      </c>
      <c r="H198" s="96" t="n">
        <v>46388</v>
      </c>
      <c r="I198" s="96" t="n">
        <v>47483</v>
      </c>
      <c r="J198" s="8" t="inlineStr">
        <is>
          <t>NZD</t>
        </is>
      </c>
      <c r="K198" s="97">
        <f>'Rate Inputs'!E204</f>
        <v/>
      </c>
      <c r="L198" s="97">
        <f>'Rate Inputs'!F204</f>
        <v/>
      </c>
      <c r="M198" s="98">
        <f>IF(OR($P198="Ready",$P198="FY26 provisional",$P198="FY26 secured"),IF($H198&lt;=DATE(2025,7,1),ROUNDUP($K198,-2),IF('Rate Inputs'!$J204="","",ROUNDUP(IF($H198&gt;DATE(2026,6,30),'Rate Inputs'!$J204,'Rate Inputs'!$J204*($H198-DATE(2025,7,1))/365+$K198*(DATE(2026,6,30)-$H198+1)/365),-2))),"")</f>
        <v/>
      </c>
      <c r="N198" s="98">
        <f>IF($P198="Ready",ROUNDUP(IFERROR($K198,0),-2),IF(OR($P198="FY26 provisional",$P198="FY26 secured"),"",0))</f>
        <v/>
      </c>
      <c r="O198" s="98">
        <f>IF($P198="Ready",IF('Rate Inputs'!$F204="","",ROUNDUP(IFERROR($L198,0),-2)),IF(OR($P198="FY26 provisional",$P198="FY26 secured"),"",0))</f>
        <v/>
      </c>
      <c r="P198" s="8" t="inlineStr">
        <is>
          <t>Ready</t>
        </is>
      </c>
      <c r="Q198" s="11" t="n"/>
    </row>
    <row r="199">
      <c r="A199" s="2" t="inlineStr">
        <is>
          <t>0000312551WT450</t>
        </is>
      </c>
      <c r="B199" s="8">
        <f t="array" ref="B199:E199">_xlfn.XLOOKUP(A199,'Site Register'!A:A,'Site Register'!B:E)</f>
        <v/>
      </c>
      <c r="C199" s="8" t="inlineStr">
        <is>
          <t>New Zealand</t>
        </is>
      </c>
      <c r="D199" s="8" t="inlineStr">
        <is>
          <t>South Island</t>
        </is>
      </c>
      <c r="E199" s="8" t="inlineStr">
        <is>
          <t>NZ NTOU Electricity</t>
        </is>
      </c>
      <c r="F199" s="8" t="inlineStr">
        <is>
          <t>kWh</t>
        </is>
      </c>
      <c r="G199" s="95" t="n">
        <v>15185.03546099291</v>
      </c>
      <c r="H199" s="96" t="n">
        <v>46388</v>
      </c>
      <c r="I199" s="96" t="n">
        <v>47483</v>
      </c>
      <c r="J199" s="8" t="inlineStr">
        <is>
          <t>NZD</t>
        </is>
      </c>
      <c r="K199" s="97">
        <f>'Rate Inputs'!E205</f>
        <v/>
      </c>
      <c r="L199" s="97">
        <f>'Rate Inputs'!F205</f>
        <v/>
      </c>
      <c r="M199" s="98">
        <f>IF(OR($P199="Ready",$P199="FY26 provisional",$P199="FY26 secured"),IF($H199&lt;=DATE(2025,7,1),ROUNDUP($K199,-2),IF('Rate Inputs'!$J205="","",ROUNDUP(IF($H199&gt;DATE(2026,6,30),'Rate Inputs'!$J205,'Rate Inputs'!$J205*($H199-DATE(2025,7,1))/365+$K199*(DATE(2026,6,30)-$H199+1)/365),-2))),"")</f>
        <v/>
      </c>
      <c r="N199" s="98">
        <f>IF($P199="Ready",ROUNDUP(IFERROR($K199,0),-2),IF(OR($P199="FY26 provisional",$P199="FY26 secured"),"",0))</f>
        <v/>
      </c>
      <c r="O199" s="98">
        <f>IF($P199="Ready",IF('Rate Inputs'!$F205="","",ROUNDUP(IFERROR($L199,0),-2)),IF(OR($P199="FY26 provisional",$P199="FY26 secured"),"",0))</f>
        <v/>
      </c>
      <c r="P199" s="8" t="inlineStr">
        <is>
          <t>Ready</t>
        </is>
      </c>
      <c r="Q199" s="11" t="n"/>
    </row>
    <row r="200">
      <c r="A200" s="2" t="inlineStr">
        <is>
          <t>0000351696EN0A9</t>
        </is>
      </c>
      <c r="B200" s="8">
        <f t="array" ref="B200:E200">_xlfn.XLOOKUP(A200,'Site Register'!A:A,'Site Register'!B:E)</f>
        <v/>
      </c>
      <c r="C200" s="8" t="inlineStr">
        <is>
          <t>New Zealand</t>
        </is>
      </c>
      <c r="D200" s="8" t="inlineStr">
        <is>
          <t>North Island</t>
        </is>
      </c>
      <c r="E200" s="8" t="inlineStr">
        <is>
          <t>NZ NTOU Electricity</t>
        </is>
      </c>
      <c r="F200" s="8" t="inlineStr">
        <is>
          <t>kWh</t>
        </is>
      </c>
      <c r="G200" s="95" t="n">
        <v>200</v>
      </c>
      <c r="H200" s="96" t="n">
        <v>46388</v>
      </c>
      <c r="I200" s="96" t="n">
        <v>47483</v>
      </c>
      <c r="J200" s="8" t="inlineStr">
        <is>
          <t>NZD</t>
        </is>
      </c>
      <c r="K200" s="97">
        <f>'Rate Inputs'!E206</f>
        <v/>
      </c>
      <c r="L200" s="97">
        <f>'Rate Inputs'!F206</f>
        <v/>
      </c>
      <c r="M200" s="98">
        <f>IF(OR($P200="Ready",$P200="FY26 provisional",$P200="FY26 secured"),IF($H200&lt;=DATE(2025,7,1),ROUNDUP($K200,-2),IF('Rate Inputs'!$J206="","",ROUNDUP(IF($H200&gt;DATE(2026,6,30),'Rate Inputs'!$J206,'Rate Inputs'!$J206*($H200-DATE(2025,7,1))/365+$K200*(DATE(2026,6,30)-$H200+1)/365),-2))),"")</f>
        <v/>
      </c>
      <c r="N200" s="98">
        <f>IF($P200="Ready",ROUNDUP(IFERROR($K200,0),-2),IF(OR($P200="FY26 provisional",$P200="FY26 secured"),"",0))</f>
        <v/>
      </c>
      <c r="O200" s="98">
        <f>IF($P200="Ready",IF('Rate Inputs'!$F206="","",ROUNDUP(IFERROR($L200,0),-2)),IF(OR($P200="FY26 provisional",$P200="FY26 secured"),"",0))</f>
        <v/>
      </c>
      <c r="P200" s="8" t="inlineStr">
        <is>
          <t>Ready</t>
        </is>
      </c>
      <c r="Q200" s="11" t="n"/>
    </row>
    <row r="201">
      <c r="A201" s="2" t="inlineStr">
        <is>
          <t>0000351698EN332</t>
        </is>
      </c>
      <c r="B201" s="8">
        <f t="array" ref="B201:E201">_xlfn.XLOOKUP(A201,'Site Register'!A:A,'Site Register'!B:E)</f>
        <v/>
      </c>
      <c r="C201" s="8" t="inlineStr">
        <is>
          <t>New Zealand</t>
        </is>
      </c>
      <c r="D201" s="8" t="inlineStr">
        <is>
          <t>North Island</t>
        </is>
      </c>
      <c r="E201" s="8" t="inlineStr">
        <is>
          <t>NZ NTOU Electricity</t>
        </is>
      </c>
      <c r="F201" s="8" t="inlineStr">
        <is>
          <t>kWh</t>
        </is>
      </c>
      <c r="G201" s="95" t="n">
        <v>7362.127659574468</v>
      </c>
      <c r="H201" s="96" t="n">
        <v>46388</v>
      </c>
      <c r="I201" s="96" t="n">
        <v>47483</v>
      </c>
      <c r="J201" s="8" t="inlineStr">
        <is>
          <t>NZD</t>
        </is>
      </c>
      <c r="K201" s="97">
        <f>'Rate Inputs'!E207</f>
        <v/>
      </c>
      <c r="L201" s="97">
        <f>'Rate Inputs'!F207</f>
        <v/>
      </c>
      <c r="M201" s="98">
        <f>IF(OR($P201="Ready",$P201="FY26 provisional",$P201="FY26 secured"),IF($H201&lt;=DATE(2025,7,1),ROUNDUP($K201,-2),IF('Rate Inputs'!$J207="","",ROUNDUP(IF($H201&gt;DATE(2026,6,30),'Rate Inputs'!$J207,'Rate Inputs'!$J207*($H201-DATE(2025,7,1))/365+$K201*(DATE(2026,6,30)-$H201+1)/365),-2))),"")</f>
        <v/>
      </c>
      <c r="N201" s="98">
        <f>IF($P201="Ready",ROUNDUP(IFERROR($K201,0),-2),IF(OR($P201="FY26 provisional",$P201="FY26 secured"),"",0))</f>
        <v/>
      </c>
      <c r="O201" s="98">
        <f>IF($P201="Ready",IF('Rate Inputs'!$F207="","",ROUNDUP(IFERROR($L201,0),-2)),IF(OR($P201="FY26 provisional",$P201="FY26 secured"),"",0))</f>
        <v/>
      </c>
      <c r="P201" s="8" t="inlineStr">
        <is>
          <t>Ready</t>
        </is>
      </c>
      <c r="Q201" s="11" t="n"/>
    </row>
    <row r="202">
      <c r="A202" s="2" t="inlineStr">
        <is>
          <t>0000382532TPE86</t>
        </is>
      </c>
      <c r="B202" s="8">
        <f t="array" ref="B202:E202">_xlfn.XLOOKUP(A202,'Site Register'!A:A,'Site Register'!B:E)</f>
        <v/>
      </c>
      <c r="C202" s="8" t="inlineStr">
        <is>
          <t>New Zealand</t>
        </is>
      </c>
      <c r="D202" s="8" t="inlineStr">
        <is>
          <t>South Island</t>
        </is>
      </c>
      <c r="E202" s="8" t="inlineStr">
        <is>
          <t>NZ NTOU Electricity</t>
        </is>
      </c>
      <c r="F202" s="8" t="inlineStr">
        <is>
          <t>kWh</t>
        </is>
      </c>
      <c r="G202" s="95" t="n">
        <v>1006.12293144208</v>
      </c>
      <c r="H202" s="96" t="n">
        <v>46388</v>
      </c>
      <c r="I202" s="96" t="n">
        <v>47483</v>
      </c>
      <c r="J202" s="8" t="inlineStr">
        <is>
          <t>NZD</t>
        </is>
      </c>
      <c r="K202" s="97">
        <f>'Rate Inputs'!E208</f>
        <v/>
      </c>
      <c r="L202" s="97">
        <f>'Rate Inputs'!F208</f>
        <v/>
      </c>
      <c r="M202" s="98">
        <f>IF(OR($P202="Ready",$P202="FY26 provisional",$P202="FY26 secured"),IF($H202&lt;=DATE(2025,7,1),ROUNDUP($K202,-2),IF('Rate Inputs'!$J208="","",ROUNDUP(IF($H202&gt;DATE(2026,6,30),'Rate Inputs'!$J208,'Rate Inputs'!$J208*($H202-DATE(2025,7,1))/365+$K202*(DATE(2026,6,30)-$H202+1)/365),-2))),"")</f>
        <v/>
      </c>
      <c r="N202" s="98">
        <f>IF($P202="Ready",ROUNDUP(IFERROR($K202,0),-2),IF(OR($P202="FY26 provisional",$P202="FY26 secured"),"",0))</f>
        <v/>
      </c>
      <c r="O202" s="98">
        <f>IF($P202="Ready",IF('Rate Inputs'!$F208="","",ROUNDUP(IFERROR($L202,0),-2)),IF(OR($P202="FY26 provisional",$P202="FY26 secured"),"",0))</f>
        <v/>
      </c>
      <c r="P202" s="8" t="inlineStr">
        <is>
          <t>Ready</t>
        </is>
      </c>
      <c r="Q202" s="11" t="n"/>
    </row>
    <row r="203">
      <c r="A203" s="2" t="inlineStr">
        <is>
          <t>0000386961TP0C2</t>
        </is>
      </c>
      <c r="B203" s="8">
        <f t="array" ref="B203:E203">_xlfn.XLOOKUP(A203,'Site Register'!A:A,'Site Register'!B:E)</f>
        <v/>
      </c>
      <c r="C203" s="8" t="inlineStr">
        <is>
          <t>New Zealand</t>
        </is>
      </c>
      <c r="D203" s="8" t="inlineStr">
        <is>
          <t>South Island</t>
        </is>
      </c>
      <c r="E203" s="8" t="inlineStr">
        <is>
          <t>NZ NTOU Electricity</t>
        </is>
      </c>
      <c r="F203" s="8" t="inlineStr">
        <is>
          <t>kWh</t>
        </is>
      </c>
      <c r="G203" s="95" t="n">
        <v>2393.640661938534</v>
      </c>
      <c r="H203" s="96" t="n">
        <v>46388</v>
      </c>
      <c r="I203" s="96" t="n">
        <v>47483</v>
      </c>
      <c r="J203" s="8" t="inlineStr">
        <is>
          <t>NZD</t>
        </is>
      </c>
      <c r="K203" s="97">
        <f>'Rate Inputs'!E209</f>
        <v/>
      </c>
      <c r="L203" s="97">
        <f>'Rate Inputs'!F209</f>
        <v/>
      </c>
      <c r="M203" s="98">
        <f>IF(OR($P203="Ready",$P203="FY26 provisional",$P203="FY26 secured"),IF($H203&lt;=DATE(2025,7,1),ROUNDUP($K203,-2),IF('Rate Inputs'!$J209="","",ROUNDUP(IF($H203&gt;DATE(2026,6,30),'Rate Inputs'!$J209,'Rate Inputs'!$J209*($H203-DATE(2025,7,1))/365+$K203*(DATE(2026,6,30)-$H203+1)/365),-2))),"")</f>
        <v/>
      </c>
      <c r="N203" s="98">
        <f>IF($P203="Ready",ROUNDUP(IFERROR($K203,0),-2),IF(OR($P203="FY26 provisional",$P203="FY26 secured"),"",0))</f>
        <v/>
      </c>
      <c r="O203" s="98">
        <f>IF($P203="Ready",IF('Rate Inputs'!$F209="","",ROUNDUP(IFERROR($L203,0),-2)),IF(OR($P203="FY26 provisional",$P203="FY26 secured"),"",0))</f>
        <v/>
      </c>
      <c r="P203" s="8" t="inlineStr">
        <is>
          <t>Ready</t>
        </is>
      </c>
      <c r="Q203" s="11" t="n"/>
    </row>
    <row r="204">
      <c r="A204" s="2" t="inlineStr">
        <is>
          <t>0000405525TP7AF</t>
        </is>
      </c>
      <c r="B204" s="8">
        <f t="array" ref="B204:E204">_xlfn.XLOOKUP(A204,'Site Register'!A:A,'Site Register'!B:E)</f>
        <v/>
      </c>
      <c r="C204" s="8" t="inlineStr">
        <is>
          <t>New Zealand</t>
        </is>
      </c>
      <c r="D204" s="8" t="inlineStr">
        <is>
          <t>South Island</t>
        </is>
      </c>
      <c r="E204" s="8" t="inlineStr">
        <is>
          <t>NZ NTOU Electricity</t>
        </is>
      </c>
      <c r="F204" s="8" t="inlineStr">
        <is>
          <t>kWh</t>
        </is>
      </c>
      <c r="G204" s="95" t="n">
        <v>74992.39952718676</v>
      </c>
      <c r="H204" s="96" t="n">
        <v>46388</v>
      </c>
      <c r="I204" s="96" t="n">
        <v>47483</v>
      </c>
      <c r="J204" s="8" t="inlineStr">
        <is>
          <t>NZD</t>
        </is>
      </c>
      <c r="K204" s="97">
        <f>'Rate Inputs'!E210</f>
        <v/>
      </c>
      <c r="L204" s="97">
        <f>'Rate Inputs'!F210</f>
        <v/>
      </c>
      <c r="M204" s="98">
        <f>IF(OR($P204="Ready",$P204="FY26 provisional",$P204="FY26 secured"),IF($H204&lt;=DATE(2025,7,1),ROUNDUP($K204,-2),IF('Rate Inputs'!$J210="","",ROUNDUP(IF($H204&gt;DATE(2026,6,30),'Rate Inputs'!$J210,'Rate Inputs'!$J210*($H204-DATE(2025,7,1))/365+$K204*(DATE(2026,6,30)-$H204+1)/365),-2))),"")</f>
        <v/>
      </c>
      <c r="N204" s="98">
        <f>IF($P204="Ready",ROUNDUP(IFERROR($K204,0),-2),IF(OR($P204="FY26 provisional",$P204="FY26 secured"),"",0))</f>
        <v/>
      </c>
      <c r="O204" s="98">
        <f>IF($P204="Ready",IF('Rate Inputs'!$F210="","",ROUNDUP(IFERROR($L204,0),-2)),IF(OR($P204="FY26 provisional",$P204="FY26 secured"),"",0))</f>
        <v/>
      </c>
      <c r="P204" s="8" t="inlineStr">
        <is>
          <t>Ready</t>
        </is>
      </c>
      <c r="Q204" s="11" t="n"/>
    </row>
    <row r="205">
      <c r="A205" s="2" t="inlineStr">
        <is>
          <t>0000408379TP09F</t>
        </is>
      </c>
      <c r="B205" s="8">
        <f t="array" ref="B205:E205">_xlfn.XLOOKUP(A205,'Site Register'!A:A,'Site Register'!B:E)</f>
        <v/>
      </c>
      <c r="C205" s="8" t="inlineStr">
        <is>
          <t>New Zealand</t>
        </is>
      </c>
      <c r="D205" s="8" t="inlineStr">
        <is>
          <t>South Island</t>
        </is>
      </c>
      <c r="E205" s="8" t="inlineStr">
        <is>
          <t>NZ NTOU Electricity</t>
        </is>
      </c>
      <c r="F205" s="8" t="inlineStr">
        <is>
          <t>kWh</t>
        </is>
      </c>
      <c r="G205" s="95" t="n">
        <v>11054.40898345154</v>
      </c>
      <c r="H205" s="96" t="n">
        <v>46388</v>
      </c>
      <c r="I205" s="96" t="n">
        <v>47483</v>
      </c>
      <c r="J205" s="8" t="inlineStr">
        <is>
          <t>NZD</t>
        </is>
      </c>
      <c r="K205" s="97">
        <f>'Rate Inputs'!E211</f>
        <v/>
      </c>
      <c r="L205" s="97">
        <f>'Rate Inputs'!F211</f>
        <v/>
      </c>
      <c r="M205" s="98">
        <f>IF(OR($P205="Ready",$P205="FY26 provisional",$P205="FY26 secured"),IF($H205&lt;=DATE(2025,7,1),ROUNDUP($K205,-2),IF('Rate Inputs'!$J211="","",ROUNDUP(IF($H205&gt;DATE(2026,6,30),'Rate Inputs'!$J211,'Rate Inputs'!$J211*($H205-DATE(2025,7,1))/365+$K205*(DATE(2026,6,30)-$H205+1)/365),-2))),"")</f>
        <v/>
      </c>
      <c r="N205" s="98">
        <f>IF($P205="Ready",ROUNDUP(IFERROR($K205,0),-2),IF(OR($P205="FY26 provisional",$P205="FY26 secured"),"",0))</f>
        <v/>
      </c>
      <c r="O205" s="98">
        <f>IF($P205="Ready",IF('Rate Inputs'!$F211="","",ROUNDUP(IFERROR($L205,0),-2)),IF(OR($P205="FY26 provisional",$P205="FY26 secured"),"",0))</f>
        <v/>
      </c>
      <c r="P205" s="8" t="inlineStr">
        <is>
          <t>Ready</t>
        </is>
      </c>
      <c r="Q205" s="11" t="n"/>
    </row>
    <row r="206">
      <c r="A206" s="2" t="inlineStr">
        <is>
          <t>0000485414CE4EE</t>
        </is>
      </c>
      <c r="B206" s="8">
        <f t="array" ref="B206:E206">_xlfn.XLOOKUP(A206,'Site Register'!A:A,'Site Register'!B:E)</f>
        <v/>
      </c>
      <c r="C206" s="8" t="inlineStr">
        <is>
          <t>New Zealand</t>
        </is>
      </c>
      <c r="D206" s="8" t="inlineStr">
        <is>
          <t>South Island</t>
        </is>
      </c>
      <c r="E206" s="8" t="inlineStr">
        <is>
          <t>NZ NTOU Electricity</t>
        </is>
      </c>
      <c r="F206" s="8" t="inlineStr">
        <is>
          <t>kWh</t>
        </is>
      </c>
      <c r="G206" s="95" t="n">
        <v>42589.37352245863</v>
      </c>
      <c r="H206" s="96" t="n">
        <v>46388</v>
      </c>
      <c r="I206" s="96" t="n">
        <v>47483</v>
      </c>
      <c r="J206" s="8" t="inlineStr">
        <is>
          <t>NZD</t>
        </is>
      </c>
      <c r="K206" s="97">
        <f>'Rate Inputs'!E212</f>
        <v/>
      </c>
      <c r="L206" s="97">
        <f>'Rate Inputs'!F212</f>
        <v/>
      </c>
      <c r="M206" s="98">
        <f>IF(OR($P206="Ready",$P206="FY26 provisional",$P206="FY26 secured"),IF($H206&lt;=DATE(2025,7,1),ROUNDUP($K206,-2),IF('Rate Inputs'!$J212="","",ROUNDUP(IF($H206&gt;DATE(2026,6,30),'Rate Inputs'!$J212,'Rate Inputs'!$J212*($H206-DATE(2025,7,1))/365+$K206*(DATE(2026,6,30)-$H206+1)/365),-2))),"")</f>
        <v/>
      </c>
      <c r="N206" s="98">
        <f>IF($P206="Ready",ROUNDUP(IFERROR($K206,0),-2),IF(OR($P206="FY26 provisional",$P206="FY26 secured"),"",0))</f>
        <v/>
      </c>
      <c r="O206" s="98">
        <f>IF($P206="Ready",IF('Rate Inputs'!$F212="","",ROUNDUP(IFERROR($L206,0),-2)),IF(OR($P206="FY26 provisional",$P206="FY26 secured"),"",0))</f>
        <v/>
      </c>
      <c r="P206" s="8" t="inlineStr">
        <is>
          <t>Ready</t>
        </is>
      </c>
      <c r="Q206" s="11" t="n"/>
    </row>
    <row r="207">
      <c r="A207" s="2" t="inlineStr">
        <is>
          <t>0000486901CE4E4</t>
        </is>
      </c>
      <c r="B207" s="8">
        <f t="array" ref="B207:E207">_xlfn.XLOOKUP(A207,'Site Register'!A:A,'Site Register'!B:E)</f>
        <v/>
      </c>
      <c r="C207" s="8" t="inlineStr">
        <is>
          <t>New Zealand</t>
        </is>
      </c>
      <c r="D207" s="8" t="inlineStr">
        <is>
          <t>South Island</t>
        </is>
      </c>
      <c r="E207" s="8" t="inlineStr">
        <is>
          <t>NZ NTOU Electricity</t>
        </is>
      </c>
      <c r="F207" s="8" t="inlineStr">
        <is>
          <t>kWh</t>
        </is>
      </c>
      <c r="G207" s="95" t="n">
        <v>115651.5011820331</v>
      </c>
      <c r="H207" s="96" t="n">
        <v>46388</v>
      </c>
      <c r="I207" s="96" t="n">
        <v>47483</v>
      </c>
      <c r="J207" s="8" t="inlineStr">
        <is>
          <t>NZD</t>
        </is>
      </c>
      <c r="K207" s="97">
        <f>'Rate Inputs'!E213</f>
        <v/>
      </c>
      <c r="L207" s="97">
        <f>'Rate Inputs'!F213</f>
        <v/>
      </c>
      <c r="M207" s="98">
        <f>IF(OR($P207="Ready",$P207="FY26 provisional",$P207="FY26 secured"),IF($H207&lt;=DATE(2025,7,1),ROUNDUP($K207,-2),IF('Rate Inputs'!$J213="","",ROUNDUP(IF($H207&gt;DATE(2026,6,30),'Rate Inputs'!$J213,'Rate Inputs'!$J213*($H207-DATE(2025,7,1))/365+$K207*(DATE(2026,6,30)-$H207+1)/365),-2))),"")</f>
        <v/>
      </c>
      <c r="N207" s="98">
        <f>IF($P207="Ready",ROUNDUP(IFERROR($K207,0),-2),IF(OR($P207="FY26 provisional",$P207="FY26 secured"),"",0))</f>
        <v/>
      </c>
      <c r="O207" s="98">
        <f>IF($P207="Ready",IF('Rate Inputs'!$F213="","",ROUNDUP(IFERROR($L207,0),-2)),IF(OR($P207="FY26 provisional",$P207="FY26 secured"),"",0))</f>
        <v/>
      </c>
      <c r="P207" s="8" t="inlineStr">
        <is>
          <t>Ready</t>
        </is>
      </c>
      <c r="Q207" s="11" t="n"/>
    </row>
    <row r="208">
      <c r="A208" s="2" t="inlineStr">
        <is>
          <t>0000517047DE2D4</t>
        </is>
      </c>
      <c r="B208" s="8">
        <f t="array" ref="B208:E208">_xlfn.XLOOKUP(A208,'Site Register'!A:A,'Site Register'!B:E)</f>
        <v/>
      </c>
      <c r="C208" s="8" t="inlineStr">
        <is>
          <t>New Zealand</t>
        </is>
      </c>
      <c r="D208" s="8" t="inlineStr">
        <is>
          <t>South Island</t>
        </is>
      </c>
      <c r="E208" s="8" t="inlineStr">
        <is>
          <t>NZ NTOU Electricity</t>
        </is>
      </c>
      <c r="F208" s="8" t="inlineStr">
        <is>
          <t>kWh</t>
        </is>
      </c>
      <c r="G208" s="95" t="n">
        <v>4557.75413711584</v>
      </c>
      <c r="H208" s="96" t="n">
        <v>46388</v>
      </c>
      <c r="I208" s="96" t="n">
        <v>47483</v>
      </c>
      <c r="J208" s="8" t="inlineStr">
        <is>
          <t>NZD</t>
        </is>
      </c>
      <c r="K208" s="97">
        <f>'Rate Inputs'!E214</f>
        <v/>
      </c>
      <c r="L208" s="97">
        <f>'Rate Inputs'!F214</f>
        <v/>
      </c>
      <c r="M208" s="98">
        <f>IF(OR($P208="Ready",$P208="FY26 provisional",$P208="FY26 secured"),IF($H208&lt;=DATE(2025,7,1),ROUNDUP($K208,-2),IF('Rate Inputs'!$J214="","",ROUNDUP(IF($H208&gt;DATE(2026,6,30),'Rate Inputs'!$J214,'Rate Inputs'!$J214*($H208-DATE(2025,7,1))/365+$K208*(DATE(2026,6,30)-$H208+1)/365),-2))),"")</f>
        <v/>
      </c>
      <c r="N208" s="98">
        <f>IF($P208="Ready",ROUNDUP(IFERROR($K208,0),-2),IF(OR($P208="FY26 provisional",$P208="FY26 secured"),"",0))</f>
        <v/>
      </c>
      <c r="O208" s="98">
        <f>IF($P208="Ready",IF('Rate Inputs'!$F214="","",ROUNDUP(IFERROR($L208,0),-2)),IF(OR($P208="FY26 provisional",$P208="FY26 secured"),"",0))</f>
        <v/>
      </c>
      <c r="P208" s="8" t="inlineStr">
        <is>
          <t>Ready</t>
        </is>
      </c>
      <c r="Q208" s="11" t="n"/>
    </row>
    <row r="209">
      <c r="A209" s="2" t="inlineStr">
        <is>
          <t>0000526222NR65B</t>
        </is>
      </c>
      <c r="B209" s="8">
        <f t="array" ref="B209:E209">_xlfn.XLOOKUP(A209,'Site Register'!A:A,'Site Register'!B:E)</f>
        <v/>
      </c>
      <c r="C209" s="8" t="inlineStr">
        <is>
          <t>New Zealand</t>
        </is>
      </c>
      <c r="D209" s="8" t="inlineStr">
        <is>
          <t>North Island</t>
        </is>
      </c>
      <c r="E209" s="8" t="inlineStr">
        <is>
          <t>NZ NTOU Electricity</t>
        </is>
      </c>
      <c r="F209" s="8" t="inlineStr">
        <is>
          <t>kWh</t>
        </is>
      </c>
      <c r="G209" s="95" t="n">
        <v>9537.458628841609</v>
      </c>
      <c r="H209" s="96" t="n">
        <v>46388</v>
      </c>
      <c r="I209" s="96" t="n">
        <v>47483</v>
      </c>
      <c r="J209" s="8" t="inlineStr">
        <is>
          <t>NZD</t>
        </is>
      </c>
      <c r="K209" s="97">
        <f>'Rate Inputs'!E216</f>
        <v/>
      </c>
      <c r="L209" s="97">
        <f>'Rate Inputs'!F216</f>
        <v/>
      </c>
      <c r="M209" s="98">
        <f>IF(OR($P209="Ready",$P209="FY26 provisional",$P209="FY26 secured"),IF($H209&lt;=DATE(2025,7,1),ROUNDUP($K209,-2),IF('Rate Inputs'!$J216="","",ROUNDUP(IF($H209&gt;DATE(2026,6,30),'Rate Inputs'!$J216,'Rate Inputs'!$J216*($H209-DATE(2025,7,1))/365+$K209*(DATE(2026,6,30)-$H209+1)/365),-2))),"")</f>
        <v/>
      </c>
      <c r="N209" s="98">
        <f>IF($P209="Ready",ROUNDUP(IFERROR($K209,0),-2),IF(OR($P209="FY26 provisional",$P209="FY26 secured"),"",0))</f>
        <v/>
      </c>
      <c r="O209" s="98">
        <f>IF($P209="Ready",IF('Rate Inputs'!$F216="","",ROUNDUP(IFERROR($L209,0),-2)),IF(OR($P209="FY26 provisional",$P209="FY26 secured"),"",0))</f>
        <v/>
      </c>
      <c r="P209" s="8" t="inlineStr">
        <is>
          <t>Ready</t>
        </is>
      </c>
      <c r="Q209" s="11" t="n"/>
    </row>
    <row r="210">
      <c r="A210" s="2" t="inlineStr">
        <is>
          <t>0000548841NR5F9</t>
        </is>
      </c>
      <c r="B210" s="8">
        <f t="array" ref="B210:E210">_xlfn.XLOOKUP(A210,'Site Register'!A:A,'Site Register'!B:E)</f>
        <v/>
      </c>
      <c r="C210" s="8" t="inlineStr">
        <is>
          <t>New Zealand</t>
        </is>
      </c>
      <c r="D210" s="8" t="inlineStr">
        <is>
          <t>North Island</t>
        </is>
      </c>
      <c r="E210" s="8" t="inlineStr">
        <is>
          <t>NZ NTOU Electricity</t>
        </is>
      </c>
      <c r="F210" s="8" t="inlineStr">
        <is>
          <t>kWh</t>
        </is>
      </c>
      <c r="G210" s="95" t="n">
        <v>42082.94486215539</v>
      </c>
      <c r="H210" s="96" t="n">
        <v>46388</v>
      </c>
      <c r="I210" s="96" t="n">
        <v>47483</v>
      </c>
      <c r="J210" s="8" t="inlineStr">
        <is>
          <t>NZD</t>
        </is>
      </c>
      <c r="K210" s="97">
        <f>'Rate Inputs'!E217</f>
        <v/>
      </c>
      <c r="L210" s="97">
        <f>'Rate Inputs'!F217</f>
        <v/>
      </c>
      <c r="M210" s="98">
        <f>IF(OR($P210="Ready",$P210="FY26 provisional",$P210="FY26 secured"),IF($H210&lt;=DATE(2025,7,1),ROUNDUP($K210,-2),IF('Rate Inputs'!$J217="","",ROUNDUP(IF($H210&gt;DATE(2026,6,30),'Rate Inputs'!$J217,'Rate Inputs'!$J217*($H210-DATE(2025,7,1))/365+$K210*(DATE(2026,6,30)-$H210+1)/365),-2))),"")</f>
        <v/>
      </c>
      <c r="N210" s="98">
        <f>IF($P210="Ready",ROUNDUP(IFERROR($K210,0),-2),IF(OR($P210="FY26 provisional",$P210="FY26 secured"),"",0))</f>
        <v/>
      </c>
      <c r="O210" s="98">
        <f>IF($P210="Ready",IF('Rate Inputs'!$F217="","",ROUNDUP(IFERROR($L210,0),-2)),IF(OR($P210="FY26 provisional",$P210="FY26 secured"),"",0))</f>
        <v/>
      </c>
      <c r="P210" s="8" t="inlineStr">
        <is>
          <t>Ready</t>
        </is>
      </c>
      <c r="Q210" s="11" t="n"/>
    </row>
    <row r="211">
      <c r="A211" s="2" t="inlineStr">
        <is>
          <t>0000549182NR67F</t>
        </is>
      </c>
      <c r="B211" s="8">
        <f t="array" ref="B211:E211">_xlfn.XLOOKUP(A211,'Site Register'!A:A,'Site Register'!B:E)</f>
        <v/>
      </c>
      <c r="C211" s="8" t="inlineStr">
        <is>
          <t>New Zealand</t>
        </is>
      </c>
      <c r="D211" s="8" t="inlineStr">
        <is>
          <t>North Island</t>
        </is>
      </c>
      <c r="E211" s="8" t="inlineStr">
        <is>
          <t>NZ NTOU Electricity</t>
        </is>
      </c>
      <c r="F211" s="8" t="inlineStr">
        <is>
          <t>kWh</t>
        </is>
      </c>
      <c r="G211" s="95" t="n">
        <v>35317.84869976359</v>
      </c>
      <c r="H211" s="96" t="n">
        <v>46388</v>
      </c>
      <c r="I211" s="96" t="n">
        <v>47483</v>
      </c>
      <c r="J211" s="8" t="inlineStr">
        <is>
          <t>NZD</t>
        </is>
      </c>
      <c r="K211" s="97">
        <f>'Rate Inputs'!E218</f>
        <v/>
      </c>
      <c r="L211" s="97">
        <f>'Rate Inputs'!F218</f>
        <v/>
      </c>
      <c r="M211" s="98">
        <f>IF(OR($P211="Ready",$P211="FY26 provisional",$P211="FY26 secured"),IF($H211&lt;=DATE(2025,7,1),ROUNDUP($K211,-2),IF('Rate Inputs'!$J218="","",ROUNDUP(IF($H211&gt;DATE(2026,6,30),'Rate Inputs'!$J218,'Rate Inputs'!$J218*($H211-DATE(2025,7,1))/365+$K211*(DATE(2026,6,30)-$H211+1)/365),-2))),"")</f>
        <v/>
      </c>
      <c r="N211" s="98">
        <f>IF($P211="Ready",ROUNDUP(IFERROR($K211,0),-2),IF(OR($P211="FY26 provisional",$P211="FY26 secured"),"",0))</f>
        <v/>
      </c>
      <c r="O211" s="98">
        <f>IF($P211="Ready",IF('Rate Inputs'!$F218="","",ROUNDUP(IFERROR($L211,0),-2)),IF(OR($P211="FY26 provisional",$P211="FY26 secured"),"",0))</f>
        <v/>
      </c>
      <c r="P211" s="8" t="inlineStr">
        <is>
          <t>Ready</t>
        </is>
      </c>
      <c r="Q211" s="11" t="n"/>
    </row>
    <row r="212">
      <c r="A212" s="2" t="inlineStr">
        <is>
          <t>0000560159NR084</t>
        </is>
      </c>
      <c r="B212" s="8">
        <f t="array" ref="B212:E212">_xlfn.XLOOKUP(A212,'Site Register'!A:A,'Site Register'!B:E)</f>
        <v/>
      </c>
      <c r="C212" s="8" t="inlineStr">
        <is>
          <t>New Zealand</t>
        </is>
      </c>
      <c r="D212" s="8" t="inlineStr">
        <is>
          <t>North Island</t>
        </is>
      </c>
      <c r="E212" s="8" t="inlineStr">
        <is>
          <t>NZ NTOU Electricity</t>
        </is>
      </c>
      <c r="F212" s="8" t="inlineStr">
        <is>
          <t>kWh</t>
        </is>
      </c>
      <c r="G212" s="95" t="n">
        <v>9631.002444987775</v>
      </c>
      <c r="H212" s="96" t="n">
        <v>46388</v>
      </c>
      <c r="I212" s="96" t="n">
        <v>47483</v>
      </c>
      <c r="J212" s="8" t="inlineStr">
        <is>
          <t>NZD</t>
        </is>
      </c>
      <c r="K212" s="97">
        <f>'Rate Inputs'!E219</f>
        <v/>
      </c>
      <c r="L212" s="97">
        <f>'Rate Inputs'!F219</f>
        <v/>
      </c>
      <c r="M212" s="98">
        <f>IF(OR($P212="Ready",$P212="FY26 provisional",$P212="FY26 secured"),IF($H212&lt;=DATE(2025,7,1),ROUNDUP($K212,-2),IF('Rate Inputs'!$J219="","",ROUNDUP(IF($H212&gt;DATE(2026,6,30),'Rate Inputs'!$J219,'Rate Inputs'!$J219*($H212-DATE(2025,7,1))/365+$K212*(DATE(2026,6,30)-$H212+1)/365),-2))),"")</f>
        <v/>
      </c>
      <c r="N212" s="98">
        <f>IF($P212="Ready",ROUNDUP(IFERROR($K212,0),-2),IF(OR($P212="FY26 provisional",$P212="FY26 secured"),"",0))</f>
        <v/>
      </c>
      <c r="O212" s="98">
        <f>IF($P212="Ready",IF('Rate Inputs'!$F219="","",ROUNDUP(IFERROR($L212,0),-2)),IF(OR($P212="FY26 provisional",$P212="FY26 secured"),"",0))</f>
        <v/>
      </c>
      <c r="P212" s="8" t="inlineStr">
        <is>
          <t>Ready</t>
        </is>
      </c>
      <c r="Q212" s="11" t="n"/>
    </row>
    <row r="213">
      <c r="A213" s="2" t="inlineStr">
        <is>
          <t>0000584375WTD6A</t>
        </is>
      </c>
      <c r="B213" s="8">
        <f t="array" ref="B213:E213">_xlfn.XLOOKUP(A213,'Site Register'!A:A,'Site Register'!B:E)</f>
        <v/>
      </c>
      <c r="C213" s="8" t="inlineStr">
        <is>
          <t>New Zealand</t>
        </is>
      </c>
      <c r="D213" s="8" t="inlineStr">
        <is>
          <t>South Island</t>
        </is>
      </c>
      <c r="E213" s="8" t="inlineStr">
        <is>
          <t>NZ NTOU Electricity</t>
        </is>
      </c>
      <c r="F213" s="8" t="inlineStr">
        <is>
          <t>kWh</t>
        </is>
      </c>
      <c r="G213" s="95" t="n">
        <v>1597.443890274314</v>
      </c>
      <c r="H213" s="96" t="n">
        <v>46388</v>
      </c>
      <c r="I213" s="96" t="n">
        <v>47483</v>
      </c>
      <c r="J213" s="8" t="inlineStr">
        <is>
          <t>NZD</t>
        </is>
      </c>
      <c r="K213" s="97">
        <f>'Rate Inputs'!E220</f>
        <v/>
      </c>
      <c r="L213" s="97">
        <f>'Rate Inputs'!F220</f>
        <v/>
      </c>
      <c r="M213" s="98">
        <f>IF(OR($P213="Ready",$P213="FY26 provisional",$P213="FY26 secured"),IF($H213&lt;=DATE(2025,7,1),ROUNDUP($K213,-2),IF('Rate Inputs'!$J220="","",ROUNDUP(IF($H213&gt;DATE(2026,6,30),'Rate Inputs'!$J220,'Rate Inputs'!$J220*($H213-DATE(2025,7,1))/365+$K213*(DATE(2026,6,30)-$H213+1)/365),-2))),"")</f>
        <v/>
      </c>
      <c r="N213" s="98">
        <f>IF($P213="Ready",ROUNDUP(IFERROR($K213,0),-2),IF(OR($P213="FY26 provisional",$P213="FY26 secured"),"",0))</f>
        <v/>
      </c>
      <c r="O213" s="98">
        <f>IF($P213="Ready",IF('Rate Inputs'!$F220="","",ROUNDUP(IFERROR($L213,0),-2)),IF(OR($P213="FY26 provisional",$P213="FY26 secured"),"",0))</f>
        <v/>
      </c>
      <c r="P213" s="8" t="inlineStr">
        <is>
          <t>Ready</t>
        </is>
      </c>
      <c r="Q213" s="11" t="n"/>
    </row>
    <row r="214">
      <c r="A214" s="2" t="inlineStr">
        <is>
          <t>0000624842MP24B</t>
        </is>
      </c>
      <c r="B214" s="8">
        <f t="array" ref="B214:E214">_xlfn.XLOOKUP(A214,'Site Register'!A:A,'Site Register'!B:E)</f>
        <v/>
      </c>
      <c r="C214" s="8" t="inlineStr">
        <is>
          <t>New Zealand</t>
        </is>
      </c>
      <c r="D214" s="8" t="inlineStr">
        <is>
          <t>South Island</t>
        </is>
      </c>
      <c r="E214" s="8" t="inlineStr">
        <is>
          <t>NZ NTOU Electricity</t>
        </is>
      </c>
      <c r="F214" s="8" t="inlineStr">
        <is>
          <t>kWh</t>
        </is>
      </c>
      <c r="G214" s="95" t="n">
        <v>58753.01767676767</v>
      </c>
      <c r="H214" s="96" t="n">
        <v>46388</v>
      </c>
      <c r="I214" s="96" t="n">
        <v>47483</v>
      </c>
      <c r="J214" s="8" t="inlineStr">
        <is>
          <t>NZD</t>
        </is>
      </c>
      <c r="K214" s="97">
        <f>'Rate Inputs'!E221</f>
        <v/>
      </c>
      <c r="L214" s="97">
        <f>'Rate Inputs'!F221</f>
        <v/>
      </c>
      <c r="M214" s="98">
        <f>IF(OR($P214="Ready",$P214="FY26 provisional",$P214="FY26 secured"),IF($H214&lt;=DATE(2025,7,1),ROUNDUP($K214,-2),IF('Rate Inputs'!$J221="","",ROUNDUP(IF($H214&gt;DATE(2026,6,30),'Rate Inputs'!$J221,'Rate Inputs'!$J221*($H214-DATE(2025,7,1))/365+$K214*(DATE(2026,6,30)-$H214+1)/365),-2))),"")</f>
        <v/>
      </c>
      <c r="N214" s="98">
        <f>IF($P214="Ready",ROUNDUP(IFERROR($K214,0),-2),IF(OR($P214="FY26 provisional",$P214="FY26 secured"),"",0))</f>
        <v/>
      </c>
      <c r="O214" s="98">
        <f>IF($P214="Ready",IF('Rate Inputs'!$F221="","",ROUNDUP(IFERROR($L214,0),-2)),IF(OR($P214="FY26 provisional",$P214="FY26 secured"),"",0))</f>
        <v/>
      </c>
      <c r="P214" s="8" t="inlineStr">
        <is>
          <t>Ready</t>
        </is>
      </c>
      <c r="Q214" s="11" t="n"/>
    </row>
    <row r="215">
      <c r="A215" s="2" t="inlineStr">
        <is>
          <t>0000660398UN329</t>
        </is>
      </c>
      <c r="B215" s="8">
        <f t="array" ref="B215:E215">_xlfn.XLOOKUP(A215,'Site Register'!A:A,'Site Register'!B:E)</f>
        <v/>
      </c>
      <c r="C215" s="8" t="inlineStr">
        <is>
          <t>New Zealand</t>
        </is>
      </c>
      <c r="D215" s="8" t="inlineStr">
        <is>
          <t>North Island</t>
        </is>
      </c>
      <c r="E215" s="8" t="inlineStr">
        <is>
          <t>NZ NTOU Electricity</t>
        </is>
      </c>
      <c r="F215" s="8" t="inlineStr">
        <is>
          <t>kWh</t>
        </is>
      </c>
      <c r="G215" s="95" t="n">
        <v>3844.148936170212</v>
      </c>
      <c r="H215" s="96" t="n">
        <v>46388</v>
      </c>
      <c r="I215" s="96" t="n">
        <v>47483</v>
      </c>
      <c r="J215" s="8" t="inlineStr">
        <is>
          <t>NZD</t>
        </is>
      </c>
      <c r="K215" s="97">
        <f>'Rate Inputs'!E222</f>
        <v/>
      </c>
      <c r="L215" s="97">
        <f>'Rate Inputs'!F222</f>
        <v/>
      </c>
      <c r="M215" s="98">
        <f>IF(OR($P215="Ready",$P215="FY26 provisional",$P215="FY26 secured"),IF($H215&lt;=DATE(2025,7,1),ROUNDUP($K215,-2),IF('Rate Inputs'!$J222="","",ROUNDUP(IF($H215&gt;DATE(2026,6,30),'Rate Inputs'!$J222,'Rate Inputs'!$J222*($H215-DATE(2025,7,1))/365+$K215*(DATE(2026,6,30)-$H215+1)/365),-2))),"")</f>
        <v/>
      </c>
      <c r="N215" s="98">
        <f>IF($P215="Ready",ROUNDUP(IFERROR($K215,0),-2),IF(OR($P215="FY26 provisional",$P215="FY26 secured"),"",0))</f>
        <v/>
      </c>
      <c r="O215" s="98">
        <f>IF($P215="Ready",IF('Rate Inputs'!$F222="","",ROUNDUP(IFERROR($L215,0),-2)),IF(OR($P215="FY26 provisional",$P215="FY26 secured"),"",0))</f>
        <v/>
      </c>
      <c r="P215" s="8" t="inlineStr">
        <is>
          <t>Ready</t>
        </is>
      </c>
      <c r="Q215" s="11" t="n"/>
    </row>
    <row r="216">
      <c r="A216" s="2" t="inlineStr">
        <is>
          <t>0000700385MP041</t>
        </is>
      </c>
      <c r="B216" s="8">
        <f t="array" ref="B216:E216">_xlfn.XLOOKUP(A216,'Site Register'!A:A,'Site Register'!B:E)</f>
        <v/>
      </c>
      <c r="C216" s="8" t="inlineStr">
        <is>
          <t>New Zealand</t>
        </is>
      </c>
      <c r="D216" s="8" t="inlineStr">
        <is>
          <t>South Island</t>
        </is>
      </c>
      <c r="E216" s="8" t="inlineStr">
        <is>
          <t>NZ NTOU Electricity</t>
        </is>
      </c>
      <c r="F216" s="8" t="inlineStr">
        <is>
          <t>kWh</t>
        </is>
      </c>
      <c r="G216" s="95" t="n">
        <v>1050.130023640662</v>
      </c>
      <c r="H216" s="96" t="n">
        <v>46388</v>
      </c>
      <c r="I216" s="96" t="n">
        <v>47483</v>
      </c>
      <c r="J216" s="8" t="inlineStr">
        <is>
          <t>NZD</t>
        </is>
      </c>
      <c r="K216" s="97">
        <f>'Rate Inputs'!E223</f>
        <v/>
      </c>
      <c r="L216" s="97">
        <f>'Rate Inputs'!F223</f>
        <v/>
      </c>
      <c r="M216" s="98">
        <f>IF(OR($P216="Ready",$P216="FY26 provisional",$P216="FY26 secured"),IF($H216&lt;=DATE(2025,7,1),ROUNDUP($K216,-2),IF('Rate Inputs'!$J223="","",ROUNDUP(IF($H216&gt;DATE(2026,6,30),'Rate Inputs'!$J223,'Rate Inputs'!$J223*($H216-DATE(2025,7,1))/365+$K216*(DATE(2026,6,30)-$H216+1)/365),-2))),"")</f>
        <v/>
      </c>
      <c r="N216" s="98">
        <f>IF($P216="Ready",ROUNDUP(IFERROR($K216,0),-2),IF(OR($P216="FY26 provisional",$P216="FY26 secured"),"",0))</f>
        <v/>
      </c>
      <c r="O216" s="98">
        <f>IF($P216="Ready",IF('Rate Inputs'!$F223="","",ROUNDUP(IFERROR($L216,0),-2)),IF(OR($P216="FY26 provisional",$P216="FY26 secured"),"",0))</f>
        <v/>
      </c>
      <c r="P216" s="8" t="inlineStr">
        <is>
          <t>Ready</t>
        </is>
      </c>
      <c r="Q216" s="11" t="n"/>
    </row>
    <row r="217">
      <c r="A217" s="2" t="inlineStr">
        <is>
          <t>0000700787MPCC5</t>
        </is>
      </c>
      <c r="B217" s="8">
        <f t="array" ref="B217:E217">_xlfn.XLOOKUP(A217,'Site Register'!A:A,'Site Register'!B:E)</f>
        <v/>
      </c>
      <c r="C217" s="8" t="inlineStr">
        <is>
          <t>New Zealand</t>
        </is>
      </c>
      <c r="D217" s="8" t="inlineStr">
        <is>
          <t>South Island</t>
        </is>
      </c>
      <c r="E217" s="8" t="inlineStr">
        <is>
          <t>NZ NTOU Electricity</t>
        </is>
      </c>
      <c r="F217" s="8" t="inlineStr">
        <is>
          <t>kWh</t>
        </is>
      </c>
      <c r="G217" s="95" t="n">
        <v>3791.513002364066</v>
      </c>
      <c r="H217" s="96" t="n">
        <v>46388</v>
      </c>
      <c r="I217" s="96" t="n">
        <v>47483</v>
      </c>
      <c r="J217" s="8" t="inlineStr">
        <is>
          <t>NZD</t>
        </is>
      </c>
      <c r="K217" s="97">
        <f>'Rate Inputs'!E224</f>
        <v/>
      </c>
      <c r="L217" s="97">
        <f>'Rate Inputs'!F224</f>
        <v/>
      </c>
      <c r="M217" s="98">
        <f>IF(OR($P217="Ready",$P217="FY26 provisional",$P217="FY26 secured"),IF($H217&lt;=DATE(2025,7,1),ROUNDUP($K217,-2),IF('Rate Inputs'!$J224="","",ROUNDUP(IF($H217&gt;DATE(2026,6,30),'Rate Inputs'!$J224,'Rate Inputs'!$J224*($H217-DATE(2025,7,1))/365+$K217*(DATE(2026,6,30)-$H217+1)/365),-2))),"")</f>
        <v/>
      </c>
      <c r="N217" s="98">
        <f>IF($P217="Ready",ROUNDUP(IFERROR($K217,0),-2),IF(OR($P217="FY26 provisional",$P217="FY26 secured"),"",0))</f>
        <v/>
      </c>
      <c r="O217" s="98">
        <f>IF($P217="Ready",IF('Rate Inputs'!$F224="","",ROUNDUP(IFERROR($L217,0),-2)),IF(OR($P217="FY26 provisional",$P217="FY26 secured"),"",0))</f>
        <v/>
      </c>
      <c r="P217" s="8" t="inlineStr">
        <is>
          <t>Ready</t>
        </is>
      </c>
      <c r="Q217" s="11" t="n"/>
    </row>
    <row r="218">
      <c r="A218" s="2" t="inlineStr">
        <is>
          <t>0000721777NV28C</t>
        </is>
      </c>
      <c r="B218" s="8">
        <f t="array" ref="B218:E218">_xlfn.XLOOKUP(A218,'Site Register'!A:A,'Site Register'!B:E)</f>
        <v/>
      </c>
      <c r="C218" s="8" t="inlineStr">
        <is>
          <t>New Zealand</t>
        </is>
      </c>
      <c r="D218" s="8" t="inlineStr">
        <is>
          <t>South Island</t>
        </is>
      </c>
      <c r="E218" s="8" t="inlineStr">
        <is>
          <t>NZ NTOU Electricity</t>
        </is>
      </c>
      <c r="F218" s="8" t="inlineStr">
        <is>
          <t>kWh</t>
        </is>
      </c>
      <c r="G218" s="95" t="n">
        <v>13574.89361702128</v>
      </c>
      <c r="H218" s="96" t="n">
        <v>46388</v>
      </c>
      <c r="I218" s="96" t="n">
        <v>47483</v>
      </c>
      <c r="J218" s="8" t="inlineStr">
        <is>
          <t>NZD</t>
        </is>
      </c>
      <c r="K218" s="97">
        <f>'Rate Inputs'!E225</f>
        <v/>
      </c>
      <c r="L218" s="97">
        <f>'Rate Inputs'!F225</f>
        <v/>
      </c>
      <c r="M218" s="98">
        <f>IF(OR($P218="Ready",$P218="FY26 provisional",$P218="FY26 secured"),IF($H218&lt;=DATE(2025,7,1),ROUNDUP($K218,-2),IF('Rate Inputs'!$J225="","",ROUNDUP(IF($H218&gt;DATE(2026,6,30),'Rate Inputs'!$J225,'Rate Inputs'!$J225*($H218-DATE(2025,7,1))/365+$K218*(DATE(2026,6,30)-$H218+1)/365),-2))),"")</f>
        <v/>
      </c>
      <c r="N218" s="98">
        <f>IF($P218="Ready",ROUNDUP(IFERROR($K218,0),-2),IF(OR($P218="FY26 provisional",$P218="FY26 secured"),"",0))</f>
        <v/>
      </c>
      <c r="O218" s="98">
        <f>IF($P218="Ready",IF('Rate Inputs'!$F225="","",ROUNDUP(IFERROR($L218,0),-2)),IF(OR($P218="FY26 provisional",$P218="FY26 secured"),"",0))</f>
        <v/>
      </c>
      <c r="P218" s="8" t="inlineStr">
        <is>
          <t>Ready</t>
        </is>
      </c>
      <c r="Q218" s="11" t="n"/>
    </row>
    <row r="219">
      <c r="A219" s="2" t="inlineStr">
        <is>
          <t>0000922160TUF69</t>
        </is>
      </c>
      <c r="B219" s="8">
        <f t="array" ref="B219:E219">_xlfn.XLOOKUP(A219,'Site Register'!A:A,'Site Register'!B:E)</f>
        <v/>
      </c>
      <c r="C219" s="8" t="inlineStr">
        <is>
          <t>New Zealand</t>
        </is>
      </c>
      <c r="D219" s="8" t="inlineStr">
        <is>
          <t>North Island</t>
        </is>
      </c>
      <c r="E219" s="8" t="inlineStr">
        <is>
          <t>NZ NTOU Electricity</t>
        </is>
      </c>
      <c r="F219" s="8" t="inlineStr">
        <is>
          <t>kWh</t>
        </is>
      </c>
      <c r="G219" s="95" t="n">
        <v>4472.328605200945</v>
      </c>
      <c r="H219" s="96" t="n">
        <v>46388</v>
      </c>
      <c r="I219" s="96" t="n">
        <v>47483</v>
      </c>
      <c r="J219" s="8" t="inlineStr">
        <is>
          <t>NZD</t>
        </is>
      </c>
      <c r="K219" s="97">
        <f>'Rate Inputs'!E227</f>
        <v/>
      </c>
      <c r="L219" s="97">
        <f>'Rate Inputs'!F227</f>
        <v/>
      </c>
      <c r="M219" s="98">
        <f>IF(OR($P219="Ready",$P219="FY26 provisional",$P219="FY26 secured"),IF($H219&lt;=DATE(2025,7,1),ROUNDUP($K219,-2),IF('Rate Inputs'!$J227="","",ROUNDUP(IF($H219&gt;DATE(2026,6,30),'Rate Inputs'!$J227,'Rate Inputs'!$J227*($H219-DATE(2025,7,1))/365+$K219*(DATE(2026,6,30)-$H219+1)/365),-2))),"")</f>
        <v/>
      </c>
      <c r="N219" s="98">
        <f>IF($P219="Ready",ROUNDUP(IFERROR($K219,0),-2),IF(OR($P219="FY26 provisional",$P219="FY26 secured"),"",0))</f>
        <v/>
      </c>
      <c r="O219" s="98">
        <f>IF($P219="Ready",IF('Rate Inputs'!$F227="","",ROUNDUP(IFERROR($L219,0),-2)),IF(OR($P219="FY26 provisional",$P219="FY26 secured"),"",0))</f>
        <v/>
      </c>
      <c r="P219" s="8" t="inlineStr">
        <is>
          <t>Ready</t>
        </is>
      </c>
      <c r="Q219" s="11" t="n"/>
    </row>
    <row r="220">
      <c r="A220" s="2" t="inlineStr">
        <is>
          <t>0000933506TU456</t>
        </is>
      </c>
      <c r="B220" s="8">
        <f t="array" ref="B220:E220">_xlfn.XLOOKUP(A220,'Site Register'!A:A,'Site Register'!B:E)</f>
        <v/>
      </c>
      <c r="C220" s="8" t="inlineStr">
        <is>
          <t>New Zealand</t>
        </is>
      </c>
      <c r="D220" s="8" t="inlineStr">
        <is>
          <t>North Island</t>
        </is>
      </c>
      <c r="E220" s="8" t="inlineStr">
        <is>
          <t>NZ NTOU Electricity</t>
        </is>
      </c>
      <c r="F220" s="8" t="inlineStr">
        <is>
          <t>kWh</t>
        </is>
      </c>
      <c r="G220" s="95" t="n">
        <v>7981.678486997636</v>
      </c>
      <c r="H220" s="96" t="n">
        <v>46388</v>
      </c>
      <c r="I220" s="96" t="n">
        <v>47483</v>
      </c>
      <c r="J220" s="8" t="inlineStr">
        <is>
          <t>NZD</t>
        </is>
      </c>
      <c r="K220" s="97">
        <f>'Rate Inputs'!E229</f>
        <v/>
      </c>
      <c r="L220" s="97">
        <f>'Rate Inputs'!F229</f>
        <v/>
      </c>
      <c r="M220" s="98">
        <f>IF(OR($P220="Ready",$P220="FY26 provisional",$P220="FY26 secured"),IF($H220&lt;=DATE(2025,7,1),ROUNDUP($K220,-2),IF('Rate Inputs'!$J229="","",ROUNDUP(IF($H220&gt;DATE(2026,6,30),'Rate Inputs'!$J229,'Rate Inputs'!$J229*($H220-DATE(2025,7,1))/365+$K220*(DATE(2026,6,30)-$H220+1)/365),-2))),"")</f>
        <v/>
      </c>
      <c r="N220" s="98">
        <f>IF($P220="Ready",ROUNDUP(IFERROR($K220,0),-2),IF(OR($P220="FY26 provisional",$P220="FY26 secured"),"",0))</f>
        <v/>
      </c>
      <c r="O220" s="98">
        <f>IF($P220="Ready",IF('Rate Inputs'!$F229="","",ROUNDUP(IFERROR($L220,0),-2)),IF(OR($P220="FY26 provisional",$P220="FY26 secured"),"",0))</f>
        <v/>
      </c>
      <c r="P220" s="8" t="inlineStr">
        <is>
          <t>Ready</t>
        </is>
      </c>
      <c r="Q220" s="11" t="n"/>
    </row>
    <row r="221">
      <c r="A221" s="2" t="inlineStr">
        <is>
          <t>0000935815TU2F3</t>
        </is>
      </c>
      <c r="B221" s="8">
        <f t="array" ref="B221:E221">_xlfn.XLOOKUP(A221,'Site Register'!A:A,'Site Register'!B:E)</f>
        <v/>
      </c>
      <c r="C221" s="8" t="inlineStr">
        <is>
          <t>New Zealand</t>
        </is>
      </c>
      <c r="D221" s="8" t="inlineStr">
        <is>
          <t>North Island</t>
        </is>
      </c>
      <c r="E221" s="8" t="inlineStr">
        <is>
          <t>NZ NTOU Electricity</t>
        </is>
      </c>
      <c r="F221" s="8" t="inlineStr">
        <is>
          <t>kWh</t>
        </is>
      </c>
      <c r="G221" s="95" t="n">
        <v>3084.838709677419</v>
      </c>
      <c r="H221" s="96" t="n">
        <v>46388</v>
      </c>
      <c r="I221" s="96" t="n">
        <v>47483</v>
      </c>
      <c r="J221" s="8" t="inlineStr">
        <is>
          <t>NZD</t>
        </is>
      </c>
      <c r="K221" s="97">
        <f>'Rate Inputs'!E230</f>
        <v/>
      </c>
      <c r="L221" s="97">
        <f>'Rate Inputs'!F230</f>
        <v/>
      </c>
      <c r="M221" s="98">
        <f>IF(OR($P221="Ready",$P221="FY26 provisional",$P221="FY26 secured"),IF($H221&lt;=DATE(2025,7,1),ROUNDUP($K221,-2),IF('Rate Inputs'!$J230="","",ROUNDUP(IF($H221&gt;DATE(2026,6,30),'Rate Inputs'!$J230,'Rate Inputs'!$J230*($H221-DATE(2025,7,1))/365+$K221*(DATE(2026,6,30)-$H221+1)/365),-2))),"")</f>
        <v/>
      </c>
      <c r="N221" s="98">
        <f>IF($P221="Ready",ROUNDUP(IFERROR($K221,0),-2),IF(OR($P221="FY26 provisional",$P221="FY26 secured"),"",0))</f>
        <v/>
      </c>
      <c r="O221" s="98">
        <f>IF($P221="Ready",IF('Rate Inputs'!$F230="","",ROUNDUP(IFERROR($L221,0),-2)),IF(OR($P221="FY26 provisional",$P221="FY26 secured"),"",0))</f>
        <v/>
      </c>
      <c r="P221" s="8" t="inlineStr">
        <is>
          <t>Ready</t>
        </is>
      </c>
      <c r="Q221" s="11" t="n"/>
    </row>
    <row r="222">
      <c r="A222" s="2" t="inlineStr">
        <is>
          <t>0000967277TU7B8</t>
        </is>
      </c>
      <c r="B222" s="8">
        <f t="array" ref="B222:E222">_xlfn.XLOOKUP(A222,'Site Register'!A:A,'Site Register'!B:E)</f>
        <v/>
      </c>
      <c r="C222" s="8" t="inlineStr">
        <is>
          <t>New Zealand</t>
        </is>
      </c>
      <c r="D222" s="8" t="inlineStr">
        <is>
          <t>North Island</t>
        </is>
      </c>
      <c r="E222" s="8" t="inlineStr">
        <is>
          <t>NZ NTOU Electricity</t>
        </is>
      </c>
      <c r="F222" s="8" t="inlineStr">
        <is>
          <t>kWh</t>
        </is>
      </c>
      <c r="G222" s="95" t="n">
        <v>24502.45862884161</v>
      </c>
      <c r="H222" s="96" t="n">
        <v>46388</v>
      </c>
      <c r="I222" s="96" t="n">
        <v>47483</v>
      </c>
      <c r="J222" s="8" t="inlineStr">
        <is>
          <t>NZD</t>
        </is>
      </c>
      <c r="K222" s="97">
        <f>'Rate Inputs'!E232</f>
        <v/>
      </c>
      <c r="L222" s="97">
        <f>'Rate Inputs'!F232</f>
        <v/>
      </c>
      <c r="M222" s="98">
        <f>IF(OR($P222="Ready",$P222="FY26 provisional",$P222="FY26 secured"),IF($H222&lt;=DATE(2025,7,1),ROUNDUP($K222,-2),IF('Rate Inputs'!$J232="","",ROUNDUP(IF($H222&gt;DATE(2026,6,30),'Rate Inputs'!$J232,'Rate Inputs'!$J232*($H222-DATE(2025,7,1))/365+$K222*(DATE(2026,6,30)-$H222+1)/365),-2))),"")</f>
        <v/>
      </c>
      <c r="N222" s="98">
        <f>IF($P222="Ready",ROUNDUP(IFERROR($K222,0),-2),IF(OR($P222="FY26 provisional",$P222="FY26 secured"),"",0))</f>
        <v/>
      </c>
      <c r="O222" s="98">
        <f>IF($P222="Ready",IF('Rate Inputs'!$F232="","",ROUNDUP(IFERROR($L222,0),-2)),IF(OR($P222="FY26 provisional",$P222="FY26 secured"),"",0))</f>
        <v/>
      </c>
      <c r="P222" s="8" t="inlineStr">
        <is>
          <t>Ready</t>
        </is>
      </c>
      <c r="Q222" s="11" t="n"/>
    </row>
    <row r="223">
      <c r="A223" s="2" t="inlineStr">
        <is>
          <t>0000968029TUF4C</t>
        </is>
      </c>
      <c r="B223" s="8">
        <f t="array" ref="B223:E223">_xlfn.XLOOKUP(A223,'Site Register'!A:A,'Site Register'!B:E)</f>
        <v/>
      </c>
      <c r="C223" s="8" t="inlineStr">
        <is>
          <t>New Zealand</t>
        </is>
      </c>
      <c r="D223" s="8" t="inlineStr">
        <is>
          <t>North Island</t>
        </is>
      </c>
      <c r="E223" s="8" t="inlineStr">
        <is>
          <t>NZ NTOU Electricity</t>
        </is>
      </c>
      <c r="F223" s="8" t="inlineStr">
        <is>
          <t>kWh</t>
        </is>
      </c>
      <c r="G223" s="95" t="n">
        <v>12055.60532687651</v>
      </c>
      <c r="H223" s="96" t="n">
        <v>46388</v>
      </c>
      <c r="I223" s="96" t="n">
        <v>47483</v>
      </c>
      <c r="J223" s="8" t="inlineStr">
        <is>
          <t>NZD</t>
        </is>
      </c>
      <c r="K223" s="97">
        <f>'Rate Inputs'!E233</f>
        <v/>
      </c>
      <c r="L223" s="97">
        <f>'Rate Inputs'!F233</f>
        <v/>
      </c>
      <c r="M223" s="98">
        <f>IF(OR($P223="Ready",$P223="FY26 provisional",$P223="FY26 secured"),IF($H223&lt;=DATE(2025,7,1),ROUNDUP($K223,-2),IF('Rate Inputs'!$J233="","",ROUNDUP(IF($H223&gt;DATE(2026,6,30),'Rate Inputs'!$J233,'Rate Inputs'!$J233*($H223-DATE(2025,7,1))/365+$K223*(DATE(2026,6,30)-$H223+1)/365),-2))),"")</f>
        <v/>
      </c>
      <c r="N223" s="98">
        <f>IF($P223="Ready",ROUNDUP(IFERROR($K223,0),-2),IF(OR($P223="FY26 provisional",$P223="FY26 secured"),"",0))</f>
        <v/>
      </c>
      <c r="O223" s="98">
        <f>IF($P223="Ready",IF('Rate Inputs'!$F233="","",ROUNDUP(IFERROR($L223,0),-2)),IF(OR($P223="FY26 provisional",$P223="FY26 secured"),"",0))</f>
        <v/>
      </c>
      <c r="P223" s="8" t="inlineStr">
        <is>
          <t>Ready</t>
        </is>
      </c>
      <c r="Q223" s="11" t="n"/>
    </row>
    <row r="224">
      <c r="A224" s="2" t="inlineStr">
        <is>
          <t>0001001775PCC89</t>
        </is>
      </c>
      <c r="B224" s="8">
        <f t="array" ref="B224:E224">_xlfn.XLOOKUP(A224,'Site Register'!A:A,'Site Register'!B:E)</f>
        <v/>
      </c>
      <c r="C224" s="8" t="inlineStr">
        <is>
          <t>New Zealand</t>
        </is>
      </c>
      <c r="D224" s="8" t="inlineStr">
        <is>
          <t>North Island</t>
        </is>
      </c>
      <c r="E224" s="8" t="inlineStr">
        <is>
          <t>NZ NTOU Electricity</t>
        </is>
      </c>
      <c r="F224" s="8" t="inlineStr">
        <is>
          <t>kWh</t>
        </is>
      </c>
      <c r="G224" s="95" t="n">
        <v>164843.4959349594</v>
      </c>
      <c r="H224" s="96" t="n">
        <v>46388</v>
      </c>
      <c r="I224" s="96" t="n">
        <v>47483</v>
      </c>
      <c r="J224" s="8" t="inlineStr">
        <is>
          <t>NZD</t>
        </is>
      </c>
      <c r="K224" s="97">
        <f>'Rate Inputs'!E234</f>
        <v/>
      </c>
      <c r="L224" s="97">
        <f>'Rate Inputs'!F234</f>
        <v/>
      </c>
      <c r="M224" s="98">
        <f>IF(OR($P224="Ready",$P224="FY26 provisional",$P224="FY26 secured"),IF($H224&lt;=DATE(2025,7,1),ROUNDUP($K224,-2),IF('Rate Inputs'!$J234="","",ROUNDUP(IF($H224&gt;DATE(2026,6,30),'Rate Inputs'!$J234,'Rate Inputs'!$J234*($H224-DATE(2025,7,1))/365+$K224*(DATE(2026,6,30)-$H224+1)/365),-2))),"")</f>
        <v/>
      </c>
      <c r="N224" s="98">
        <f>IF($P224="Ready",ROUNDUP(IFERROR($K224,0),-2),IF(OR($P224="FY26 provisional",$P224="FY26 secured"),"",0))</f>
        <v/>
      </c>
      <c r="O224" s="98">
        <f>IF($P224="Ready",IF('Rate Inputs'!$F234="","",ROUNDUP(IFERROR($L224,0),-2)),IF(OR($P224="FY26 provisional",$P224="FY26 secured"),"",0))</f>
        <v/>
      </c>
      <c r="P224" s="8" t="inlineStr">
        <is>
          <t>Ready</t>
        </is>
      </c>
      <c r="Q224" s="11" t="n"/>
    </row>
    <row r="225">
      <c r="A225" s="2" t="inlineStr">
        <is>
          <t>0001051206TG35C</t>
        </is>
      </c>
      <c r="B225" s="8">
        <f t="array" ref="B225:E225">_xlfn.XLOOKUP(A225,'Site Register'!A:A,'Site Register'!B:E)</f>
        <v/>
      </c>
      <c r="C225" s="8" t="inlineStr">
        <is>
          <t>New Zealand</t>
        </is>
      </c>
      <c r="D225" s="8" t="inlineStr">
        <is>
          <t>South Island</t>
        </is>
      </c>
      <c r="E225" s="8" t="inlineStr">
        <is>
          <t>NZ NTOU Electricity</t>
        </is>
      </c>
      <c r="F225" s="8" t="inlineStr">
        <is>
          <t>kWh</t>
        </is>
      </c>
      <c r="G225" s="95" t="n">
        <v>1974.813432835821</v>
      </c>
      <c r="H225" s="96" t="n">
        <v>46388</v>
      </c>
      <c r="I225" s="96" t="n">
        <v>47483</v>
      </c>
      <c r="J225" s="8" t="inlineStr">
        <is>
          <t>NZD</t>
        </is>
      </c>
      <c r="K225" s="97">
        <f>'Rate Inputs'!E235</f>
        <v/>
      </c>
      <c r="L225" s="97">
        <f>'Rate Inputs'!F235</f>
        <v/>
      </c>
      <c r="M225" s="98">
        <f>IF(OR($P225="Ready",$P225="FY26 provisional",$P225="FY26 secured"),IF($H225&lt;=DATE(2025,7,1),ROUNDUP($K225,-2),IF('Rate Inputs'!$J235="","",ROUNDUP(IF($H225&gt;DATE(2026,6,30),'Rate Inputs'!$J235,'Rate Inputs'!$J235*($H225-DATE(2025,7,1))/365+$K225*(DATE(2026,6,30)-$H225+1)/365),-2))),"")</f>
        <v/>
      </c>
      <c r="N225" s="98">
        <f>IF($P225="Ready",ROUNDUP(IFERROR($K225,0),-2),IF(OR($P225="FY26 provisional",$P225="FY26 secured"),"",0))</f>
        <v/>
      </c>
      <c r="O225" s="98">
        <f>IF($P225="Ready",IF('Rate Inputs'!$F235="","",ROUNDUP(IFERROR($L225,0),-2)),IF(OR($P225="FY26 provisional",$P225="FY26 secured"),"",0))</f>
        <v/>
      </c>
      <c r="P225" s="8" t="inlineStr">
        <is>
          <t>Ready</t>
        </is>
      </c>
      <c r="Q225" s="11" t="n"/>
    </row>
    <row r="226">
      <c r="A226" s="2" t="inlineStr">
        <is>
          <t>0001129467MLF12</t>
        </is>
      </c>
      <c r="B226" s="8">
        <f t="array" ref="B226:E226">_xlfn.XLOOKUP(A226,'Site Register'!A:A,'Site Register'!B:E)</f>
        <v/>
      </c>
      <c r="C226" s="8" t="inlineStr">
        <is>
          <t>New Zealand</t>
        </is>
      </c>
      <c r="D226" s="8" t="inlineStr">
        <is>
          <t>South Island</t>
        </is>
      </c>
      <c r="E226" s="8" t="inlineStr">
        <is>
          <t>NZ NTOU Electricity</t>
        </is>
      </c>
      <c r="F226" s="8" t="inlineStr">
        <is>
          <t>kWh</t>
        </is>
      </c>
      <c r="G226" s="95" t="n">
        <v>452.1513002364066</v>
      </c>
      <c r="H226" s="96" t="n">
        <v>46388</v>
      </c>
      <c r="I226" s="96" t="n">
        <v>47483</v>
      </c>
      <c r="J226" s="8" t="inlineStr">
        <is>
          <t>NZD</t>
        </is>
      </c>
      <c r="K226" s="97">
        <f>'Rate Inputs'!E236</f>
        <v/>
      </c>
      <c r="L226" s="97">
        <f>'Rate Inputs'!F236</f>
        <v/>
      </c>
      <c r="M226" s="98">
        <f>IF(OR($P226="Ready",$P226="FY26 provisional",$P226="FY26 secured"),IF($H226&lt;=DATE(2025,7,1),ROUNDUP($K226,-2),IF('Rate Inputs'!$J236="","",ROUNDUP(IF($H226&gt;DATE(2026,6,30),'Rate Inputs'!$J236,'Rate Inputs'!$J236*($H226-DATE(2025,7,1))/365+$K226*(DATE(2026,6,30)-$H226+1)/365),-2))),"")</f>
        <v/>
      </c>
      <c r="N226" s="98">
        <f>IF($P226="Ready",ROUNDUP(IFERROR($K226,0),-2),IF(OR($P226="FY26 provisional",$P226="FY26 secured"),"",0))</f>
        <v/>
      </c>
      <c r="O226" s="98">
        <f>IF($P226="Ready",IF('Rate Inputs'!$F236="","",ROUNDUP(IFERROR($L226,0),-2)),IF(OR($P226="FY26 provisional",$P226="FY26 secured"),"",0))</f>
        <v/>
      </c>
      <c r="P226" s="8" t="inlineStr">
        <is>
          <t>Ready</t>
        </is>
      </c>
      <c r="Q226" s="11" t="n"/>
    </row>
    <row r="227">
      <c r="A227" s="2" t="inlineStr">
        <is>
          <t>0001259077UN7C4</t>
        </is>
      </c>
      <c r="B227" s="8">
        <f t="array" ref="B227:E227">_xlfn.XLOOKUP(A227,'Site Register'!A:A,'Site Register'!B:E)</f>
        <v/>
      </c>
      <c r="C227" s="8" t="inlineStr">
        <is>
          <t>New Zealand</t>
        </is>
      </c>
      <c r="D227" s="8" t="inlineStr">
        <is>
          <t>North Island</t>
        </is>
      </c>
      <c r="E227" s="8" t="inlineStr">
        <is>
          <t>NZ NTOU Electricity</t>
        </is>
      </c>
      <c r="F227" s="8" t="inlineStr">
        <is>
          <t>kWh</t>
        </is>
      </c>
      <c r="G227" s="95" t="n">
        <v>21618.69976359338</v>
      </c>
      <c r="H227" s="96" t="n">
        <v>46388</v>
      </c>
      <c r="I227" s="96" t="n">
        <v>47483</v>
      </c>
      <c r="J227" s="8" t="inlineStr">
        <is>
          <t>NZD</t>
        </is>
      </c>
      <c r="K227" s="97">
        <f>'Rate Inputs'!E237</f>
        <v/>
      </c>
      <c r="L227" s="97">
        <f>'Rate Inputs'!F237</f>
        <v/>
      </c>
      <c r="M227" s="98">
        <f>IF(OR($P227="Ready",$P227="FY26 provisional",$P227="FY26 secured"),IF($H227&lt;=DATE(2025,7,1),ROUNDUP($K227,-2),IF('Rate Inputs'!$J237="","",ROUNDUP(IF($H227&gt;DATE(2026,6,30),'Rate Inputs'!$J237,'Rate Inputs'!$J237*($H227-DATE(2025,7,1))/365+$K227*(DATE(2026,6,30)-$H227+1)/365),-2))),"")</f>
        <v/>
      </c>
      <c r="N227" s="98">
        <f>IF($P227="Ready",ROUNDUP(IFERROR($K227,0),-2),IF(OR($P227="FY26 provisional",$P227="FY26 secured"),"",0))</f>
        <v/>
      </c>
      <c r="O227" s="98">
        <f>IF($P227="Ready",IF('Rate Inputs'!$F237="","",ROUNDUP(IFERROR($L227,0),-2)),IF(OR($P227="FY26 provisional",$P227="FY26 secured"),"",0))</f>
        <v/>
      </c>
      <c r="P227" s="8" t="inlineStr">
        <is>
          <t>Ready</t>
        </is>
      </c>
      <c r="Q227" s="11" t="n"/>
    </row>
    <row r="228">
      <c r="A228" s="2" t="inlineStr">
        <is>
          <t>0001302906EN76C</t>
        </is>
      </c>
      <c r="B228" s="8">
        <f t="array" ref="B228:E228">_xlfn.XLOOKUP(A228,'Site Register'!A:A,'Site Register'!B:E)</f>
        <v/>
      </c>
      <c r="C228" s="8" t="inlineStr">
        <is>
          <t>New Zealand</t>
        </is>
      </c>
      <c r="D228" s="8" t="inlineStr">
        <is>
          <t>North Island</t>
        </is>
      </c>
      <c r="E228" s="8" t="inlineStr">
        <is>
          <t>NZ NTOU Electricity</t>
        </is>
      </c>
      <c r="F228" s="8" t="inlineStr">
        <is>
          <t>kWh</t>
        </is>
      </c>
      <c r="G228" s="95" t="n">
        <v>116472.9669030733</v>
      </c>
      <c r="H228" s="96" t="n">
        <v>46388</v>
      </c>
      <c r="I228" s="96" t="n">
        <v>47483</v>
      </c>
      <c r="J228" s="8" t="inlineStr">
        <is>
          <t>NZD</t>
        </is>
      </c>
      <c r="K228" s="97">
        <f>'Rate Inputs'!E238</f>
        <v/>
      </c>
      <c r="L228" s="97">
        <f>'Rate Inputs'!F238</f>
        <v/>
      </c>
      <c r="M228" s="98">
        <f>IF(OR($P228="Ready",$P228="FY26 provisional",$P228="FY26 secured"),IF($H228&lt;=DATE(2025,7,1),ROUNDUP($K228,-2),IF('Rate Inputs'!$J238="","",ROUNDUP(IF($H228&gt;DATE(2026,6,30),'Rate Inputs'!$J238,'Rate Inputs'!$J238*($H228-DATE(2025,7,1))/365+$K228*(DATE(2026,6,30)-$H228+1)/365),-2))),"")</f>
        <v/>
      </c>
      <c r="N228" s="98">
        <f>IF($P228="Ready",ROUNDUP(IFERROR($K228,0),-2),IF(OR($P228="FY26 provisional",$P228="FY26 secured"),"",0))</f>
        <v/>
      </c>
      <c r="O228" s="98">
        <f>IF($P228="Ready",IF('Rate Inputs'!$F238="","",ROUNDUP(IFERROR($L228,0),-2)),IF(OR($P228="FY26 provisional",$P228="FY26 secured"),"",0))</f>
        <v/>
      </c>
      <c r="P228" s="8" t="inlineStr">
        <is>
          <t>Ready</t>
        </is>
      </c>
      <c r="Q228" s="11" t="n"/>
    </row>
    <row r="229">
      <c r="A229" s="2" t="inlineStr">
        <is>
          <t>0001302909EN8B2</t>
        </is>
      </c>
      <c r="B229" s="8">
        <f t="array" ref="B229:E229">_xlfn.XLOOKUP(A229,'Site Register'!A:A,'Site Register'!B:E)</f>
        <v/>
      </c>
      <c r="C229" s="8" t="inlineStr">
        <is>
          <t>New Zealand</t>
        </is>
      </c>
      <c r="D229" s="8" t="inlineStr">
        <is>
          <t>North Island</t>
        </is>
      </c>
      <c r="E229" s="8" t="inlineStr">
        <is>
          <t>NZ NTOU Electricity</t>
        </is>
      </c>
      <c r="F229" s="8" t="inlineStr">
        <is>
          <t>kWh</t>
        </is>
      </c>
      <c r="G229" s="95" t="n">
        <v>133.8630806845966</v>
      </c>
      <c r="H229" s="96" t="n">
        <v>46388</v>
      </c>
      <c r="I229" s="96" t="n">
        <v>47483</v>
      </c>
      <c r="J229" s="8" t="inlineStr">
        <is>
          <t>NZD</t>
        </is>
      </c>
      <c r="K229" s="97">
        <f>'Rate Inputs'!E239</f>
        <v/>
      </c>
      <c r="L229" s="97">
        <f>'Rate Inputs'!F239</f>
        <v/>
      </c>
      <c r="M229" s="98">
        <f>IF(OR($P229="Ready",$P229="FY26 provisional",$P229="FY26 secured"),IF($H229&lt;=DATE(2025,7,1),ROUNDUP($K229,-2),IF('Rate Inputs'!$J239="","",ROUNDUP(IF($H229&gt;DATE(2026,6,30),'Rate Inputs'!$J239,'Rate Inputs'!$J239*($H229-DATE(2025,7,1))/365+$K229*(DATE(2026,6,30)-$H229+1)/365),-2))),"")</f>
        <v/>
      </c>
      <c r="N229" s="98">
        <f>IF($P229="Ready",ROUNDUP(IFERROR($K229,0),-2),IF(OR($P229="FY26 provisional",$P229="FY26 secured"),"",0))</f>
        <v/>
      </c>
      <c r="O229" s="98">
        <f>IF($P229="Ready",IF('Rate Inputs'!$F239="","",ROUNDUP(IFERROR($L229,0),-2)),IF(OR($P229="FY26 provisional",$P229="FY26 secured"),"",0))</f>
        <v/>
      </c>
      <c r="P229" s="8" t="inlineStr">
        <is>
          <t>Ready</t>
        </is>
      </c>
      <c r="Q229" s="11" t="n"/>
    </row>
    <row r="230">
      <c r="A230" s="2" t="inlineStr">
        <is>
          <t>0001302912ENCCB</t>
        </is>
      </c>
      <c r="B230" s="8">
        <f t="array" ref="B230:E230">_xlfn.XLOOKUP(A230,'Site Register'!A:A,'Site Register'!B:E)</f>
        <v/>
      </c>
      <c r="C230" s="8" t="inlineStr">
        <is>
          <t>New Zealand</t>
        </is>
      </c>
      <c r="D230" s="8" t="inlineStr">
        <is>
          <t>North Island</t>
        </is>
      </c>
      <c r="E230" s="8" t="inlineStr">
        <is>
          <t>NZ NTOU Electricity</t>
        </is>
      </c>
      <c r="F230" s="8" t="inlineStr">
        <is>
          <t>kWh</t>
        </is>
      </c>
      <c r="G230" s="95" t="n">
        <v>25629.3853427896</v>
      </c>
      <c r="H230" s="96" t="n">
        <v>46388</v>
      </c>
      <c r="I230" s="96" t="n">
        <v>47483</v>
      </c>
      <c r="J230" s="8" t="inlineStr">
        <is>
          <t>NZD</t>
        </is>
      </c>
      <c r="K230" s="97">
        <f>'Rate Inputs'!E240</f>
        <v/>
      </c>
      <c r="L230" s="97">
        <f>'Rate Inputs'!F240</f>
        <v/>
      </c>
      <c r="M230" s="98">
        <f>IF(OR($P230="Ready",$P230="FY26 provisional",$P230="FY26 secured"),IF($H230&lt;=DATE(2025,7,1),ROUNDUP($K230,-2),IF('Rate Inputs'!$J240="","",ROUNDUP(IF($H230&gt;DATE(2026,6,30),'Rate Inputs'!$J240,'Rate Inputs'!$J240*($H230-DATE(2025,7,1))/365+$K230*(DATE(2026,6,30)-$H230+1)/365),-2))),"")</f>
        <v/>
      </c>
      <c r="N230" s="98">
        <f>IF($P230="Ready",ROUNDUP(IFERROR($K230,0),-2),IF(OR($P230="FY26 provisional",$P230="FY26 secured"),"",0))</f>
        <v/>
      </c>
      <c r="O230" s="98">
        <f>IF($P230="Ready",IF('Rate Inputs'!$F240="","",ROUNDUP(IFERROR($L230,0),-2)),IF(OR($P230="FY26 provisional",$P230="FY26 secured"),"",0))</f>
        <v/>
      </c>
      <c r="P230" s="8" t="inlineStr">
        <is>
          <t>Ready</t>
        </is>
      </c>
      <c r="Q230" s="11" t="n"/>
    </row>
    <row r="231">
      <c r="A231" s="2" t="inlineStr">
        <is>
          <t>0001428711HRE6D</t>
        </is>
      </c>
      <c r="B231" s="8">
        <f t="array" ref="B231:E231">_xlfn.XLOOKUP(A231,'Site Register'!A:A,'Site Register'!B:E)</f>
        <v/>
      </c>
      <c r="C231" s="8" t="inlineStr">
        <is>
          <t>New Zealand</t>
        </is>
      </c>
      <c r="D231" s="8" t="inlineStr">
        <is>
          <t>North Island</t>
        </is>
      </c>
      <c r="E231" s="8" t="inlineStr">
        <is>
          <t>NZ NTOU Electricity</t>
        </is>
      </c>
      <c r="F231" s="8" t="inlineStr">
        <is>
          <t>kWh</t>
        </is>
      </c>
      <c r="G231" s="95" t="n">
        <v>14077.95508274232</v>
      </c>
      <c r="H231" s="96" t="n">
        <v>46388</v>
      </c>
      <c r="I231" s="96" t="n">
        <v>47483</v>
      </c>
      <c r="J231" s="8" t="inlineStr">
        <is>
          <t>NZD</t>
        </is>
      </c>
      <c r="K231" s="97">
        <f>'Rate Inputs'!E241</f>
        <v/>
      </c>
      <c r="L231" s="97">
        <f>'Rate Inputs'!F241</f>
        <v/>
      </c>
      <c r="M231" s="98">
        <f>IF(OR($P231="Ready",$P231="FY26 provisional",$P231="FY26 secured"),IF($H231&lt;=DATE(2025,7,1),ROUNDUP($K231,-2),IF('Rate Inputs'!$J241="","",ROUNDUP(IF($H231&gt;DATE(2026,6,30),'Rate Inputs'!$J241,'Rate Inputs'!$J241*($H231-DATE(2025,7,1))/365+$K231*(DATE(2026,6,30)-$H231+1)/365),-2))),"")</f>
        <v/>
      </c>
      <c r="N231" s="98">
        <f>IF($P231="Ready",ROUNDUP(IFERROR($K231,0),-2),IF(OR($P231="FY26 provisional",$P231="FY26 secured"),"",0))</f>
        <v/>
      </c>
      <c r="O231" s="98">
        <f>IF($P231="Ready",IF('Rate Inputs'!$F241="","",ROUNDUP(IFERROR($L231,0),-2)),IF(OR($P231="FY26 provisional",$P231="FY26 secured"),"",0))</f>
        <v/>
      </c>
      <c r="P231" s="8" t="inlineStr">
        <is>
          <t>Ready</t>
        </is>
      </c>
      <c r="Q231" s="11" t="n"/>
    </row>
    <row r="232">
      <c r="A232" s="2" t="inlineStr">
        <is>
          <t>0001429135HR594</t>
        </is>
      </c>
      <c r="B232" s="8">
        <f t="array" ref="B232:E232">_xlfn.XLOOKUP(A232,'Site Register'!A:A,'Site Register'!B:E)</f>
        <v/>
      </c>
      <c r="C232" s="8" t="inlineStr">
        <is>
          <t>New Zealand</t>
        </is>
      </c>
      <c r="D232" s="8" t="inlineStr">
        <is>
          <t>North Island</t>
        </is>
      </c>
      <c r="E232" s="8" t="inlineStr">
        <is>
          <t>NZ NTOU Electricity</t>
        </is>
      </c>
      <c r="F232" s="8" t="inlineStr">
        <is>
          <t>kWh</t>
        </is>
      </c>
      <c r="G232" s="95" t="n">
        <v>17482.89598108747</v>
      </c>
      <c r="H232" s="96" t="n">
        <v>46388</v>
      </c>
      <c r="I232" s="96" t="n">
        <v>47483</v>
      </c>
      <c r="J232" s="8" t="inlineStr">
        <is>
          <t>NZD</t>
        </is>
      </c>
      <c r="K232" s="97">
        <f>'Rate Inputs'!E242</f>
        <v/>
      </c>
      <c r="L232" s="97">
        <f>'Rate Inputs'!F242</f>
        <v/>
      </c>
      <c r="M232" s="98">
        <f>IF(OR($P232="Ready",$P232="FY26 provisional",$P232="FY26 secured"),IF($H232&lt;=DATE(2025,7,1),ROUNDUP($K232,-2),IF('Rate Inputs'!$J242="","",ROUNDUP(IF($H232&gt;DATE(2026,6,30),'Rate Inputs'!$J242,'Rate Inputs'!$J242*($H232-DATE(2025,7,1))/365+$K232*(DATE(2026,6,30)-$H232+1)/365),-2))),"")</f>
        <v/>
      </c>
      <c r="N232" s="98">
        <f>IF($P232="Ready",ROUNDUP(IFERROR($K232,0),-2),IF(OR($P232="FY26 provisional",$P232="FY26 secured"),"",0))</f>
        <v/>
      </c>
      <c r="O232" s="98">
        <f>IF($P232="Ready",IF('Rate Inputs'!$F242="","",ROUNDUP(IFERROR($L232,0),-2)),IF(OR($P232="FY26 provisional",$P232="FY26 secured"),"",0))</f>
        <v/>
      </c>
      <c r="P232" s="8" t="inlineStr">
        <is>
          <t>Ready</t>
        </is>
      </c>
      <c r="Q232" s="11" t="n"/>
    </row>
    <row r="233">
      <c r="A233" s="2" t="inlineStr">
        <is>
          <t>0001430190TG470</t>
        </is>
      </c>
      <c r="B233" s="8">
        <f t="array" ref="B233:E233">_xlfn.XLOOKUP(A233,'Site Register'!A:A,'Site Register'!B:E)</f>
        <v/>
      </c>
      <c r="C233" s="8" t="inlineStr">
        <is>
          <t>New Zealand</t>
        </is>
      </c>
      <c r="D233" s="8" t="inlineStr">
        <is>
          <t>South Island</t>
        </is>
      </c>
      <c r="E233" s="8" t="inlineStr">
        <is>
          <t>NZ NTOU Electricity</t>
        </is>
      </c>
      <c r="F233" s="8" t="inlineStr">
        <is>
          <t>kWh</t>
        </is>
      </c>
      <c r="G233" s="95" t="n">
        <v>4021.903073286051</v>
      </c>
      <c r="H233" s="96" t="n">
        <v>46388</v>
      </c>
      <c r="I233" s="96" t="n">
        <v>47483</v>
      </c>
      <c r="J233" s="8" t="inlineStr">
        <is>
          <t>NZD</t>
        </is>
      </c>
      <c r="K233" s="97">
        <f>'Rate Inputs'!E243</f>
        <v/>
      </c>
      <c r="L233" s="97">
        <f>'Rate Inputs'!F243</f>
        <v/>
      </c>
      <c r="M233" s="98">
        <f>IF(OR($P233="Ready",$P233="FY26 provisional",$P233="FY26 secured"),IF($H233&lt;=DATE(2025,7,1),ROUNDUP($K233,-2),IF('Rate Inputs'!$J243="","",ROUNDUP(IF($H233&gt;DATE(2026,6,30),'Rate Inputs'!$J243,'Rate Inputs'!$J243*($H233-DATE(2025,7,1))/365+$K233*(DATE(2026,6,30)-$H233+1)/365),-2))),"")</f>
        <v/>
      </c>
      <c r="N233" s="98">
        <f>IF($P233="Ready",ROUNDUP(IFERROR($K233,0),-2),IF(OR($P233="FY26 provisional",$P233="FY26 secured"),"",0))</f>
        <v/>
      </c>
      <c r="O233" s="98">
        <f>IF($P233="Ready",IF('Rate Inputs'!$F243="","",ROUNDUP(IFERROR($L233,0),-2)),IF(OR($P233="FY26 provisional",$P233="FY26 secured"),"",0))</f>
        <v/>
      </c>
      <c r="P233" s="8" t="inlineStr">
        <is>
          <t>Ready</t>
        </is>
      </c>
      <c r="Q233" s="11" t="n"/>
    </row>
    <row r="234">
      <c r="A234" s="2" t="inlineStr">
        <is>
          <t>0001430191TG835</t>
        </is>
      </c>
      <c r="B234" s="8">
        <f t="array" ref="B234:E234">_xlfn.XLOOKUP(A234,'Site Register'!A:A,'Site Register'!B:E)</f>
        <v/>
      </c>
      <c r="C234" s="8" t="inlineStr">
        <is>
          <t>New Zealand</t>
        </is>
      </c>
      <c r="D234" s="8" t="inlineStr">
        <is>
          <t>South Island</t>
        </is>
      </c>
      <c r="E234" s="8" t="inlineStr">
        <is>
          <t>NZ NTOU Electricity</t>
        </is>
      </c>
      <c r="F234" s="8" t="inlineStr">
        <is>
          <t>kWh</t>
        </is>
      </c>
      <c r="G234" s="95" t="n">
        <v>55.54347826086957</v>
      </c>
      <c r="H234" s="96" t="n">
        <v>46388</v>
      </c>
      <c r="I234" s="96" t="n">
        <v>47483</v>
      </c>
      <c r="J234" s="8" t="inlineStr">
        <is>
          <t>NZD</t>
        </is>
      </c>
      <c r="K234" s="97">
        <f>'Rate Inputs'!E244</f>
        <v/>
      </c>
      <c r="L234" s="97">
        <f>'Rate Inputs'!F244</f>
        <v/>
      </c>
      <c r="M234" s="98">
        <f>IF(OR($P234="Ready",$P234="FY26 provisional",$P234="FY26 secured"),IF($H234&lt;=DATE(2025,7,1),ROUNDUP($K234,-2),IF('Rate Inputs'!$J244="","",ROUNDUP(IF($H234&gt;DATE(2026,6,30),'Rate Inputs'!$J244,'Rate Inputs'!$J244*($H234-DATE(2025,7,1))/365+$K234*(DATE(2026,6,30)-$H234+1)/365),-2))),"")</f>
        <v/>
      </c>
      <c r="N234" s="98">
        <f>IF($P234="Ready",ROUNDUP(IFERROR($K234,0),-2),IF(OR($P234="FY26 provisional",$P234="FY26 secured"),"",0))</f>
        <v/>
      </c>
      <c r="O234" s="98">
        <f>IF($P234="Ready",IF('Rate Inputs'!$F244="","",ROUNDUP(IFERROR($L234,0),-2)),IF(OR($P234="FY26 provisional",$P234="FY26 secured"),"",0))</f>
        <v/>
      </c>
      <c r="P234" s="8" t="inlineStr">
        <is>
          <t>Ready</t>
        </is>
      </c>
      <c r="Q234" s="11" t="n"/>
    </row>
    <row r="235">
      <c r="A235" s="2" t="inlineStr">
        <is>
          <t>0001430880PC7ED</t>
        </is>
      </c>
      <c r="B235" s="8">
        <f t="array" ref="B235:E235">_xlfn.XLOOKUP(A235,'Site Register'!A:A,'Site Register'!B:E)</f>
        <v/>
      </c>
      <c r="C235" s="8" t="inlineStr">
        <is>
          <t>New Zealand</t>
        </is>
      </c>
      <c r="D235" s="8" t="inlineStr">
        <is>
          <t>North Island</t>
        </is>
      </c>
      <c r="E235" s="8" t="inlineStr">
        <is>
          <t>NZ NTOU Electricity</t>
        </is>
      </c>
      <c r="F235" s="8" t="inlineStr">
        <is>
          <t>kWh</t>
        </is>
      </c>
      <c r="G235" s="95" t="n">
        <v>12587.75413711584</v>
      </c>
      <c r="H235" s="96" t="n">
        <v>46388</v>
      </c>
      <c r="I235" s="96" t="n">
        <v>47483</v>
      </c>
      <c r="J235" s="8" t="inlineStr">
        <is>
          <t>NZD</t>
        </is>
      </c>
      <c r="K235" s="97">
        <f>'Rate Inputs'!E245</f>
        <v/>
      </c>
      <c r="L235" s="97">
        <f>'Rate Inputs'!F245</f>
        <v/>
      </c>
      <c r="M235" s="98">
        <f>IF(OR($P235="Ready",$P235="FY26 provisional",$P235="FY26 secured"),IF($H235&lt;=DATE(2025,7,1),ROUNDUP($K235,-2),IF('Rate Inputs'!$J245="","",ROUNDUP(IF($H235&gt;DATE(2026,6,30),'Rate Inputs'!$J245,'Rate Inputs'!$J245*($H235-DATE(2025,7,1))/365+$K235*(DATE(2026,6,30)-$H235+1)/365),-2))),"")</f>
        <v/>
      </c>
      <c r="N235" s="98">
        <f>IF($P235="Ready",ROUNDUP(IFERROR($K235,0),-2),IF(OR($P235="FY26 provisional",$P235="FY26 secured"),"",0))</f>
        <v/>
      </c>
      <c r="O235" s="98">
        <f>IF($P235="Ready",IF('Rate Inputs'!$F245="","",ROUNDUP(IFERROR($L235,0),-2)),IF(OR($P235="FY26 provisional",$P235="FY26 secured"),"",0))</f>
        <v/>
      </c>
      <c r="P235" s="8" t="inlineStr">
        <is>
          <t>Ready</t>
        </is>
      </c>
      <c r="Q235" s="11" t="n"/>
    </row>
    <row r="236">
      <c r="A236" s="2" t="inlineStr">
        <is>
          <t>0001620723TGC3D</t>
        </is>
      </c>
      <c r="B236" s="8">
        <f t="array" ref="B236:E236">_xlfn.XLOOKUP(A236,'Site Register'!A:A,'Site Register'!B:E)</f>
        <v/>
      </c>
      <c r="C236" s="8" t="inlineStr">
        <is>
          <t>New Zealand</t>
        </is>
      </c>
      <c r="D236" s="8" t="inlineStr">
        <is>
          <t>South Island</t>
        </is>
      </c>
      <c r="E236" s="8" t="inlineStr">
        <is>
          <t>NZ NTOU Electricity</t>
        </is>
      </c>
      <c r="F236" s="8" t="inlineStr">
        <is>
          <t>kWh</t>
        </is>
      </c>
      <c r="G236" s="95" t="n">
        <v>1661.314432989691</v>
      </c>
      <c r="H236" s="96" t="n">
        <v>46388</v>
      </c>
      <c r="I236" s="96" t="n">
        <v>47483</v>
      </c>
      <c r="J236" s="8" t="inlineStr">
        <is>
          <t>NZD</t>
        </is>
      </c>
      <c r="K236" s="97">
        <f>'Rate Inputs'!E247</f>
        <v/>
      </c>
      <c r="L236" s="97">
        <f>'Rate Inputs'!F247</f>
        <v/>
      </c>
      <c r="M236" s="98">
        <f>IF(OR($P236="Ready",$P236="FY26 provisional",$P236="FY26 secured"),IF($H236&lt;=DATE(2025,7,1),ROUNDUP($K236,-2),IF('Rate Inputs'!$J247="","",ROUNDUP(IF($H236&gt;DATE(2026,6,30),'Rate Inputs'!$J247,'Rate Inputs'!$J247*($H236-DATE(2025,7,1))/365+$K236*(DATE(2026,6,30)-$H236+1)/365),-2))),"")</f>
        <v/>
      </c>
      <c r="N236" s="98">
        <f>IF($P236="Ready",ROUNDUP(IFERROR($K236,0),-2),IF(OR($P236="FY26 provisional",$P236="FY26 secured"),"",0))</f>
        <v/>
      </c>
      <c r="O236" s="98">
        <f>IF($P236="Ready",IF('Rate Inputs'!$F247="","",ROUNDUP(IFERROR($L236,0),-2)),IF(OR($P236="FY26 provisional",$P236="FY26 secured"),"",0))</f>
        <v/>
      </c>
      <c r="P236" s="8" t="inlineStr">
        <is>
          <t>Ready</t>
        </is>
      </c>
      <c r="Q236" s="11" t="n"/>
    </row>
    <row r="237">
      <c r="A237" s="2" t="inlineStr">
        <is>
          <t>0001702030PCB8A</t>
        </is>
      </c>
      <c r="B237" s="8">
        <f t="array" ref="B237:E237">_xlfn.XLOOKUP(A237,'Site Register'!A:A,'Site Register'!B:E)</f>
        <v/>
      </c>
      <c r="C237" s="8" t="inlineStr">
        <is>
          <t>New Zealand</t>
        </is>
      </c>
      <c r="D237" s="8" t="inlineStr">
        <is>
          <t>North Island</t>
        </is>
      </c>
      <c r="E237" s="8" t="inlineStr">
        <is>
          <t>NZ NTOU Electricity</t>
        </is>
      </c>
      <c r="F237" s="8" t="inlineStr">
        <is>
          <t>kWh</t>
        </is>
      </c>
      <c r="G237" s="95" t="n">
        <v>5360.236406619386</v>
      </c>
      <c r="H237" s="96" t="n">
        <v>46388</v>
      </c>
      <c r="I237" s="96" t="n">
        <v>47483</v>
      </c>
      <c r="J237" s="8" t="inlineStr">
        <is>
          <t>NZD</t>
        </is>
      </c>
      <c r="K237" s="97">
        <f>'Rate Inputs'!E248</f>
        <v/>
      </c>
      <c r="L237" s="97">
        <f>'Rate Inputs'!F248</f>
        <v/>
      </c>
      <c r="M237" s="98">
        <f>IF(OR($P237="Ready",$P237="FY26 provisional",$P237="FY26 secured"),IF($H237&lt;=DATE(2025,7,1),ROUNDUP($K237,-2),IF('Rate Inputs'!$J248="","",ROUNDUP(IF($H237&gt;DATE(2026,6,30),'Rate Inputs'!$J248,'Rate Inputs'!$J248*($H237-DATE(2025,7,1))/365+$K237*(DATE(2026,6,30)-$H237+1)/365),-2))),"")</f>
        <v/>
      </c>
      <c r="N237" s="98">
        <f>IF($P237="Ready",ROUNDUP(IFERROR($K237,0),-2),IF(OR($P237="FY26 provisional",$P237="FY26 secured"),"",0))</f>
        <v/>
      </c>
      <c r="O237" s="98">
        <f>IF($P237="Ready",IF('Rate Inputs'!$F248="","",ROUNDUP(IFERROR($L237,0),-2)),IF(OR($P237="FY26 provisional",$P237="FY26 secured"),"",0))</f>
        <v/>
      </c>
      <c r="P237" s="8" t="inlineStr">
        <is>
          <t>Ready</t>
        </is>
      </c>
      <c r="Q237" s="11" t="n"/>
    </row>
    <row r="238">
      <c r="A238" s="2" t="inlineStr">
        <is>
          <t>0001740830PC352</t>
        </is>
      </c>
      <c r="B238" s="8">
        <f t="array" ref="B238:E238">_xlfn.XLOOKUP(A238,'Site Register'!A:A,'Site Register'!B:E)</f>
        <v/>
      </c>
      <c r="C238" s="8" t="inlineStr">
        <is>
          <t>New Zealand</t>
        </is>
      </c>
      <c r="D238" s="8" t="inlineStr">
        <is>
          <t>North Island</t>
        </is>
      </c>
      <c r="E238" s="8" t="inlineStr">
        <is>
          <t>NZ NTOU Electricity</t>
        </is>
      </c>
      <c r="F238" s="8" t="inlineStr">
        <is>
          <t>kWh</t>
        </is>
      </c>
      <c r="G238" s="95" t="n">
        <v>6272.236842105263</v>
      </c>
      <c r="H238" s="96" t="n">
        <v>46388</v>
      </c>
      <c r="I238" s="96" t="n">
        <v>47483</v>
      </c>
      <c r="J238" s="8" t="inlineStr">
        <is>
          <t>NZD</t>
        </is>
      </c>
      <c r="K238" s="97">
        <f>'Rate Inputs'!E249</f>
        <v/>
      </c>
      <c r="L238" s="97">
        <f>'Rate Inputs'!F249</f>
        <v/>
      </c>
      <c r="M238" s="98">
        <f>IF(OR($P238="Ready",$P238="FY26 provisional",$P238="FY26 secured"),IF($H238&lt;=DATE(2025,7,1),ROUNDUP($K238,-2),IF('Rate Inputs'!$J249="","",ROUNDUP(IF($H238&gt;DATE(2026,6,30),'Rate Inputs'!$J249,'Rate Inputs'!$J249*($H238-DATE(2025,7,1))/365+$K238*(DATE(2026,6,30)-$H238+1)/365),-2))),"")</f>
        <v/>
      </c>
      <c r="N238" s="98">
        <f>IF($P238="Ready",ROUNDUP(IFERROR($K238,0),-2),IF(OR($P238="FY26 provisional",$P238="FY26 secured"),"",0))</f>
        <v/>
      </c>
      <c r="O238" s="98">
        <f>IF($P238="Ready",IF('Rate Inputs'!$F249="","",ROUNDUP(IFERROR($L238,0),-2)),IF(OR($P238="FY26 provisional",$P238="FY26 secured"),"",0))</f>
        <v/>
      </c>
      <c r="P238" s="8" t="inlineStr">
        <is>
          <t>Ready</t>
        </is>
      </c>
      <c r="Q238" s="11" t="n"/>
    </row>
    <row r="239">
      <c r="A239" s="2" t="inlineStr">
        <is>
          <t>0001742361PC751</t>
        </is>
      </c>
      <c r="B239" s="8">
        <f t="array" ref="B239:E239">_xlfn.XLOOKUP(A239,'Site Register'!A:A,'Site Register'!B:E)</f>
        <v/>
      </c>
      <c r="C239" s="8" t="inlineStr">
        <is>
          <t>New Zealand</t>
        </is>
      </c>
      <c r="D239" s="8" t="inlineStr">
        <is>
          <t>North Island</t>
        </is>
      </c>
      <c r="E239" s="8" t="inlineStr">
        <is>
          <t>NZ NTOU Electricity</t>
        </is>
      </c>
      <c r="F239" s="8" t="inlineStr">
        <is>
          <t>kWh</t>
        </is>
      </c>
      <c r="G239" s="95" t="n">
        <v>511831.8203309693</v>
      </c>
      <c r="H239" s="96" t="n">
        <v>46388</v>
      </c>
      <c r="I239" s="96" t="n">
        <v>47483</v>
      </c>
      <c r="J239" s="8" t="inlineStr">
        <is>
          <t>NZD</t>
        </is>
      </c>
      <c r="K239" s="97">
        <f>'Rate Inputs'!E250</f>
        <v/>
      </c>
      <c r="L239" s="97">
        <f>'Rate Inputs'!F250</f>
        <v/>
      </c>
      <c r="M239" s="98">
        <f>IF(OR($P239="Ready",$P239="FY26 provisional",$P239="FY26 secured"),IF($H239&lt;=DATE(2025,7,1),ROUNDUP($K239,-2),IF('Rate Inputs'!$J250="","",ROUNDUP(IF($H239&gt;DATE(2026,6,30),'Rate Inputs'!$J250,'Rate Inputs'!$J250*($H239-DATE(2025,7,1))/365+$K239*(DATE(2026,6,30)-$H239+1)/365),-2))),"")</f>
        <v/>
      </c>
      <c r="N239" s="98">
        <f>IF($P239="Ready",ROUNDUP(IFERROR($K239,0),-2),IF(OR($P239="FY26 provisional",$P239="FY26 secured"),"",0))</f>
        <v/>
      </c>
      <c r="O239" s="98">
        <f>IF($P239="Ready",IF('Rate Inputs'!$F250="","",ROUNDUP(IFERROR($L239,0),-2)),IF(OR($P239="FY26 provisional",$P239="FY26 secured"),"",0))</f>
        <v/>
      </c>
      <c r="P239" s="8" t="inlineStr">
        <is>
          <t>Ready</t>
        </is>
      </c>
      <c r="Q239" s="11" t="n"/>
    </row>
    <row r="240">
      <c r="A240" s="2" t="inlineStr">
        <is>
          <t>0001931780PCFE0</t>
        </is>
      </c>
      <c r="B240" s="8">
        <f t="array" ref="B240:E240">_xlfn.XLOOKUP(A240,'Site Register'!A:A,'Site Register'!B:E)</f>
        <v/>
      </c>
      <c r="C240" s="8" t="inlineStr">
        <is>
          <t>New Zealand</t>
        </is>
      </c>
      <c r="D240" s="8" t="inlineStr">
        <is>
          <t>North Island</t>
        </is>
      </c>
      <c r="E240" s="8" t="inlineStr">
        <is>
          <t>NZ NTOU Electricity</t>
        </is>
      </c>
      <c r="F240" s="8" t="inlineStr">
        <is>
          <t>kWh</t>
        </is>
      </c>
      <c r="G240" s="95" t="n">
        <v>6525.992907801419</v>
      </c>
      <c r="H240" s="96" t="n">
        <v>46388</v>
      </c>
      <c r="I240" s="96" t="n">
        <v>47483</v>
      </c>
      <c r="J240" s="8" t="inlineStr">
        <is>
          <t>NZD</t>
        </is>
      </c>
      <c r="K240" s="97">
        <f>'Rate Inputs'!E251</f>
        <v/>
      </c>
      <c r="L240" s="97">
        <f>'Rate Inputs'!F251</f>
        <v/>
      </c>
      <c r="M240" s="98">
        <f>IF(OR($P240="Ready",$P240="FY26 provisional",$P240="FY26 secured"),IF($H240&lt;=DATE(2025,7,1),ROUNDUP($K240,-2),IF('Rate Inputs'!$J251="","",ROUNDUP(IF($H240&gt;DATE(2026,6,30),'Rate Inputs'!$J251,'Rate Inputs'!$J251*($H240-DATE(2025,7,1))/365+$K240*(DATE(2026,6,30)-$H240+1)/365),-2))),"")</f>
        <v/>
      </c>
      <c r="N240" s="98">
        <f>IF($P240="Ready",ROUNDUP(IFERROR($K240,0),-2),IF(OR($P240="FY26 provisional",$P240="FY26 secured"),"",0))</f>
        <v/>
      </c>
      <c r="O240" s="98">
        <f>IF($P240="Ready",IF('Rate Inputs'!$F251="","",ROUNDUP(IFERROR($L240,0),-2)),IF(OR($P240="FY26 provisional",$P240="FY26 secured"),"",0))</f>
        <v/>
      </c>
      <c r="P240" s="8" t="inlineStr">
        <is>
          <t>Ready</t>
        </is>
      </c>
      <c r="Q240" s="11" t="n"/>
    </row>
    <row r="241">
      <c r="A241" s="2" t="inlineStr">
        <is>
          <t>0002105740WM96B</t>
        </is>
      </c>
      <c r="B241" s="8">
        <f t="array" ref="B241:E241">_xlfn.XLOOKUP(A241,'Site Register'!A:A,'Site Register'!B:E)</f>
        <v/>
      </c>
      <c r="C241" s="8" t="inlineStr">
        <is>
          <t>New Zealand</t>
        </is>
      </c>
      <c r="D241" s="8" t="inlineStr">
        <is>
          <t>North Island</t>
        </is>
      </c>
      <c r="E241" s="8" t="inlineStr">
        <is>
          <t>NZ NTOU Electricity</t>
        </is>
      </c>
      <c r="F241" s="8" t="inlineStr">
        <is>
          <t>kWh</t>
        </is>
      </c>
      <c r="G241" s="95" t="n">
        <v>4335.645569620253</v>
      </c>
      <c r="H241" s="96" t="n">
        <v>46388</v>
      </c>
      <c r="I241" s="96" t="n">
        <v>47483</v>
      </c>
      <c r="J241" s="8" t="inlineStr">
        <is>
          <t>NZD</t>
        </is>
      </c>
      <c r="K241" s="97">
        <f>'Rate Inputs'!E252</f>
        <v/>
      </c>
      <c r="L241" s="97">
        <f>'Rate Inputs'!F252</f>
        <v/>
      </c>
      <c r="M241" s="98">
        <f>IF(OR($P241="Ready",$P241="FY26 provisional",$P241="FY26 secured"),IF($H241&lt;=DATE(2025,7,1),ROUNDUP($K241,-2),IF('Rate Inputs'!$J252="","",ROUNDUP(IF($H241&gt;DATE(2026,6,30),'Rate Inputs'!$J252,'Rate Inputs'!$J252*($H241-DATE(2025,7,1))/365+$K241*(DATE(2026,6,30)-$H241+1)/365),-2))),"")</f>
        <v/>
      </c>
      <c r="N241" s="98">
        <f>IF($P241="Ready",ROUNDUP(IFERROR($K241,0),-2),IF(OR($P241="FY26 provisional",$P241="FY26 secured"),"",0))</f>
        <v/>
      </c>
      <c r="O241" s="98">
        <f>IF($P241="Ready",IF('Rate Inputs'!$F252="","",ROUNDUP(IFERROR($L241,0),-2)),IF(OR($P241="FY26 provisional",$P241="FY26 secured"),"",0))</f>
        <v/>
      </c>
      <c r="P241" s="8" t="inlineStr">
        <is>
          <t>Ready</t>
        </is>
      </c>
      <c r="Q241" s="11" t="n"/>
    </row>
    <row r="242">
      <c r="A242" s="2" t="inlineStr">
        <is>
          <t>0003140222AAD30</t>
        </is>
      </c>
      <c r="B242" s="8">
        <f t="array" ref="B242:E242">_xlfn.XLOOKUP(A242,'Site Register'!A:A,'Site Register'!B:E)</f>
        <v/>
      </c>
      <c r="C242" s="8" t="inlineStr">
        <is>
          <t>New Zealand</t>
        </is>
      </c>
      <c r="D242" s="8" t="inlineStr">
        <is>
          <t>North Island</t>
        </is>
      </c>
      <c r="E242" s="8" t="inlineStr">
        <is>
          <t>NZ NTOU Electricity</t>
        </is>
      </c>
      <c r="F242" s="8" t="inlineStr">
        <is>
          <t>kWh</t>
        </is>
      </c>
      <c r="G242" s="95" t="n">
        <v>16794.5625</v>
      </c>
      <c r="H242" s="96" t="n">
        <v>46388</v>
      </c>
      <c r="I242" s="96" t="n">
        <v>47483</v>
      </c>
      <c r="J242" s="8" t="inlineStr">
        <is>
          <t>NZD</t>
        </is>
      </c>
      <c r="K242" s="97">
        <f>'Rate Inputs'!E253</f>
        <v/>
      </c>
      <c r="L242" s="97">
        <f>'Rate Inputs'!F253</f>
        <v/>
      </c>
      <c r="M242" s="98">
        <f>IF(OR($P242="Ready",$P242="FY26 provisional",$P242="FY26 secured"),IF($H242&lt;=DATE(2025,7,1),ROUNDUP($K242,-2),IF('Rate Inputs'!$J253="","",ROUNDUP(IF($H242&gt;DATE(2026,6,30),'Rate Inputs'!$J253,'Rate Inputs'!$J253*($H242-DATE(2025,7,1))/365+$K242*(DATE(2026,6,30)-$H242+1)/365),-2))),"")</f>
        <v/>
      </c>
      <c r="N242" s="98">
        <f>IF($P242="Ready",ROUNDUP(IFERROR($K242,0),-2),IF(OR($P242="FY26 provisional",$P242="FY26 secured"),"",0))</f>
        <v/>
      </c>
      <c r="O242" s="98">
        <f>IF($P242="Ready",IF('Rate Inputs'!$F253="","",ROUNDUP(IFERROR($L242,0),-2)),IF(OR($P242="FY26 provisional",$P242="FY26 secured"),"",0))</f>
        <v/>
      </c>
      <c r="P242" s="8" t="inlineStr">
        <is>
          <t>Ready</t>
        </is>
      </c>
      <c r="Q242" s="11" t="n"/>
    </row>
    <row r="243">
      <c r="A243" s="2" t="inlineStr">
        <is>
          <t>0003860192TP8AB</t>
        </is>
      </c>
      <c r="B243" s="8">
        <f t="array" ref="B243:E243">_xlfn.XLOOKUP(A243,'Site Register'!A:A,'Site Register'!B:E)</f>
        <v/>
      </c>
      <c r="C243" s="8" t="inlineStr">
        <is>
          <t>New Zealand</t>
        </is>
      </c>
      <c r="D243" s="8" t="inlineStr">
        <is>
          <t>South Island</t>
        </is>
      </c>
      <c r="E243" s="8" t="inlineStr">
        <is>
          <t>NZ NTOU Electricity</t>
        </is>
      </c>
      <c r="F243" s="8" t="inlineStr">
        <is>
          <t>kWh</t>
        </is>
      </c>
      <c r="G243" s="95" t="n">
        <v>3579.243498817967</v>
      </c>
      <c r="H243" s="96" t="n">
        <v>46388</v>
      </c>
      <c r="I243" s="96" t="n">
        <v>47483</v>
      </c>
      <c r="J243" s="8" t="inlineStr">
        <is>
          <t>NZD</t>
        </is>
      </c>
      <c r="K243" s="97">
        <f>'Rate Inputs'!E254</f>
        <v/>
      </c>
      <c r="L243" s="97">
        <f>'Rate Inputs'!F254</f>
        <v/>
      </c>
      <c r="M243" s="98">
        <f>IF(OR($P243="Ready",$P243="FY26 provisional",$P243="FY26 secured"),IF($H243&lt;=DATE(2025,7,1),ROUNDUP($K243,-2),IF('Rate Inputs'!$J254="","",ROUNDUP(IF($H243&gt;DATE(2026,6,30),'Rate Inputs'!$J254,'Rate Inputs'!$J254*($H243-DATE(2025,7,1))/365+$K243*(DATE(2026,6,30)-$H243+1)/365),-2))),"")</f>
        <v/>
      </c>
      <c r="N243" s="98">
        <f>IF($P243="Ready",ROUNDUP(IFERROR($K243,0),-2),IF(OR($P243="FY26 provisional",$P243="FY26 secured"),"",0))</f>
        <v/>
      </c>
      <c r="O243" s="98">
        <f>IF($P243="Ready",IF('Rate Inputs'!$F254="","",ROUNDUP(IFERROR($L243,0),-2)),IF(OR($P243="FY26 provisional",$P243="FY26 secured"),"",0))</f>
        <v/>
      </c>
      <c r="P243" s="8" t="inlineStr">
        <is>
          <t>Ready</t>
        </is>
      </c>
      <c r="Q243" s="11" t="n"/>
    </row>
    <row r="244">
      <c r="A244" s="2" t="inlineStr">
        <is>
          <t>0004067806HB1B8</t>
        </is>
      </c>
      <c r="B244" s="8">
        <f t="array" ref="B244:E244">_xlfn.XLOOKUP(A244,'Site Register'!A:A,'Site Register'!B:E)</f>
        <v/>
      </c>
      <c r="C244" s="8" t="inlineStr">
        <is>
          <t>New Zealand</t>
        </is>
      </c>
      <c r="D244" s="8" t="inlineStr">
        <is>
          <t>North Island</t>
        </is>
      </c>
      <c r="E244" s="8" t="inlineStr">
        <is>
          <t>NZ NTOU Electricity</t>
        </is>
      </c>
      <c r="F244" s="8" t="inlineStr">
        <is>
          <t>kWh</t>
        </is>
      </c>
      <c r="G244" s="95" t="n">
        <v>5496.253164556962</v>
      </c>
      <c r="H244" s="96" t="n">
        <v>46388</v>
      </c>
      <c r="I244" s="96" t="n">
        <v>47483</v>
      </c>
      <c r="J244" s="8" t="inlineStr">
        <is>
          <t>NZD</t>
        </is>
      </c>
      <c r="K244" s="97">
        <f>'Rate Inputs'!E255</f>
        <v/>
      </c>
      <c r="L244" s="97">
        <f>'Rate Inputs'!F255</f>
        <v/>
      </c>
      <c r="M244" s="98">
        <f>IF(OR($P244="Ready",$P244="FY26 provisional",$P244="FY26 secured"),IF($H244&lt;=DATE(2025,7,1),ROUNDUP($K244,-2),IF('Rate Inputs'!$J255="","",ROUNDUP(IF($H244&gt;DATE(2026,6,30),'Rate Inputs'!$J255,'Rate Inputs'!$J255*($H244-DATE(2025,7,1))/365+$K244*(DATE(2026,6,30)-$H244+1)/365),-2))),"")</f>
        <v/>
      </c>
      <c r="N244" s="98">
        <f>IF($P244="Ready",ROUNDUP(IFERROR($K244,0),-2),IF(OR($P244="FY26 provisional",$P244="FY26 secured"),"",0))</f>
        <v/>
      </c>
      <c r="O244" s="98">
        <f>IF($P244="Ready",IF('Rate Inputs'!$F255="","",ROUNDUP(IFERROR($L244,0),-2)),IF(OR($P244="FY26 provisional",$P244="FY26 secured"),"",0))</f>
        <v/>
      </c>
      <c r="P244" s="8" t="inlineStr">
        <is>
          <t>Ready</t>
        </is>
      </c>
      <c r="Q244" s="11" t="n"/>
    </row>
    <row r="245">
      <c r="A245" s="2" t="inlineStr">
        <is>
          <t>0004620439TP3C6</t>
        </is>
      </c>
      <c r="B245" s="8">
        <f t="array" ref="B245:E245">_xlfn.XLOOKUP(A245,'Site Register'!A:A,'Site Register'!B:E)</f>
        <v/>
      </c>
      <c r="C245" s="8" t="inlineStr">
        <is>
          <t>New Zealand</t>
        </is>
      </c>
      <c r="D245" s="8" t="inlineStr">
        <is>
          <t>South Island</t>
        </is>
      </c>
      <c r="E245" s="8" t="inlineStr">
        <is>
          <t>NZ NTOU Electricity</t>
        </is>
      </c>
      <c r="F245" s="8" t="inlineStr">
        <is>
          <t>kWh</t>
        </is>
      </c>
      <c r="G245" s="95" t="n">
        <v>6594.713541666666</v>
      </c>
      <c r="H245" s="96" t="n">
        <v>46388</v>
      </c>
      <c r="I245" s="96" t="n">
        <v>47483</v>
      </c>
      <c r="J245" s="8" t="inlineStr">
        <is>
          <t>NZD</t>
        </is>
      </c>
      <c r="K245" s="97">
        <f>'Rate Inputs'!E256</f>
        <v/>
      </c>
      <c r="L245" s="97">
        <f>'Rate Inputs'!F256</f>
        <v/>
      </c>
      <c r="M245" s="98">
        <f>IF(OR($P245="Ready",$P245="FY26 provisional",$P245="FY26 secured"),IF($H245&lt;=DATE(2025,7,1),ROUNDUP($K245,-2),IF('Rate Inputs'!$J256="","",ROUNDUP(IF($H245&gt;DATE(2026,6,30),'Rate Inputs'!$J256,'Rate Inputs'!$J256*($H245-DATE(2025,7,1))/365+$K245*(DATE(2026,6,30)-$H245+1)/365),-2))),"")</f>
        <v/>
      </c>
      <c r="N245" s="98">
        <f>IF($P245="Ready",ROUNDUP(IFERROR($K245,0),-2),IF(OR($P245="FY26 provisional",$P245="FY26 secured"),"",0))</f>
        <v/>
      </c>
      <c r="O245" s="98">
        <f>IF($P245="Ready",IF('Rate Inputs'!$F256="","",ROUNDUP(IFERROR($L245,0),-2)),IF(OR($P245="FY26 provisional",$P245="FY26 secured"),"",0))</f>
        <v/>
      </c>
      <c r="P245" s="8" t="inlineStr">
        <is>
          <t>Ready</t>
        </is>
      </c>
      <c r="Q245" s="11" t="n"/>
    </row>
    <row r="246">
      <c r="A246" s="2" t="inlineStr">
        <is>
          <t>0004670663ALAA1</t>
        </is>
      </c>
      <c r="B246" s="8">
        <f t="array" ref="B246:E246">_xlfn.XLOOKUP(A246,'Site Register'!A:A,'Site Register'!B:E)</f>
        <v/>
      </c>
      <c r="C246" s="8" t="inlineStr">
        <is>
          <t>New Zealand</t>
        </is>
      </c>
      <c r="D246" s="8" t="inlineStr">
        <is>
          <t>South Island</t>
        </is>
      </c>
      <c r="E246" s="8" t="inlineStr">
        <is>
          <t>NZ NTOU Electricity</t>
        </is>
      </c>
      <c r="F246" s="8" t="inlineStr">
        <is>
          <t>kWh</t>
        </is>
      </c>
      <c r="G246" s="95" t="n">
        <v>66562.80722891566</v>
      </c>
      <c r="H246" s="96" t="n">
        <v>46388</v>
      </c>
      <c r="I246" s="96" t="n">
        <v>47483</v>
      </c>
      <c r="J246" s="8" t="inlineStr">
        <is>
          <t>NZD</t>
        </is>
      </c>
      <c r="K246" s="97">
        <f>'Rate Inputs'!E257</f>
        <v/>
      </c>
      <c r="L246" s="97">
        <f>'Rate Inputs'!F257</f>
        <v/>
      </c>
      <c r="M246" s="98">
        <f>IF(OR($P246="Ready",$P246="FY26 provisional",$P246="FY26 secured"),IF($H246&lt;=DATE(2025,7,1),ROUNDUP($K246,-2),IF('Rate Inputs'!$J257="","",ROUNDUP(IF($H246&gt;DATE(2026,6,30),'Rate Inputs'!$J257,'Rate Inputs'!$J257*($H246-DATE(2025,7,1))/365+$K246*(DATE(2026,6,30)-$H246+1)/365),-2))),"")</f>
        <v/>
      </c>
      <c r="N246" s="98">
        <f>IF($P246="Ready",ROUNDUP(IFERROR($K246,0),-2),IF(OR($P246="FY26 provisional",$P246="FY26 secured"),"",0))</f>
        <v/>
      </c>
      <c r="O246" s="98">
        <f>IF($P246="Ready",IF('Rate Inputs'!$F257="","",ROUNDUP(IFERROR($L246,0),-2)),IF(OR($P246="FY26 provisional",$P246="FY26 secured"),"",0))</f>
        <v/>
      </c>
      <c r="P246" s="8" t="inlineStr">
        <is>
          <t>Ready</t>
        </is>
      </c>
      <c r="Q246" s="11" t="n"/>
    </row>
    <row r="247">
      <c r="A247" s="2" t="inlineStr">
        <is>
          <t>0005302990ENBEF</t>
        </is>
      </c>
      <c r="B247" s="8">
        <f t="array" ref="B247:E247">_xlfn.XLOOKUP(A247,'Site Register'!A:A,'Site Register'!B:E)</f>
        <v/>
      </c>
      <c r="C247" s="8" t="inlineStr">
        <is>
          <t>New Zealand</t>
        </is>
      </c>
      <c r="D247" s="8" t="inlineStr">
        <is>
          <t>North Island</t>
        </is>
      </c>
      <c r="E247" s="8" t="inlineStr">
        <is>
          <t>NZ NTOU Electricity</t>
        </is>
      </c>
      <c r="F247" s="8" t="inlineStr">
        <is>
          <t>kWh</t>
        </is>
      </c>
      <c r="G247" s="95" t="n">
        <v>4999.228855721393</v>
      </c>
      <c r="H247" s="96" t="n">
        <v>46388</v>
      </c>
      <c r="I247" s="96" t="n">
        <v>47483</v>
      </c>
      <c r="J247" s="8" t="inlineStr">
        <is>
          <t>NZD</t>
        </is>
      </c>
      <c r="K247" s="97">
        <f>'Rate Inputs'!E258</f>
        <v/>
      </c>
      <c r="L247" s="97">
        <f>'Rate Inputs'!F258</f>
        <v/>
      </c>
      <c r="M247" s="98">
        <f>IF(OR($P247="Ready",$P247="FY26 provisional",$P247="FY26 secured"),IF($H247&lt;=DATE(2025,7,1),ROUNDUP($K247,-2),IF('Rate Inputs'!$J258="","",ROUNDUP(IF($H247&gt;DATE(2026,6,30),'Rate Inputs'!$J258,'Rate Inputs'!$J258*($H247-DATE(2025,7,1))/365+$K247*(DATE(2026,6,30)-$H247+1)/365),-2))),"")</f>
        <v/>
      </c>
      <c r="N247" s="98">
        <f>IF($P247="Ready",ROUNDUP(IFERROR($K247,0),-2),IF(OR($P247="FY26 provisional",$P247="FY26 secured"),"",0))</f>
        <v/>
      </c>
      <c r="O247" s="98">
        <f>IF($P247="Ready",IF('Rate Inputs'!$F258="","",ROUNDUP(IFERROR($L247,0),-2)),IF(OR($P247="FY26 provisional",$P247="FY26 secured"),"",0))</f>
        <v/>
      </c>
      <c r="P247" s="8" t="inlineStr">
        <is>
          <t>Ready</t>
        </is>
      </c>
      <c r="Q247" s="11" t="n"/>
    </row>
    <row r="248">
      <c r="A248" s="2" t="inlineStr">
        <is>
          <t>0006725275TUA67</t>
        </is>
      </c>
      <c r="B248" s="8">
        <f t="array" ref="B248:E248">_xlfn.XLOOKUP(A248,'Site Register'!A:A,'Site Register'!B:E)</f>
        <v/>
      </c>
      <c r="C248" s="8" t="inlineStr">
        <is>
          <t>New Zealand</t>
        </is>
      </c>
      <c r="D248" s="8" t="inlineStr">
        <is>
          <t>North Island</t>
        </is>
      </c>
      <c r="E248" s="8" t="inlineStr">
        <is>
          <t>NZ NTOU Electricity</t>
        </is>
      </c>
      <c r="F248" s="8" t="inlineStr">
        <is>
          <t>kWh</t>
        </is>
      </c>
      <c r="G248" s="95" t="n">
        <v>1801.138014527845</v>
      </c>
      <c r="H248" s="96" t="n">
        <v>46388</v>
      </c>
      <c r="I248" s="96" t="n">
        <v>47483</v>
      </c>
      <c r="J248" s="8" t="inlineStr">
        <is>
          <t>NZD</t>
        </is>
      </c>
      <c r="K248" s="97">
        <f>'Rate Inputs'!E260</f>
        <v/>
      </c>
      <c r="L248" s="97">
        <f>'Rate Inputs'!F260</f>
        <v/>
      </c>
      <c r="M248" s="98">
        <f>IF(OR($P248="Ready",$P248="FY26 provisional",$P248="FY26 secured"),IF($H248&lt;=DATE(2025,7,1),ROUNDUP($K248,-2),IF('Rate Inputs'!$J260="","",ROUNDUP(IF($H248&gt;DATE(2026,6,30),'Rate Inputs'!$J260,'Rate Inputs'!$J260*($H248-DATE(2025,7,1))/365+$K248*(DATE(2026,6,30)-$H248+1)/365),-2))),"")</f>
        <v/>
      </c>
      <c r="N248" s="98">
        <f>IF($P248="Ready",ROUNDUP(IFERROR($K248,0),-2),IF(OR($P248="FY26 provisional",$P248="FY26 secured"),"",0))</f>
        <v/>
      </c>
      <c r="O248" s="98">
        <f>IF($P248="Ready",IF('Rate Inputs'!$F260="","",ROUNDUP(IFERROR($L248,0),-2)),IF(OR($P248="FY26 provisional",$P248="FY26 secured"),"",0))</f>
        <v/>
      </c>
      <c r="P248" s="8" t="inlineStr">
        <is>
          <t>Ready</t>
        </is>
      </c>
      <c r="Q248" s="11" t="n"/>
    </row>
    <row r="249">
      <c r="A249" s="2" t="inlineStr">
        <is>
          <t>0007109860WM4E3</t>
        </is>
      </c>
      <c r="B249" s="8">
        <f t="array" ref="B249:E249">_xlfn.XLOOKUP(A249,'Site Register'!A:A,'Site Register'!B:E)</f>
        <v/>
      </c>
      <c r="C249" s="8" t="inlineStr">
        <is>
          <t>New Zealand</t>
        </is>
      </c>
      <c r="D249" s="8" t="inlineStr">
        <is>
          <t>North Island</t>
        </is>
      </c>
      <c r="E249" s="8" t="inlineStr">
        <is>
          <t>NZ NTOU Electricity</t>
        </is>
      </c>
      <c r="F249" s="8" t="inlineStr">
        <is>
          <t>kWh</t>
        </is>
      </c>
      <c r="G249" s="95" t="n">
        <v>56751.02836879432</v>
      </c>
      <c r="H249" s="96" t="n">
        <v>46388</v>
      </c>
      <c r="I249" s="96" t="n">
        <v>47483</v>
      </c>
      <c r="J249" s="8" t="inlineStr">
        <is>
          <t>NZD</t>
        </is>
      </c>
      <c r="K249" s="97">
        <f>'Rate Inputs'!E262</f>
        <v/>
      </c>
      <c r="L249" s="97">
        <f>'Rate Inputs'!F262</f>
        <v/>
      </c>
      <c r="M249" s="98">
        <f>IF(OR($P249="Ready",$P249="FY26 provisional",$P249="FY26 secured"),IF($H249&lt;=DATE(2025,7,1),ROUNDUP($K249,-2),IF('Rate Inputs'!$J262="","",ROUNDUP(IF($H249&gt;DATE(2026,6,30),'Rate Inputs'!$J262,'Rate Inputs'!$J262*($H249-DATE(2025,7,1))/365+$K249*(DATE(2026,6,30)-$H249+1)/365),-2))),"")</f>
        <v/>
      </c>
      <c r="N249" s="98">
        <f>IF($P249="Ready",ROUNDUP(IFERROR($K249,0),-2),IF(OR($P249="FY26 provisional",$P249="FY26 secured"),"",0))</f>
        <v/>
      </c>
      <c r="O249" s="98">
        <f>IF($P249="Ready",IF('Rate Inputs'!$F262="","",ROUNDUP(IFERROR($L249,0),-2)),IF(OR($P249="FY26 provisional",$P249="FY26 secured"),"",0))</f>
        <v/>
      </c>
      <c r="P249" s="8" t="inlineStr">
        <is>
          <t>Ready</t>
        </is>
      </c>
      <c r="Q249" s="11" t="n"/>
    </row>
    <row r="250">
      <c r="A250" s="2" t="inlineStr">
        <is>
          <t>0007114916TUD0B</t>
        </is>
      </c>
      <c r="B250" s="8">
        <f t="array" ref="B250:E250">_xlfn.XLOOKUP(A250,'Site Register'!A:A,'Site Register'!B:E)</f>
        <v/>
      </c>
      <c r="C250" s="8" t="inlineStr">
        <is>
          <t>New Zealand</t>
        </is>
      </c>
      <c r="D250" s="8" t="inlineStr">
        <is>
          <t>North Island</t>
        </is>
      </c>
      <c r="E250" s="8" t="inlineStr">
        <is>
          <t>NZ NTOU Electricity</t>
        </is>
      </c>
      <c r="F250" s="8" t="inlineStr">
        <is>
          <t>kWh</t>
        </is>
      </c>
      <c r="G250" s="95" t="n">
        <v>6357.730496453901</v>
      </c>
      <c r="H250" s="96" t="n">
        <v>46388</v>
      </c>
      <c r="I250" s="96" t="n">
        <v>47483</v>
      </c>
      <c r="J250" s="8" t="inlineStr">
        <is>
          <t>NZD</t>
        </is>
      </c>
      <c r="K250" s="97">
        <f>'Rate Inputs'!E263</f>
        <v/>
      </c>
      <c r="L250" s="97">
        <f>'Rate Inputs'!F263</f>
        <v/>
      </c>
      <c r="M250" s="98">
        <f>IF(OR($P250="Ready",$P250="FY26 provisional",$P250="FY26 secured"),IF($H250&lt;=DATE(2025,7,1),ROUNDUP($K250,-2),IF('Rate Inputs'!$J263="","",ROUNDUP(IF($H250&gt;DATE(2026,6,30),'Rate Inputs'!$J263,'Rate Inputs'!$J263*($H250-DATE(2025,7,1))/365+$K250*(DATE(2026,6,30)-$H250+1)/365),-2))),"")</f>
        <v/>
      </c>
      <c r="N250" s="98">
        <f>IF($P250="Ready",ROUNDUP(IFERROR($K250,0),-2),IF(OR($P250="FY26 provisional",$P250="FY26 secured"),"",0))</f>
        <v/>
      </c>
      <c r="O250" s="98">
        <f>IF($P250="Ready",IF('Rate Inputs'!$F263="","",ROUNDUP(IFERROR($L250,0),-2)),IF(OR($P250="FY26 provisional",$P250="FY26 secured"),"",0))</f>
        <v/>
      </c>
      <c r="P250" s="8" t="inlineStr">
        <is>
          <t>Ready</t>
        </is>
      </c>
      <c r="Q250" s="11" t="n"/>
    </row>
    <row r="251">
      <c r="A251" s="2" t="inlineStr">
        <is>
          <t>0007118408RN645</t>
        </is>
      </c>
      <c r="B251" s="8">
        <f t="array" ref="B251:E251">_xlfn.XLOOKUP(A251,'Site Register'!A:A,'Site Register'!B:E)</f>
        <v/>
      </c>
      <c r="C251" s="8" t="inlineStr">
        <is>
          <t>New Zealand</t>
        </is>
      </c>
      <c r="D251" s="8" t="inlineStr">
        <is>
          <t>South Island</t>
        </is>
      </c>
      <c r="E251" s="8" t="inlineStr">
        <is>
          <t>NZ NTOU Electricity</t>
        </is>
      </c>
      <c r="F251" s="8" t="inlineStr">
        <is>
          <t>kWh</t>
        </is>
      </c>
      <c r="G251" s="95" t="n">
        <v>281187.1985815603</v>
      </c>
      <c r="H251" s="96" t="n">
        <v>46388</v>
      </c>
      <c r="I251" s="96" t="n">
        <v>47483</v>
      </c>
      <c r="J251" s="8" t="inlineStr">
        <is>
          <t>NZD</t>
        </is>
      </c>
      <c r="K251" s="97">
        <f>'Rate Inputs'!E264</f>
        <v/>
      </c>
      <c r="L251" s="97">
        <f>'Rate Inputs'!F264</f>
        <v/>
      </c>
      <c r="M251" s="98">
        <f>IF(OR($P251="Ready",$P251="FY26 provisional",$P251="FY26 secured"),IF($H251&lt;=DATE(2025,7,1),ROUNDUP($K251,-2),IF('Rate Inputs'!$J264="","",ROUNDUP(IF($H251&gt;DATE(2026,6,30),'Rate Inputs'!$J264,'Rate Inputs'!$J264*($H251-DATE(2025,7,1))/365+$K251*(DATE(2026,6,30)-$H251+1)/365),-2))),"")</f>
        <v/>
      </c>
      <c r="N251" s="98">
        <f>IF($P251="Ready",ROUNDUP(IFERROR($K251,0),-2),IF(OR($P251="FY26 provisional",$P251="FY26 secured"),"",0))</f>
        <v/>
      </c>
      <c r="O251" s="98">
        <f>IF($P251="Ready",IF('Rate Inputs'!$F264="","",ROUNDUP(IFERROR($L251,0),-2)),IF(OR($P251="FY26 provisional",$P251="FY26 secured"),"",0))</f>
        <v/>
      </c>
      <c r="P251" s="8" t="inlineStr">
        <is>
          <t>Ready</t>
        </is>
      </c>
      <c r="Q251" s="11" t="n"/>
    </row>
    <row r="252">
      <c r="A252" s="2" t="inlineStr">
        <is>
          <t>0007131142RN619</t>
        </is>
      </c>
      <c r="B252" s="8">
        <f t="array" ref="B252:E252">_xlfn.XLOOKUP(A252,'Site Register'!A:A,'Site Register'!B:E)</f>
        <v/>
      </c>
      <c r="C252" s="8" t="inlineStr">
        <is>
          <t>New Zealand</t>
        </is>
      </c>
      <c r="D252" s="8" t="inlineStr">
        <is>
          <t>South Island</t>
        </is>
      </c>
      <c r="E252" s="8" t="inlineStr">
        <is>
          <t>NZ NTOU Electricity</t>
        </is>
      </c>
      <c r="F252" s="8" t="inlineStr">
        <is>
          <t>kWh</t>
        </is>
      </c>
      <c r="G252" s="95" t="n">
        <v>14387.7304964539</v>
      </c>
      <c r="H252" s="96" t="n">
        <v>46388</v>
      </c>
      <c r="I252" s="96" t="n">
        <v>47483</v>
      </c>
      <c r="J252" s="8" t="inlineStr">
        <is>
          <t>NZD</t>
        </is>
      </c>
      <c r="K252" s="97">
        <f>'Rate Inputs'!E265</f>
        <v/>
      </c>
      <c r="L252" s="97">
        <f>'Rate Inputs'!F265</f>
        <v/>
      </c>
      <c r="M252" s="98">
        <f>IF(OR($P252="Ready",$P252="FY26 provisional",$P252="FY26 secured"),IF($H252&lt;=DATE(2025,7,1),ROUNDUP($K252,-2),IF('Rate Inputs'!$J265="","",ROUNDUP(IF($H252&gt;DATE(2026,6,30),'Rate Inputs'!$J265,'Rate Inputs'!$J265*($H252-DATE(2025,7,1))/365+$K252*(DATE(2026,6,30)-$H252+1)/365),-2))),"")</f>
        <v/>
      </c>
      <c r="N252" s="98">
        <f>IF($P252="Ready",ROUNDUP(IFERROR($K252,0),-2),IF(OR($P252="FY26 provisional",$P252="FY26 secured"),"",0))</f>
        <v/>
      </c>
      <c r="O252" s="98">
        <f>IF($P252="Ready",IF('Rate Inputs'!$F265="","",ROUNDUP(IFERROR($L252,0),-2)),IF(OR($P252="FY26 provisional",$P252="FY26 secured"),"",0))</f>
        <v/>
      </c>
      <c r="P252" s="8" t="inlineStr">
        <is>
          <t>Ready</t>
        </is>
      </c>
      <c r="Q252" s="11" t="n"/>
    </row>
    <row r="253">
      <c r="A253" s="2" t="inlineStr">
        <is>
          <t>0007143106RNC4F</t>
        </is>
      </c>
      <c r="B253" s="8">
        <f t="array" ref="B253:E253">_xlfn.XLOOKUP(A253,'Site Register'!A:A,'Site Register'!B:E)</f>
        <v/>
      </c>
      <c r="C253" s="8" t="inlineStr">
        <is>
          <t>New Zealand</t>
        </is>
      </c>
      <c r="D253" s="8" t="inlineStr">
        <is>
          <t>South Island</t>
        </is>
      </c>
      <c r="E253" s="8" t="inlineStr">
        <is>
          <t>NZ NTOU Electricity</t>
        </is>
      </c>
      <c r="F253" s="8" t="inlineStr">
        <is>
          <t>kWh</t>
        </is>
      </c>
      <c r="G253" s="95" t="n">
        <v>192285.9692671395</v>
      </c>
      <c r="H253" s="96" t="n">
        <v>46388</v>
      </c>
      <c r="I253" s="96" t="n">
        <v>47483</v>
      </c>
      <c r="J253" s="8" t="inlineStr">
        <is>
          <t>NZD</t>
        </is>
      </c>
      <c r="K253" s="97">
        <f>'Rate Inputs'!E266</f>
        <v/>
      </c>
      <c r="L253" s="97">
        <f>'Rate Inputs'!F266</f>
        <v/>
      </c>
      <c r="M253" s="98">
        <f>IF(OR($P253="Ready",$P253="FY26 provisional",$P253="FY26 secured"),IF($H253&lt;=DATE(2025,7,1),ROUNDUP($K253,-2),IF('Rate Inputs'!$J266="","",ROUNDUP(IF($H253&gt;DATE(2026,6,30),'Rate Inputs'!$J266,'Rate Inputs'!$J266*($H253-DATE(2025,7,1))/365+$K253*(DATE(2026,6,30)-$H253+1)/365),-2))),"")</f>
        <v/>
      </c>
      <c r="N253" s="98">
        <f>IF($P253="Ready",ROUNDUP(IFERROR($K253,0),-2),IF(OR($P253="FY26 provisional",$P253="FY26 secured"),"",0))</f>
        <v/>
      </c>
      <c r="O253" s="98">
        <f>IF($P253="Ready",IF('Rate Inputs'!$F266="","",ROUNDUP(IFERROR($L253,0),-2)),IF(OR($P253="FY26 provisional",$P253="FY26 secured"),"",0))</f>
        <v/>
      </c>
      <c r="P253" s="8" t="inlineStr">
        <is>
          <t>Ready</t>
        </is>
      </c>
      <c r="Q253" s="11" t="n"/>
    </row>
    <row r="254">
      <c r="A254" s="2" t="inlineStr">
        <is>
          <t>0007194919RN100</t>
        </is>
      </c>
      <c r="B254" s="8">
        <f t="array" ref="B254:E254">_xlfn.XLOOKUP(A254,'Site Register'!A:A,'Site Register'!B:E)</f>
        <v/>
      </c>
      <c r="C254" s="8" t="inlineStr">
        <is>
          <t>New Zealand</t>
        </is>
      </c>
      <c r="D254" s="8" t="inlineStr">
        <is>
          <t>South Island</t>
        </is>
      </c>
      <c r="E254" s="8" t="inlineStr">
        <is>
          <t>NZ NTOU Electricity</t>
        </is>
      </c>
      <c r="F254" s="8" t="inlineStr">
        <is>
          <t>kWh</t>
        </is>
      </c>
      <c r="G254" s="95" t="n">
        <v>1787.895981087471</v>
      </c>
      <c r="H254" s="96" t="n">
        <v>46388</v>
      </c>
      <c r="I254" s="96" t="n">
        <v>47483</v>
      </c>
      <c r="J254" s="8" t="inlineStr">
        <is>
          <t>NZD</t>
        </is>
      </c>
      <c r="K254" s="97">
        <f>'Rate Inputs'!E270</f>
        <v/>
      </c>
      <c r="L254" s="97">
        <f>'Rate Inputs'!F270</f>
        <v/>
      </c>
      <c r="M254" s="98">
        <f>IF(OR($P254="Ready",$P254="FY26 provisional",$P254="FY26 secured"),IF($H254&lt;=DATE(2025,7,1),ROUNDUP($K254,-2),IF('Rate Inputs'!$J270="","",ROUNDUP(IF($H254&gt;DATE(2026,6,30),'Rate Inputs'!$J270,'Rate Inputs'!$J270*($H254-DATE(2025,7,1))/365+$K254*(DATE(2026,6,30)-$H254+1)/365),-2))),"")</f>
        <v/>
      </c>
      <c r="N254" s="98">
        <f>IF($P254="Ready",ROUNDUP(IFERROR($K254,0),-2),IF(OR($P254="FY26 provisional",$P254="FY26 secured"),"",0))</f>
        <v/>
      </c>
      <c r="O254" s="98">
        <f>IF($P254="Ready",IF('Rate Inputs'!$F270="","",ROUNDUP(IFERROR($L254,0),-2)),IF(OR($P254="FY26 provisional",$P254="FY26 secured"),"",0))</f>
        <v/>
      </c>
      <c r="P254" s="8" t="inlineStr">
        <is>
          <t>Ready</t>
        </is>
      </c>
      <c r="Q254" s="11" t="n"/>
    </row>
    <row r="255">
      <c r="A255" s="2" t="inlineStr">
        <is>
          <t>0007392206ALC3A</t>
        </is>
      </c>
      <c r="B255" s="8">
        <f t="array" ref="B255:E255">_xlfn.XLOOKUP(A255,'Site Register'!A:A,'Site Register'!B:E)</f>
        <v/>
      </c>
      <c r="C255" s="8" t="inlineStr">
        <is>
          <t>New Zealand</t>
        </is>
      </c>
      <c r="D255" s="8" t="inlineStr">
        <is>
          <t>South Island</t>
        </is>
      </c>
      <c r="E255" s="8" t="inlineStr">
        <is>
          <t>NZ NTOU Electricity</t>
        </is>
      </c>
      <c r="F255" s="8" t="inlineStr">
        <is>
          <t>kWh</t>
        </is>
      </c>
      <c r="G255" s="95" t="n">
        <v>13291.86761229314</v>
      </c>
      <c r="H255" s="96" t="n">
        <v>46388</v>
      </c>
      <c r="I255" s="96" t="n">
        <v>47483</v>
      </c>
      <c r="J255" s="8" t="inlineStr">
        <is>
          <t>NZD</t>
        </is>
      </c>
      <c r="K255" s="97">
        <f>'Rate Inputs'!E272</f>
        <v/>
      </c>
      <c r="L255" s="97">
        <f>'Rate Inputs'!F272</f>
        <v/>
      </c>
      <c r="M255" s="98">
        <f>IF(OR($P255="Ready",$P255="FY26 provisional",$P255="FY26 secured"),IF($H255&lt;=DATE(2025,7,1),ROUNDUP($K255,-2),IF('Rate Inputs'!$J272="","",ROUNDUP(IF($H255&gt;DATE(2026,6,30),'Rate Inputs'!$J272,'Rate Inputs'!$J272*($H255-DATE(2025,7,1))/365+$K255*(DATE(2026,6,30)-$H255+1)/365),-2))),"")</f>
        <v/>
      </c>
      <c r="N255" s="98">
        <f>IF($P255="Ready",ROUNDUP(IFERROR($K255,0),-2),IF(OR($P255="FY26 provisional",$P255="FY26 secured"),"",0))</f>
        <v/>
      </c>
      <c r="O255" s="98">
        <f>IF($P255="Ready",IF('Rate Inputs'!$F272="","",ROUNDUP(IFERROR($L255,0),-2)),IF(OR($P255="FY26 provisional",$P255="FY26 secured"),"",0))</f>
        <v/>
      </c>
      <c r="P255" s="8" t="inlineStr">
        <is>
          <t>Ready</t>
        </is>
      </c>
      <c r="Q255" s="11" t="n"/>
    </row>
    <row r="256">
      <c r="A256" s="2" t="inlineStr">
        <is>
          <t>0007731600WM053</t>
        </is>
      </c>
      <c r="B256" s="8">
        <f t="array" ref="B256:E256">_xlfn.XLOOKUP(A256,'Site Register'!A:A,'Site Register'!B:E)</f>
        <v/>
      </c>
      <c r="C256" s="8" t="inlineStr">
        <is>
          <t>New Zealand</t>
        </is>
      </c>
      <c r="D256" s="8" t="inlineStr">
        <is>
          <t>North Island</t>
        </is>
      </c>
      <c r="E256" s="8" t="inlineStr">
        <is>
          <t>NZ NTOU Electricity</t>
        </is>
      </c>
      <c r="F256" s="8" t="inlineStr">
        <is>
          <t>kWh</t>
        </is>
      </c>
      <c r="G256" s="95" t="n">
        <v>3121.052009456265</v>
      </c>
      <c r="H256" s="96" t="n">
        <v>46388</v>
      </c>
      <c r="I256" s="96" t="n">
        <v>47483</v>
      </c>
      <c r="J256" s="8" t="inlineStr">
        <is>
          <t>NZD</t>
        </is>
      </c>
      <c r="K256" s="97">
        <f>'Rate Inputs'!E273</f>
        <v/>
      </c>
      <c r="L256" s="97">
        <f>'Rate Inputs'!F273</f>
        <v/>
      </c>
      <c r="M256" s="98">
        <f>IF(OR($P256="Ready",$P256="FY26 provisional",$P256="FY26 secured"),IF($H256&lt;=DATE(2025,7,1),ROUNDUP($K256,-2),IF('Rate Inputs'!$J273="","",ROUNDUP(IF($H256&gt;DATE(2026,6,30),'Rate Inputs'!$J273,'Rate Inputs'!$J273*($H256-DATE(2025,7,1))/365+$K256*(DATE(2026,6,30)-$H256+1)/365),-2))),"")</f>
        <v/>
      </c>
      <c r="N256" s="98">
        <f>IF($P256="Ready",ROUNDUP(IFERROR($K256,0),-2),IF(OR($P256="FY26 provisional",$P256="FY26 secured"),"",0))</f>
        <v/>
      </c>
      <c r="O256" s="98">
        <f>IF($P256="Ready",IF('Rate Inputs'!$F273="","",ROUNDUP(IFERROR($L256,0),-2)),IF(OR($P256="FY26 provisional",$P256="FY26 secured"),"",0))</f>
        <v/>
      </c>
      <c r="P256" s="8" t="inlineStr">
        <is>
          <t>Ready</t>
        </is>
      </c>
      <c r="Q256" s="11" t="n"/>
    </row>
    <row r="257">
      <c r="A257" s="2" t="inlineStr">
        <is>
          <t>0007821200WMAC9</t>
        </is>
      </c>
      <c r="B257" s="8">
        <f t="array" ref="B257:E257">_xlfn.XLOOKUP(A257,'Site Register'!A:A,'Site Register'!B:E)</f>
        <v/>
      </c>
      <c r="C257" s="8" t="inlineStr">
        <is>
          <t>New Zealand</t>
        </is>
      </c>
      <c r="D257" s="8" t="inlineStr">
        <is>
          <t>North Island</t>
        </is>
      </c>
      <c r="E257" s="8" t="inlineStr">
        <is>
          <t>NZ NTOU Electricity</t>
        </is>
      </c>
      <c r="F257" s="8" t="inlineStr">
        <is>
          <t>kWh</t>
        </is>
      </c>
      <c r="G257" s="95" t="n">
        <v>5713.514851485149</v>
      </c>
      <c r="H257" s="96" t="n">
        <v>46388</v>
      </c>
      <c r="I257" s="96" t="n">
        <v>47483</v>
      </c>
      <c r="J257" s="8" t="inlineStr">
        <is>
          <t>NZD</t>
        </is>
      </c>
      <c r="K257" s="97">
        <f>'Rate Inputs'!E274</f>
        <v/>
      </c>
      <c r="L257" s="97">
        <f>'Rate Inputs'!F274</f>
        <v/>
      </c>
      <c r="M257" s="98">
        <f>IF(OR($P257="Ready",$P257="FY26 provisional",$P257="FY26 secured"),IF($H257&lt;=DATE(2025,7,1),ROUNDUP($K257,-2),IF('Rate Inputs'!$J274="","",ROUNDUP(IF($H257&gt;DATE(2026,6,30),'Rate Inputs'!$J274,'Rate Inputs'!$J274*($H257-DATE(2025,7,1))/365+$K257*(DATE(2026,6,30)-$H257+1)/365),-2))),"")</f>
        <v/>
      </c>
      <c r="N257" s="98">
        <f>IF($P257="Ready",ROUNDUP(IFERROR($K257,0),-2),IF(OR($P257="FY26 provisional",$P257="FY26 secured"),"",0))</f>
        <v/>
      </c>
      <c r="O257" s="98">
        <f>IF($P257="Ready",IF('Rate Inputs'!$F274="","",ROUNDUP(IFERROR($L257,0),-2)),IF(OR($P257="FY26 provisional",$P257="FY26 secured"),"",0))</f>
        <v/>
      </c>
      <c r="P257" s="8" t="inlineStr">
        <is>
          <t>Ready</t>
        </is>
      </c>
      <c r="Q257" s="11" t="n"/>
    </row>
    <row r="258">
      <c r="A258" s="2" t="inlineStr">
        <is>
          <t>0008803763NV80A</t>
        </is>
      </c>
      <c r="B258" s="8">
        <f t="array" ref="B258:E258">_xlfn.XLOOKUP(A258,'Site Register'!A:A,'Site Register'!B:E)</f>
        <v/>
      </c>
      <c r="C258" s="8" t="inlineStr">
        <is>
          <t>New Zealand</t>
        </is>
      </c>
      <c r="D258" s="8" t="inlineStr">
        <is>
          <t>South Island</t>
        </is>
      </c>
      <c r="E258" s="8" t="inlineStr">
        <is>
          <t>NZ NTOU Electricity</t>
        </is>
      </c>
      <c r="F258" s="8" t="inlineStr">
        <is>
          <t>kWh</t>
        </is>
      </c>
      <c r="G258" s="95" t="n">
        <v>148068.3333333333</v>
      </c>
      <c r="H258" s="96" t="n">
        <v>46388</v>
      </c>
      <c r="I258" s="96" t="n">
        <v>47483</v>
      </c>
      <c r="J258" s="8" t="inlineStr">
        <is>
          <t>NZD</t>
        </is>
      </c>
      <c r="K258" s="97">
        <f>'Rate Inputs'!E275</f>
        <v/>
      </c>
      <c r="L258" s="97">
        <f>'Rate Inputs'!F275</f>
        <v/>
      </c>
      <c r="M258" s="98">
        <f>IF(OR($P258="Ready",$P258="FY26 provisional",$P258="FY26 secured"),IF($H258&lt;=DATE(2025,7,1),ROUNDUP($K258,-2),IF('Rate Inputs'!$J275="","",ROUNDUP(IF($H258&gt;DATE(2026,6,30),'Rate Inputs'!$J275,'Rate Inputs'!$J275*($H258-DATE(2025,7,1))/365+$K258*(DATE(2026,6,30)-$H258+1)/365),-2))),"")</f>
        <v/>
      </c>
      <c r="N258" s="98">
        <f>IF($P258="Ready",ROUNDUP(IFERROR($K258,0),-2),IF(OR($P258="FY26 provisional",$P258="FY26 secured"),"",0))</f>
        <v/>
      </c>
      <c r="O258" s="98">
        <f>IF($P258="Ready",IF('Rate Inputs'!$F275="","",ROUNDUP(IFERROR($L258,0),-2)),IF(OR($P258="FY26 provisional",$P258="FY26 secured"),"",0))</f>
        <v/>
      </c>
      <c r="P258" s="8" t="inlineStr">
        <is>
          <t>Ready</t>
        </is>
      </c>
      <c r="Q258" s="11" t="n"/>
    </row>
    <row r="259">
      <c r="A259" s="2" t="inlineStr">
        <is>
          <t>0011001339PC3B8</t>
        </is>
      </c>
      <c r="B259" s="8">
        <f t="array" ref="B259:E259">_xlfn.XLOOKUP(A259,'Site Register'!A:A,'Site Register'!B:E)</f>
        <v/>
      </c>
      <c r="C259" s="8" t="inlineStr">
        <is>
          <t>New Zealand</t>
        </is>
      </c>
      <c r="D259" s="8" t="inlineStr">
        <is>
          <t>North Island</t>
        </is>
      </c>
      <c r="E259" s="8" t="inlineStr">
        <is>
          <t>NZ NTOU Electricity</t>
        </is>
      </c>
      <c r="F259" s="8" t="inlineStr">
        <is>
          <t>kWh</t>
        </is>
      </c>
      <c r="G259" s="95" t="n">
        <v>11327.47863247863</v>
      </c>
      <c r="H259" s="96" t="n">
        <v>46388</v>
      </c>
      <c r="I259" s="96" t="n">
        <v>47483</v>
      </c>
      <c r="J259" s="8" t="inlineStr">
        <is>
          <t>NZD</t>
        </is>
      </c>
      <c r="K259" s="97">
        <f>'Rate Inputs'!E276</f>
        <v/>
      </c>
      <c r="L259" s="97">
        <f>'Rate Inputs'!F276</f>
        <v/>
      </c>
      <c r="M259" s="98">
        <f>IF(OR($P259="Ready",$P259="FY26 provisional",$P259="FY26 secured"),IF($H259&lt;=DATE(2025,7,1),ROUNDUP($K259,-2),IF('Rate Inputs'!$J276="","",ROUNDUP(IF($H259&gt;DATE(2026,6,30),'Rate Inputs'!$J276,'Rate Inputs'!$J276*($H259-DATE(2025,7,1))/365+$K259*(DATE(2026,6,30)-$H259+1)/365),-2))),"")</f>
        <v/>
      </c>
      <c r="N259" s="98">
        <f>IF($P259="Ready",ROUNDUP(IFERROR($K259,0),-2),IF(OR($P259="FY26 provisional",$P259="FY26 secured"),"",0))</f>
        <v/>
      </c>
      <c r="O259" s="98">
        <f>IF($P259="Ready",IF('Rate Inputs'!$F276="","",ROUNDUP(IFERROR($L259,0),-2)),IF(OR($P259="FY26 provisional",$P259="FY26 secured"),"",0))</f>
        <v/>
      </c>
      <c r="P259" s="8" t="inlineStr">
        <is>
          <t>Ready</t>
        </is>
      </c>
      <c r="Q259" s="11" t="n"/>
    </row>
    <row r="260">
      <c r="A260" s="2" t="inlineStr">
        <is>
          <t>0011006140PC6D3</t>
        </is>
      </c>
      <c r="B260" s="8">
        <f t="array" ref="B260:E260">_xlfn.XLOOKUP(A260,'Site Register'!A:A,'Site Register'!B:E)</f>
        <v/>
      </c>
      <c r="C260" s="8" t="inlineStr">
        <is>
          <t>New Zealand</t>
        </is>
      </c>
      <c r="D260" s="8" t="inlineStr">
        <is>
          <t>North Island</t>
        </is>
      </c>
      <c r="E260" s="8" t="inlineStr">
        <is>
          <t>NZ NTOU Electricity</t>
        </is>
      </c>
      <c r="F260" s="8" t="inlineStr">
        <is>
          <t>kWh</t>
        </is>
      </c>
      <c r="G260" s="95" t="n">
        <v>14493.86524822695</v>
      </c>
      <c r="H260" s="96" t="n">
        <v>46388</v>
      </c>
      <c r="I260" s="96" t="n">
        <v>47483</v>
      </c>
      <c r="J260" s="8" t="inlineStr">
        <is>
          <t>NZD</t>
        </is>
      </c>
      <c r="K260" s="97">
        <f>'Rate Inputs'!E277</f>
        <v/>
      </c>
      <c r="L260" s="97">
        <f>'Rate Inputs'!F277</f>
        <v/>
      </c>
      <c r="M260" s="98">
        <f>IF(OR($P260="Ready",$P260="FY26 provisional",$P260="FY26 secured"),IF($H260&lt;=DATE(2025,7,1),ROUNDUP($K260,-2),IF('Rate Inputs'!$J277="","",ROUNDUP(IF($H260&gt;DATE(2026,6,30),'Rate Inputs'!$J277,'Rate Inputs'!$J277*($H260-DATE(2025,7,1))/365+$K260*(DATE(2026,6,30)-$H260+1)/365),-2))),"")</f>
        <v/>
      </c>
      <c r="N260" s="98">
        <f>IF($P260="Ready",ROUNDUP(IFERROR($K260,0),-2),IF(OR($P260="FY26 provisional",$P260="FY26 secured"),"",0))</f>
        <v/>
      </c>
      <c r="O260" s="98">
        <f>IF($P260="Ready",IF('Rate Inputs'!$F277="","",ROUNDUP(IFERROR($L260,0),-2)),IF(OR($P260="FY26 provisional",$P260="FY26 secured"),"",0))</f>
        <v/>
      </c>
      <c r="P260" s="8" t="inlineStr">
        <is>
          <t>Ready</t>
        </is>
      </c>
      <c r="Q260" s="11" t="n"/>
    </row>
    <row r="261">
      <c r="A261" s="2" t="inlineStr">
        <is>
          <t>0011006852PC5F2</t>
        </is>
      </c>
      <c r="B261" s="8">
        <f t="array" ref="B261:E261">_xlfn.XLOOKUP(A261,'Site Register'!A:A,'Site Register'!B:E)</f>
        <v/>
      </c>
      <c r="C261" s="8" t="inlineStr">
        <is>
          <t>New Zealand</t>
        </is>
      </c>
      <c r="D261" s="8" t="inlineStr">
        <is>
          <t>North Island</t>
        </is>
      </c>
      <c r="E261" s="8" t="inlineStr">
        <is>
          <t>NZ NTOU Electricity</t>
        </is>
      </c>
      <c r="F261" s="8" t="inlineStr">
        <is>
          <t>kWh</t>
        </is>
      </c>
      <c r="G261" s="95" t="n">
        <v>4443.853427895981</v>
      </c>
      <c r="H261" s="96" t="n">
        <v>46388</v>
      </c>
      <c r="I261" s="96" t="n">
        <v>47483</v>
      </c>
      <c r="J261" s="8" t="inlineStr">
        <is>
          <t>NZD</t>
        </is>
      </c>
      <c r="K261" s="97">
        <f>'Rate Inputs'!E278</f>
        <v/>
      </c>
      <c r="L261" s="97">
        <f>'Rate Inputs'!F278</f>
        <v/>
      </c>
      <c r="M261" s="98">
        <f>IF(OR($P261="Ready",$P261="FY26 provisional",$P261="FY26 secured"),IF($H261&lt;=DATE(2025,7,1),ROUNDUP($K261,-2),IF('Rate Inputs'!$J278="","",ROUNDUP(IF($H261&gt;DATE(2026,6,30),'Rate Inputs'!$J278,'Rate Inputs'!$J278*($H261-DATE(2025,7,1))/365+$K261*(DATE(2026,6,30)-$H261+1)/365),-2))),"")</f>
        <v/>
      </c>
      <c r="N261" s="98">
        <f>IF($P261="Ready",ROUNDUP(IFERROR($K261,0),-2),IF(OR($P261="FY26 provisional",$P261="FY26 secured"),"",0))</f>
        <v/>
      </c>
      <c r="O261" s="98">
        <f>IF($P261="Ready",IF('Rate Inputs'!$F278="","",ROUNDUP(IFERROR($L261,0),-2)),IF(OR($P261="FY26 provisional",$P261="FY26 secured"),"",0))</f>
        <v/>
      </c>
      <c r="P261" s="8" t="inlineStr">
        <is>
          <t>Ready</t>
        </is>
      </c>
      <c r="Q261" s="11" t="n"/>
    </row>
    <row r="262">
      <c r="A262" s="2" t="inlineStr">
        <is>
          <t>0011007482PC51C</t>
        </is>
      </c>
      <c r="B262" s="8">
        <f t="array" ref="B262:E262">_xlfn.XLOOKUP(A262,'Site Register'!A:A,'Site Register'!B:E)</f>
        <v/>
      </c>
      <c r="C262" s="8" t="inlineStr">
        <is>
          <t>New Zealand</t>
        </is>
      </c>
      <c r="D262" s="8" t="inlineStr">
        <is>
          <t>North Island</t>
        </is>
      </c>
      <c r="E262" s="8" t="inlineStr">
        <is>
          <t>NZ NTOU Electricity</t>
        </is>
      </c>
      <c r="F262" s="8" t="inlineStr">
        <is>
          <t>kWh</t>
        </is>
      </c>
      <c r="G262" s="95" t="n">
        <v>1429.799054373522</v>
      </c>
      <c r="H262" s="96" t="n">
        <v>46388</v>
      </c>
      <c r="I262" s="96" t="n">
        <v>47483</v>
      </c>
      <c r="J262" s="8" t="inlineStr">
        <is>
          <t>NZD</t>
        </is>
      </c>
      <c r="K262" s="97">
        <f>'Rate Inputs'!E279</f>
        <v/>
      </c>
      <c r="L262" s="97">
        <f>'Rate Inputs'!F279</f>
        <v/>
      </c>
      <c r="M262" s="98">
        <f>IF(OR($P262="Ready",$P262="FY26 provisional",$P262="FY26 secured"),IF($H262&lt;=DATE(2025,7,1),ROUNDUP($K262,-2),IF('Rate Inputs'!$J279="","",ROUNDUP(IF($H262&gt;DATE(2026,6,30),'Rate Inputs'!$J279,'Rate Inputs'!$J279*($H262-DATE(2025,7,1))/365+$K262*(DATE(2026,6,30)-$H262+1)/365),-2))),"")</f>
        <v/>
      </c>
      <c r="N262" s="98">
        <f>IF($P262="Ready",ROUNDUP(IFERROR($K262,0),-2),IF(OR($P262="FY26 provisional",$P262="FY26 secured"),"",0))</f>
        <v/>
      </c>
      <c r="O262" s="98">
        <f>IF($P262="Ready",IF('Rate Inputs'!$F279="","",ROUNDUP(IFERROR($L262,0),-2)),IF(OR($P262="FY26 provisional",$P262="FY26 secured"),"",0))</f>
        <v/>
      </c>
      <c r="P262" s="8" t="inlineStr">
        <is>
          <t>Ready</t>
        </is>
      </c>
      <c r="Q262" s="11" t="n"/>
    </row>
    <row r="263">
      <c r="A263" s="2" t="inlineStr">
        <is>
          <t>0030306524PCB33</t>
        </is>
      </c>
      <c r="B263" s="8">
        <f t="array" ref="B263:E263">_xlfn.XLOOKUP(A263,'Site Register'!A:A,'Site Register'!B:E)</f>
        <v/>
      </c>
      <c r="C263" s="8" t="inlineStr">
        <is>
          <t>New Zealand</t>
        </is>
      </c>
      <c r="D263" s="8" t="inlineStr">
        <is>
          <t>North Island</t>
        </is>
      </c>
      <c r="E263" s="8" t="inlineStr">
        <is>
          <t>NZ NTOU Electricity</t>
        </is>
      </c>
      <c r="F263" s="8" t="inlineStr">
        <is>
          <t>kWh</t>
        </is>
      </c>
      <c r="G263" s="95" t="n">
        <v>106100.2364066194</v>
      </c>
      <c r="H263" s="96" t="n">
        <v>46388</v>
      </c>
      <c r="I263" s="96" t="n">
        <v>47483</v>
      </c>
      <c r="J263" s="8" t="inlineStr">
        <is>
          <t>NZD</t>
        </is>
      </c>
      <c r="K263" s="97">
        <f>'Rate Inputs'!E280</f>
        <v/>
      </c>
      <c r="L263" s="97">
        <f>'Rate Inputs'!F280</f>
        <v/>
      </c>
      <c r="M263" s="98">
        <f>IF(OR($P263="Ready",$P263="FY26 provisional",$P263="FY26 secured"),IF($H263&lt;=DATE(2025,7,1),ROUNDUP($K263,-2),IF('Rate Inputs'!$J280="","",ROUNDUP(IF($H263&gt;DATE(2026,6,30),'Rate Inputs'!$J280,'Rate Inputs'!$J280*($H263-DATE(2025,7,1))/365+$K263*(DATE(2026,6,30)-$H263+1)/365),-2))),"")</f>
        <v/>
      </c>
      <c r="N263" s="98">
        <f>IF($P263="Ready",ROUNDUP(IFERROR($K263,0),-2),IF(OR($P263="FY26 provisional",$P263="FY26 secured"),"",0))</f>
        <v/>
      </c>
      <c r="O263" s="98">
        <f>IF($P263="Ready",IF('Rate Inputs'!$F280="","",ROUNDUP(IFERROR($L263,0),-2)),IF(OR($P263="FY26 provisional",$P263="FY26 secured"),"",0))</f>
        <v/>
      </c>
      <c r="P263" s="8" t="inlineStr">
        <is>
          <t>Ready</t>
        </is>
      </c>
      <c r="Q263" s="11" t="n"/>
    </row>
    <row r="264">
      <c r="A264" s="2" t="inlineStr">
        <is>
          <t>0030530098PCA11</t>
        </is>
      </c>
      <c r="B264" s="8">
        <f t="array" ref="B264:E264">_xlfn.XLOOKUP(A264,'Site Register'!A:A,'Site Register'!B:E)</f>
        <v/>
      </c>
      <c r="C264" s="8" t="inlineStr">
        <is>
          <t>New Zealand</t>
        </is>
      </c>
      <c r="D264" s="8" t="inlineStr">
        <is>
          <t>North Island</t>
        </is>
      </c>
      <c r="E264" s="8" t="inlineStr">
        <is>
          <t>NZ NTOU Electricity</t>
        </is>
      </c>
      <c r="F264" s="8" t="inlineStr">
        <is>
          <t>kWh</t>
        </is>
      </c>
      <c r="G264" s="95" t="n">
        <v>44466.14657210401</v>
      </c>
      <c r="H264" s="96" t="n">
        <v>46388</v>
      </c>
      <c r="I264" s="96" t="n">
        <v>47483</v>
      </c>
      <c r="J264" s="8" t="inlineStr">
        <is>
          <t>NZD</t>
        </is>
      </c>
      <c r="K264" s="97">
        <f>'Rate Inputs'!E281</f>
        <v/>
      </c>
      <c r="L264" s="97">
        <f>'Rate Inputs'!F281</f>
        <v/>
      </c>
      <c r="M264" s="98">
        <f>IF(OR($P264="Ready",$P264="FY26 provisional",$P264="FY26 secured"),IF($H264&lt;=DATE(2025,7,1),ROUNDUP($K264,-2),IF('Rate Inputs'!$J281="","",ROUNDUP(IF($H264&gt;DATE(2026,6,30),'Rate Inputs'!$J281,'Rate Inputs'!$J281*($H264-DATE(2025,7,1))/365+$K264*(DATE(2026,6,30)-$H264+1)/365),-2))),"")</f>
        <v/>
      </c>
      <c r="N264" s="98">
        <f>IF($P264="Ready",ROUNDUP(IFERROR($K264,0),-2),IF(OR($P264="FY26 provisional",$P264="FY26 secured"),"",0))</f>
        <v/>
      </c>
      <c r="O264" s="98">
        <f>IF($P264="Ready",IF('Rate Inputs'!$F281="","",ROUNDUP(IFERROR($L264,0),-2)),IF(OR($P264="FY26 provisional",$P264="FY26 secured"),"",0))</f>
        <v/>
      </c>
      <c r="P264" s="8" t="inlineStr">
        <is>
          <t>Ready</t>
        </is>
      </c>
      <c r="Q264" s="11" t="n"/>
    </row>
    <row r="265">
      <c r="A265" s="2" t="inlineStr">
        <is>
          <t>0035529024PCBAE</t>
        </is>
      </c>
      <c r="B265" s="8">
        <f t="array" ref="B265:E265">_xlfn.XLOOKUP(A265,'Site Register'!A:A,'Site Register'!B:E)</f>
        <v/>
      </c>
      <c r="C265" s="8" t="inlineStr">
        <is>
          <t>New Zealand</t>
        </is>
      </c>
      <c r="D265" s="8" t="inlineStr">
        <is>
          <t>North Island</t>
        </is>
      </c>
      <c r="E265" s="8" t="inlineStr">
        <is>
          <t>NZ NTOU Electricity</t>
        </is>
      </c>
      <c r="F265" s="8" t="inlineStr">
        <is>
          <t>kWh</t>
        </is>
      </c>
      <c r="G265" s="95" t="n">
        <v>29600.37825059102</v>
      </c>
      <c r="H265" s="96" t="n">
        <v>46388</v>
      </c>
      <c r="I265" s="96" t="n">
        <v>47483</v>
      </c>
      <c r="J265" s="8" t="inlineStr">
        <is>
          <t>NZD</t>
        </is>
      </c>
      <c r="K265" s="97">
        <f>'Rate Inputs'!E282</f>
        <v/>
      </c>
      <c r="L265" s="97">
        <f>'Rate Inputs'!F282</f>
        <v/>
      </c>
      <c r="M265" s="98">
        <f>IF(OR($P265="Ready",$P265="FY26 provisional",$P265="FY26 secured"),IF($H265&lt;=DATE(2025,7,1),ROUNDUP($K265,-2),IF('Rate Inputs'!$J282="","",ROUNDUP(IF($H265&gt;DATE(2026,6,30),'Rate Inputs'!$J282,'Rate Inputs'!$J282*($H265-DATE(2025,7,1))/365+$K265*(DATE(2026,6,30)-$H265+1)/365),-2))),"")</f>
        <v/>
      </c>
      <c r="N265" s="98">
        <f>IF($P265="Ready",ROUNDUP(IFERROR($K265,0),-2),IF(OR($P265="FY26 provisional",$P265="FY26 secured"),"",0))</f>
        <v/>
      </c>
      <c r="O265" s="98">
        <f>IF($P265="Ready",IF('Rate Inputs'!$F282="","",ROUNDUP(IFERROR($L265,0),-2)),IF(OR($P265="FY26 provisional",$P265="FY26 secured"),"",0))</f>
        <v/>
      </c>
      <c r="P265" s="8" t="inlineStr">
        <is>
          <t>Ready</t>
        </is>
      </c>
      <c r="Q265" s="11" t="n"/>
    </row>
    <row r="266">
      <c r="A266" s="2" t="inlineStr">
        <is>
          <t>0035880213PC771</t>
        </is>
      </c>
      <c r="B266" s="8">
        <f t="array" ref="B266:E266">_xlfn.XLOOKUP(A266,'Site Register'!A:A,'Site Register'!B:E)</f>
        <v/>
      </c>
      <c r="C266" s="8" t="inlineStr">
        <is>
          <t>New Zealand</t>
        </is>
      </c>
      <c r="D266" s="8" t="inlineStr">
        <is>
          <t>North Island</t>
        </is>
      </c>
      <c r="E266" s="8" t="inlineStr">
        <is>
          <t>NZ NTOU Electricity</t>
        </is>
      </c>
      <c r="F266" s="8" t="inlineStr">
        <is>
          <t>kWh</t>
        </is>
      </c>
      <c r="G266" s="95" t="n">
        <v>2290.30534351145</v>
      </c>
      <c r="H266" s="96" t="n">
        <v>46388</v>
      </c>
      <c r="I266" s="96" t="n">
        <v>47483</v>
      </c>
      <c r="J266" s="8" t="inlineStr">
        <is>
          <t>NZD</t>
        </is>
      </c>
      <c r="K266" s="97">
        <f>'Rate Inputs'!E283</f>
        <v/>
      </c>
      <c r="L266" s="97">
        <f>'Rate Inputs'!F283</f>
        <v/>
      </c>
      <c r="M266" s="98">
        <f>IF(OR($P266="Ready",$P266="FY26 provisional",$P266="FY26 secured"),IF($H266&lt;=DATE(2025,7,1),ROUNDUP($K266,-2),IF('Rate Inputs'!$J283="","",ROUNDUP(IF($H266&gt;DATE(2026,6,30),'Rate Inputs'!$J283,'Rate Inputs'!$J283*($H266-DATE(2025,7,1))/365+$K266*(DATE(2026,6,30)-$H266+1)/365),-2))),"")</f>
        <v/>
      </c>
      <c r="N266" s="98">
        <f>IF($P266="Ready",ROUNDUP(IFERROR($K266,0),-2),IF(OR($P266="FY26 provisional",$P266="FY26 secured"),"",0))</f>
        <v/>
      </c>
      <c r="O266" s="98">
        <f>IF($P266="Ready",IF('Rate Inputs'!$F283="","",ROUNDUP(IFERROR($L266,0),-2)),IF(OR($P266="FY26 provisional",$P266="FY26 secured"),"",0))</f>
        <v/>
      </c>
      <c r="P266" s="8" t="inlineStr">
        <is>
          <t>Ready</t>
        </is>
      </c>
      <c r="Q266" s="11" t="n"/>
    </row>
    <row r="267">
      <c r="A267" s="2" t="inlineStr">
        <is>
          <t>0042251303PCE11</t>
        </is>
      </c>
      <c r="B267" s="8">
        <f t="array" ref="B267:E267">_xlfn.XLOOKUP(A267,'Site Register'!A:A,'Site Register'!B:E)</f>
        <v/>
      </c>
      <c r="C267" s="8" t="inlineStr">
        <is>
          <t>New Zealand</t>
        </is>
      </c>
      <c r="D267" s="8" t="inlineStr">
        <is>
          <t>North Island</t>
        </is>
      </c>
      <c r="E267" s="8" t="inlineStr">
        <is>
          <t>NZ NTOU Electricity</t>
        </is>
      </c>
      <c r="F267" s="8" t="inlineStr">
        <is>
          <t>kWh</t>
        </is>
      </c>
      <c r="G267" s="95" t="n">
        <v>6695.981087470449</v>
      </c>
      <c r="H267" s="96" t="n">
        <v>46388</v>
      </c>
      <c r="I267" s="96" t="n">
        <v>47483</v>
      </c>
      <c r="J267" s="8" t="inlineStr">
        <is>
          <t>NZD</t>
        </is>
      </c>
      <c r="K267" s="97">
        <f>'Rate Inputs'!E284</f>
        <v/>
      </c>
      <c r="L267" s="97">
        <f>'Rate Inputs'!F284</f>
        <v/>
      </c>
      <c r="M267" s="98">
        <f>IF(OR($P267="Ready",$P267="FY26 provisional",$P267="FY26 secured"),IF($H267&lt;=DATE(2025,7,1),ROUNDUP($K267,-2),IF('Rate Inputs'!$J284="","",ROUNDUP(IF($H267&gt;DATE(2026,6,30),'Rate Inputs'!$J284,'Rate Inputs'!$J284*($H267-DATE(2025,7,1))/365+$K267*(DATE(2026,6,30)-$H267+1)/365),-2))),"")</f>
        <v/>
      </c>
      <c r="N267" s="98">
        <f>IF($P267="Ready",ROUNDUP(IFERROR($K267,0),-2),IF(OR($P267="FY26 provisional",$P267="FY26 secured"),"",0))</f>
        <v/>
      </c>
      <c r="O267" s="98">
        <f>IF($P267="Ready",IF('Rate Inputs'!$F284="","",ROUNDUP(IFERROR($L267,0),-2)),IF(OR($P267="FY26 provisional",$P267="FY26 secured"),"",0))</f>
        <v/>
      </c>
      <c r="P267" s="8" t="inlineStr">
        <is>
          <t>Ready</t>
        </is>
      </c>
      <c r="Q267" s="11" t="n"/>
    </row>
    <row r="268">
      <c r="A268" s="2" t="inlineStr">
        <is>
          <t>0047123930PCE3C</t>
        </is>
      </c>
      <c r="B268" s="8">
        <f t="array" ref="B268:E268">_xlfn.XLOOKUP(A268,'Site Register'!A:A,'Site Register'!B:E)</f>
        <v/>
      </c>
      <c r="C268" s="8" t="inlineStr">
        <is>
          <t>New Zealand</t>
        </is>
      </c>
      <c r="D268" s="8" t="inlineStr">
        <is>
          <t>North Island</t>
        </is>
      </c>
      <c r="E268" s="8" t="inlineStr">
        <is>
          <t>NZ NTOU Electricity</t>
        </is>
      </c>
      <c r="F268" s="8" t="inlineStr">
        <is>
          <t>kWh</t>
        </is>
      </c>
      <c r="G268" s="95" t="n">
        <v>26887.47044917258</v>
      </c>
      <c r="H268" s="96" t="n">
        <v>46388</v>
      </c>
      <c r="I268" s="96" t="n">
        <v>47483</v>
      </c>
      <c r="J268" s="8" t="inlineStr">
        <is>
          <t>NZD</t>
        </is>
      </c>
      <c r="K268" s="97">
        <f>'Rate Inputs'!E285</f>
        <v/>
      </c>
      <c r="L268" s="97">
        <f>'Rate Inputs'!F285</f>
        <v/>
      </c>
      <c r="M268" s="98">
        <f>IF(OR($P268="Ready",$P268="FY26 provisional",$P268="FY26 secured"),IF($H268&lt;=DATE(2025,7,1),ROUNDUP($K268,-2),IF('Rate Inputs'!$J285="","",ROUNDUP(IF($H268&gt;DATE(2026,6,30),'Rate Inputs'!$J285,'Rate Inputs'!$J285*($H268-DATE(2025,7,1))/365+$K268*(DATE(2026,6,30)-$H268+1)/365),-2))),"")</f>
        <v/>
      </c>
      <c r="N268" s="98">
        <f>IF($P268="Ready",ROUNDUP(IFERROR($K268,0),-2),IF(OR($P268="FY26 provisional",$P268="FY26 secured"),"",0))</f>
        <v/>
      </c>
      <c r="O268" s="98">
        <f>IF($P268="Ready",IF('Rate Inputs'!$F285="","",ROUNDUP(IFERROR($L268,0),-2)),IF(OR($P268="FY26 provisional",$P268="FY26 secured"),"",0))</f>
        <v/>
      </c>
      <c r="P268" s="8" t="inlineStr">
        <is>
          <t>Ready</t>
        </is>
      </c>
      <c r="Q268" s="11" t="n"/>
    </row>
    <row r="269">
      <c r="A269" s="2" t="inlineStr">
        <is>
          <t>0071098630WMAC0</t>
        </is>
      </c>
      <c r="B269" s="8">
        <f t="array" ref="B269:E269">_xlfn.XLOOKUP(A269,'Site Register'!A:A,'Site Register'!B:E)</f>
        <v/>
      </c>
      <c r="C269" s="8" t="inlineStr">
        <is>
          <t>New Zealand</t>
        </is>
      </c>
      <c r="D269" s="8" t="inlineStr">
        <is>
          <t>North Island</t>
        </is>
      </c>
      <c r="E269" s="8" t="inlineStr">
        <is>
          <t>NZ NTOU Electricity</t>
        </is>
      </c>
      <c r="F269" s="8" t="inlineStr">
        <is>
          <t>kWh</t>
        </is>
      </c>
      <c r="G269" s="95" t="n">
        <v>96547.24586288417</v>
      </c>
      <c r="H269" s="96" t="n">
        <v>46388</v>
      </c>
      <c r="I269" s="96" t="n">
        <v>47483</v>
      </c>
      <c r="J269" s="8" t="inlineStr">
        <is>
          <t>NZD</t>
        </is>
      </c>
      <c r="K269" s="97">
        <f>'Rate Inputs'!E286</f>
        <v/>
      </c>
      <c r="L269" s="97">
        <f>'Rate Inputs'!F286</f>
        <v/>
      </c>
      <c r="M269" s="98">
        <f>IF(OR($P269="Ready",$P269="FY26 provisional",$P269="FY26 secured"),IF($H269&lt;=DATE(2025,7,1),ROUNDUP($K269,-2),IF('Rate Inputs'!$J286="","",ROUNDUP(IF($H269&gt;DATE(2026,6,30),'Rate Inputs'!$J286,'Rate Inputs'!$J286*($H269-DATE(2025,7,1))/365+$K269*(DATE(2026,6,30)-$H269+1)/365),-2))),"")</f>
        <v/>
      </c>
      <c r="N269" s="98">
        <f>IF($P269="Ready",ROUNDUP(IFERROR($K269,0),-2),IF(OR($P269="FY26 provisional",$P269="FY26 secured"),"",0))</f>
        <v/>
      </c>
      <c r="O269" s="98">
        <f>IF($P269="Ready",IF('Rate Inputs'!$F286="","",ROUNDUP(IFERROR($L269,0),-2)),IF(OR($P269="FY26 provisional",$P269="FY26 secured"),"",0))</f>
        <v/>
      </c>
      <c r="P269" s="8" t="inlineStr">
        <is>
          <t>Ready</t>
        </is>
      </c>
      <c r="Q269" s="11" t="n"/>
    </row>
    <row r="270">
      <c r="A270" s="2" t="inlineStr">
        <is>
          <t>0075241357WEF68</t>
        </is>
      </c>
      <c r="B270" s="8">
        <f t="array" ref="B270:E270">_xlfn.XLOOKUP(A270,'Site Register'!A:A,'Site Register'!B:E)</f>
        <v/>
      </c>
      <c r="C270" s="8" t="inlineStr">
        <is>
          <t>New Zealand</t>
        </is>
      </c>
      <c r="D270" s="8" t="inlineStr">
        <is>
          <t>North Island</t>
        </is>
      </c>
      <c r="E270" s="8" t="inlineStr">
        <is>
          <t>NZ NTOU Electricity</t>
        </is>
      </c>
      <c r="F270" s="8" t="inlineStr">
        <is>
          <t>kWh</t>
        </is>
      </c>
      <c r="G270" s="95" t="n">
        <v>64957.91962174941</v>
      </c>
      <c r="H270" s="96" t="n">
        <v>46388</v>
      </c>
      <c r="I270" s="96" t="n">
        <v>47483</v>
      </c>
      <c r="J270" s="8" t="inlineStr">
        <is>
          <t>NZD</t>
        </is>
      </c>
      <c r="K270" s="97">
        <f>'Rate Inputs'!E287</f>
        <v/>
      </c>
      <c r="L270" s="97">
        <f>'Rate Inputs'!F287</f>
        <v/>
      </c>
      <c r="M270" s="98">
        <f>IF(OR($P270="Ready",$P270="FY26 provisional",$P270="FY26 secured"),IF($H270&lt;=DATE(2025,7,1),ROUNDUP($K270,-2),IF('Rate Inputs'!$J287="","",ROUNDUP(IF($H270&gt;DATE(2026,6,30),'Rate Inputs'!$J287,'Rate Inputs'!$J287*($H270-DATE(2025,7,1))/365+$K270*(DATE(2026,6,30)-$H270+1)/365),-2))),"")</f>
        <v/>
      </c>
      <c r="N270" s="98">
        <f>IF($P270="Ready",ROUNDUP(IFERROR($K270,0),-2),IF(OR($P270="FY26 provisional",$P270="FY26 secured"),"",0))</f>
        <v/>
      </c>
      <c r="O270" s="98">
        <f>IF($P270="Ready",IF('Rate Inputs'!$F287="","",ROUNDUP(IFERROR($L270,0),-2)),IF(OR($P270="FY26 provisional",$P270="FY26 secured"),"",0))</f>
        <v/>
      </c>
      <c r="P270" s="8" t="inlineStr">
        <is>
          <t>Ready</t>
        </is>
      </c>
      <c r="Q270" s="11" t="n"/>
    </row>
    <row r="271">
      <c r="A271" s="2" t="inlineStr">
        <is>
          <t>0080011664PC16A</t>
        </is>
      </c>
      <c r="B271" s="8">
        <f t="array" ref="B271:E271">_xlfn.XLOOKUP(A271,'Site Register'!A:A,'Site Register'!B:E)</f>
        <v/>
      </c>
      <c r="C271" s="8" t="inlineStr">
        <is>
          <t>New Zealand</t>
        </is>
      </c>
      <c r="D271" s="8" t="inlineStr">
        <is>
          <t>North Island</t>
        </is>
      </c>
      <c r="E271" s="8" t="inlineStr">
        <is>
          <t>NZ NTOU Electricity</t>
        </is>
      </c>
      <c r="F271" s="8" t="inlineStr">
        <is>
          <t>kWh</t>
        </is>
      </c>
      <c r="G271" s="95" t="n">
        <v>5957.352245862885</v>
      </c>
      <c r="H271" s="96" t="n">
        <v>46388</v>
      </c>
      <c r="I271" s="96" t="n">
        <v>47483</v>
      </c>
      <c r="J271" s="8" t="inlineStr">
        <is>
          <t>NZD</t>
        </is>
      </c>
      <c r="K271" s="97">
        <f>'Rate Inputs'!E288</f>
        <v/>
      </c>
      <c r="L271" s="97">
        <f>'Rate Inputs'!F288</f>
        <v/>
      </c>
      <c r="M271" s="98">
        <f>IF(OR($P271="Ready",$P271="FY26 provisional",$P271="FY26 secured"),IF($H271&lt;=DATE(2025,7,1),ROUNDUP($K271,-2),IF('Rate Inputs'!$J288="","",ROUNDUP(IF($H271&gt;DATE(2026,6,30),'Rate Inputs'!$J288,'Rate Inputs'!$J288*($H271-DATE(2025,7,1))/365+$K271*(DATE(2026,6,30)-$H271+1)/365),-2))),"")</f>
        <v/>
      </c>
      <c r="N271" s="98">
        <f>IF($P271="Ready",ROUNDUP(IFERROR($K271,0),-2),IF(OR($P271="FY26 provisional",$P271="FY26 secured"),"",0))</f>
        <v/>
      </c>
      <c r="O271" s="98">
        <f>IF($P271="Ready",IF('Rate Inputs'!$F288="","",ROUNDUP(IFERROR($L271,0),-2)),IF(OR($P271="FY26 provisional",$P271="FY26 secured"),"",0))</f>
        <v/>
      </c>
      <c r="P271" s="8" t="inlineStr">
        <is>
          <t>Ready</t>
        </is>
      </c>
      <c r="Q271" s="11" t="n"/>
    </row>
    <row r="272">
      <c r="A272" s="2" t="inlineStr">
        <is>
          <t>0080012802PCBFE</t>
        </is>
      </c>
      <c r="B272" s="8">
        <f t="array" ref="B272:E272">_xlfn.XLOOKUP(A272,'Site Register'!A:A,'Site Register'!B:E)</f>
        <v/>
      </c>
      <c r="C272" s="8" t="inlineStr">
        <is>
          <t>New Zealand</t>
        </is>
      </c>
      <c r="D272" s="8" t="inlineStr">
        <is>
          <t>North Island</t>
        </is>
      </c>
      <c r="E272" s="8" t="inlineStr">
        <is>
          <t>NZ NTOU Electricity</t>
        </is>
      </c>
      <c r="F272" s="8" t="inlineStr">
        <is>
          <t>kWh</t>
        </is>
      </c>
      <c r="G272" s="95" t="n">
        <v>6712.375886524823</v>
      </c>
      <c r="H272" s="96" t="n">
        <v>46388</v>
      </c>
      <c r="I272" s="96" t="n">
        <v>47483</v>
      </c>
      <c r="J272" s="8" t="inlineStr">
        <is>
          <t>NZD</t>
        </is>
      </c>
      <c r="K272" s="97">
        <f>'Rate Inputs'!E289</f>
        <v/>
      </c>
      <c r="L272" s="97">
        <f>'Rate Inputs'!F289</f>
        <v/>
      </c>
      <c r="M272" s="98">
        <f>IF(OR($P272="Ready",$P272="FY26 provisional",$P272="FY26 secured"),IF($H272&lt;=DATE(2025,7,1),ROUNDUP($K272,-2),IF('Rate Inputs'!$J289="","",ROUNDUP(IF($H272&gt;DATE(2026,6,30),'Rate Inputs'!$J289,'Rate Inputs'!$J289*($H272-DATE(2025,7,1))/365+$K272*(DATE(2026,6,30)-$H272+1)/365),-2))),"")</f>
        <v/>
      </c>
      <c r="N272" s="98">
        <f>IF($P272="Ready",ROUNDUP(IFERROR($K272,0),-2),IF(OR($P272="FY26 provisional",$P272="FY26 secured"),"",0))</f>
        <v/>
      </c>
      <c r="O272" s="98">
        <f>IF($P272="Ready",IF('Rate Inputs'!$F289="","",ROUNDUP(IFERROR($L272,0),-2)),IF(OR($P272="FY26 provisional",$P272="FY26 secured"),"",0))</f>
        <v/>
      </c>
      <c r="P272" s="8" t="inlineStr">
        <is>
          <t>Ready</t>
        </is>
      </c>
      <c r="Q272" s="11" t="n"/>
    </row>
    <row r="273">
      <c r="A273" s="2" t="inlineStr">
        <is>
          <t>0083634200PC7D0</t>
        </is>
      </c>
      <c r="B273" s="8">
        <f t="array" ref="B273:E273">_xlfn.XLOOKUP(A273,'Site Register'!A:A,'Site Register'!B:E)</f>
        <v/>
      </c>
      <c r="C273" s="8" t="inlineStr">
        <is>
          <t>New Zealand</t>
        </is>
      </c>
      <c r="D273" s="8" t="inlineStr">
        <is>
          <t>North Island</t>
        </is>
      </c>
      <c r="E273" s="8" t="inlineStr">
        <is>
          <t>NZ NTOU Electricity</t>
        </is>
      </c>
      <c r="F273" s="8" t="inlineStr">
        <is>
          <t>kWh</t>
        </is>
      </c>
      <c r="G273" s="95" t="n">
        <v>1.852791878172589</v>
      </c>
      <c r="H273" s="96" t="n">
        <v>46388</v>
      </c>
      <c r="I273" s="96" t="n">
        <v>47483</v>
      </c>
      <c r="J273" s="8" t="inlineStr">
        <is>
          <t>NZD</t>
        </is>
      </c>
      <c r="K273" s="97">
        <f>'Rate Inputs'!E290</f>
        <v/>
      </c>
      <c r="L273" s="97">
        <f>'Rate Inputs'!F290</f>
        <v/>
      </c>
      <c r="M273" s="98">
        <f>IF(OR($P273="Ready",$P273="FY26 provisional",$P273="FY26 secured"),IF($H273&lt;=DATE(2025,7,1),ROUNDUP($K273,-2),IF('Rate Inputs'!$J290="","",ROUNDUP(IF($H273&gt;DATE(2026,6,30),'Rate Inputs'!$J290,'Rate Inputs'!$J290*($H273-DATE(2025,7,1))/365+$K273*(DATE(2026,6,30)-$H273+1)/365),-2))),"")</f>
        <v/>
      </c>
      <c r="N273" s="98">
        <f>IF($P273="Ready",ROUNDUP(IFERROR($K273,0),-2),IF(OR($P273="FY26 provisional",$P273="FY26 secured"),"",0))</f>
        <v/>
      </c>
      <c r="O273" s="98">
        <f>IF($P273="Ready",IF('Rate Inputs'!$F290="","",ROUNDUP(IFERROR($L273,0),-2)),IF(OR($P273="FY26 provisional",$P273="FY26 secured"),"",0))</f>
        <v/>
      </c>
      <c r="P273" s="8" t="inlineStr">
        <is>
          <t>Ready</t>
        </is>
      </c>
      <c r="Q273" s="11" t="n"/>
    </row>
    <row r="274">
      <c r="A274" s="2" t="inlineStr">
        <is>
          <t>0083973001PC01D</t>
        </is>
      </c>
      <c r="B274" s="8">
        <f t="array" ref="B274:E274">_xlfn.XLOOKUP(A274,'Site Register'!A:A,'Site Register'!B:E)</f>
        <v/>
      </c>
      <c r="C274" s="8" t="inlineStr">
        <is>
          <t>New Zealand</t>
        </is>
      </c>
      <c r="D274" s="8" t="inlineStr">
        <is>
          <t>North Island</t>
        </is>
      </c>
      <c r="E274" s="8" t="inlineStr">
        <is>
          <t>NZ NTOU Electricity</t>
        </is>
      </c>
      <c r="F274" s="8" t="inlineStr">
        <is>
          <t>kWh</t>
        </is>
      </c>
      <c r="G274" s="95" t="n">
        <v>5130.709219858156</v>
      </c>
      <c r="H274" s="96" t="n">
        <v>46388</v>
      </c>
      <c r="I274" s="96" t="n">
        <v>47483</v>
      </c>
      <c r="J274" s="8" t="inlineStr">
        <is>
          <t>NZD</t>
        </is>
      </c>
      <c r="K274" s="97">
        <f>'Rate Inputs'!E291</f>
        <v/>
      </c>
      <c r="L274" s="97">
        <f>'Rate Inputs'!F291</f>
        <v/>
      </c>
      <c r="M274" s="98">
        <f>IF(OR($P274="Ready",$P274="FY26 provisional",$P274="FY26 secured"),IF($H274&lt;=DATE(2025,7,1),ROUNDUP($K274,-2),IF('Rate Inputs'!$J291="","",ROUNDUP(IF($H274&gt;DATE(2026,6,30),'Rate Inputs'!$J291,'Rate Inputs'!$J291*($H274-DATE(2025,7,1))/365+$K274*(DATE(2026,6,30)-$H274+1)/365),-2))),"")</f>
        <v/>
      </c>
      <c r="N274" s="98">
        <f>IF($P274="Ready",ROUNDUP(IFERROR($K274,0),-2),IF(OR($P274="FY26 provisional",$P274="FY26 secured"),"",0))</f>
        <v/>
      </c>
      <c r="O274" s="98">
        <f>IF($P274="Ready",IF('Rate Inputs'!$F291="","",ROUNDUP(IFERROR($L274,0),-2)),IF(OR($P274="FY26 provisional",$P274="FY26 secured"),"",0))</f>
        <v/>
      </c>
      <c r="P274" s="8" t="inlineStr">
        <is>
          <t>Ready</t>
        </is>
      </c>
      <c r="Q274" s="11" t="n"/>
    </row>
    <row r="275">
      <c r="A275" s="2" t="inlineStr">
        <is>
          <t>0088031221NVA65</t>
        </is>
      </c>
      <c r="B275" s="8">
        <f t="array" ref="B275:E275">_xlfn.XLOOKUP(A275,'Site Register'!A:A,'Site Register'!B:E)</f>
        <v/>
      </c>
      <c r="C275" s="8" t="inlineStr">
        <is>
          <t>New Zealand</t>
        </is>
      </c>
      <c r="D275" s="8" t="inlineStr">
        <is>
          <t>South Island</t>
        </is>
      </c>
      <c r="E275" s="8" t="inlineStr">
        <is>
          <t>NZ NTOU Electricity</t>
        </is>
      </c>
      <c r="F275" s="8" t="inlineStr">
        <is>
          <t>kWh</t>
        </is>
      </c>
      <c r="G275" s="95" t="n">
        <v>2960.555555555555</v>
      </c>
      <c r="H275" s="96" t="n">
        <v>46388</v>
      </c>
      <c r="I275" s="96" t="n">
        <v>47483</v>
      </c>
      <c r="J275" s="8" t="inlineStr">
        <is>
          <t>NZD</t>
        </is>
      </c>
      <c r="K275" s="97">
        <f>'Rate Inputs'!E292</f>
        <v/>
      </c>
      <c r="L275" s="97">
        <f>'Rate Inputs'!F292</f>
        <v/>
      </c>
      <c r="M275" s="98">
        <f>IF(OR($P275="Ready",$P275="FY26 provisional",$P275="FY26 secured"),IF($H275&lt;=DATE(2025,7,1),ROUNDUP($K275,-2),IF('Rate Inputs'!$J292="","",ROUNDUP(IF($H275&gt;DATE(2026,6,30),'Rate Inputs'!$J292,'Rate Inputs'!$J292*($H275-DATE(2025,7,1))/365+$K275*(DATE(2026,6,30)-$H275+1)/365),-2))),"")</f>
        <v/>
      </c>
      <c r="N275" s="98">
        <f>IF($P275="Ready",ROUNDUP(IFERROR($K275,0),-2),IF(OR($P275="FY26 provisional",$P275="FY26 secured"),"",0))</f>
        <v/>
      </c>
      <c r="O275" s="98">
        <f>IF($P275="Ready",IF('Rate Inputs'!$F292="","",ROUNDUP(IFERROR($L275,0),-2)),IF(OR($P275="FY26 provisional",$P275="FY26 secured"),"",0))</f>
        <v/>
      </c>
      <c r="P275" s="8" t="inlineStr">
        <is>
          <t>Ready</t>
        </is>
      </c>
      <c r="Q275" s="11" t="n"/>
    </row>
    <row r="276">
      <c r="A276" s="2" t="inlineStr">
        <is>
          <t>0088910501PCBBD</t>
        </is>
      </c>
      <c r="B276" s="8">
        <f t="array" ref="B276:E276">_xlfn.XLOOKUP(A276,'Site Register'!A:A,'Site Register'!B:E)</f>
        <v/>
      </c>
      <c r="C276" s="8" t="inlineStr">
        <is>
          <t>New Zealand</t>
        </is>
      </c>
      <c r="D276" s="8" t="inlineStr">
        <is>
          <t>North Island</t>
        </is>
      </c>
      <c r="E276" s="8" t="inlineStr">
        <is>
          <t>NZ NTOU Electricity</t>
        </is>
      </c>
      <c r="F276" s="8" t="inlineStr">
        <is>
          <t>kWh</t>
        </is>
      </c>
      <c r="G276" s="95" t="n">
        <v>8801.418439716312</v>
      </c>
      <c r="H276" s="96" t="n">
        <v>46388</v>
      </c>
      <c r="I276" s="96" t="n">
        <v>47483</v>
      </c>
      <c r="J276" s="8" t="inlineStr">
        <is>
          <t>NZD</t>
        </is>
      </c>
      <c r="K276" s="97">
        <f>'Rate Inputs'!E293</f>
        <v/>
      </c>
      <c r="L276" s="97">
        <f>'Rate Inputs'!F293</f>
        <v/>
      </c>
      <c r="M276" s="98">
        <f>IF(OR($P276="Ready",$P276="FY26 provisional",$P276="FY26 secured"),IF($H276&lt;=DATE(2025,7,1),ROUNDUP($K276,-2),IF('Rate Inputs'!$J293="","",ROUNDUP(IF($H276&gt;DATE(2026,6,30),'Rate Inputs'!$J293,'Rate Inputs'!$J293*($H276-DATE(2025,7,1))/365+$K276*(DATE(2026,6,30)-$H276+1)/365),-2))),"")</f>
        <v/>
      </c>
      <c r="N276" s="98">
        <f>IF($P276="Ready",ROUNDUP(IFERROR($K276,0),-2),IF(OR($P276="FY26 provisional",$P276="FY26 secured"),"",0))</f>
        <v/>
      </c>
      <c r="O276" s="98">
        <f>IF($P276="Ready",IF('Rate Inputs'!$F293="","",ROUNDUP(IFERROR($L276,0),-2)),IF(OR($P276="FY26 provisional",$P276="FY26 secured"),"",0))</f>
        <v/>
      </c>
      <c r="P276" s="8" t="inlineStr">
        <is>
          <t>Ready</t>
        </is>
      </c>
      <c r="Q276" s="11" t="n"/>
    </row>
    <row r="277">
      <c r="A277" s="2" t="inlineStr">
        <is>
          <t>0088934400PC1B1</t>
        </is>
      </c>
      <c r="B277" s="8">
        <f t="array" ref="B277:E277">_xlfn.XLOOKUP(A277,'Site Register'!A:A,'Site Register'!B:E)</f>
        <v/>
      </c>
      <c r="C277" s="8" t="inlineStr">
        <is>
          <t>New Zealand</t>
        </is>
      </c>
      <c r="D277" s="8" t="inlineStr">
        <is>
          <t>North Island</t>
        </is>
      </c>
      <c r="E277" s="8" t="inlineStr">
        <is>
          <t>NZ NTOU Electricity</t>
        </is>
      </c>
      <c r="F277" s="8" t="inlineStr">
        <is>
          <t>kWh</t>
        </is>
      </c>
      <c r="G277" s="95" t="n">
        <v>3280.067567567567</v>
      </c>
      <c r="H277" s="96" t="n">
        <v>46388</v>
      </c>
      <c r="I277" s="96" t="n">
        <v>47483</v>
      </c>
      <c r="J277" s="8" t="inlineStr">
        <is>
          <t>NZD</t>
        </is>
      </c>
      <c r="K277" s="97">
        <f>'Rate Inputs'!E294</f>
        <v/>
      </c>
      <c r="L277" s="97">
        <f>'Rate Inputs'!F294</f>
        <v/>
      </c>
      <c r="M277" s="98">
        <f>IF(OR($P277="Ready",$P277="FY26 provisional",$P277="FY26 secured"),IF($H277&lt;=DATE(2025,7,1),ROUNDUP($K277,-2),IF('Rate Inputs'!$J294="","",ROUNDUP(IF($H277&gt;DATE(2026,6,30),'Rate Inputs'!$J294,'Rate Inputs'!$J294*($H277-DATE(2025,7,1))/365+$K277*(DATE(2026,6,30)-$H277+1)/365),-2))),"")</f>
        <v/>
      </c>
      <c r="N277" s="98">
        <f>IF($P277="Ready",ROUNDUP(IFERROR($K277,0),-2),IF(OR($P277="FY26 provisional",$P277="FY26 secured"),"",0))</f>
        <v/>
      </c>
      <c r="O277" s="98">
        <f>IF($P277="Ready",IF('Rate Inputs'!$F294="","",ROUNDUP(IFERROR($L277,0),-2)),IF(OR($P277="FY26 provisional",$P277="FY26 secured"),"",0))</f>
        <v/>
      </c>
      <c r="P277" s="8" t="inlineStr">
        <is>
          <t>Ready</t>
        </is>
      </c>
      <c r="Q277" s="11" t="n"/>
    </row>
    <row r="278">
      <c r="A278" s="2" t="inlineStr">
        <is>
          <t>0088938701PC577</t>
        </is>
      </c>
      <c r="B278" s="8">
        <f t="array" ref="B278:E278">_xlfn.XLOOKUP(A278,'Site Register'!A:A,'Site Register'!B:E)</f>
        <v/>
      </c>
      <c r="C278" s="8" t="inlineStr">
        <is>
          <t>New Zealand</t>
        </is>
      </c>
      <c r="D278" s="8" t="inlineStr">
        <is>
          <t>North Island</t>
        </is>
      </c>
      <c r="E278" s="8" t="inlineStr">
        <is>
          <t>NZ NTOU Electricity</t>
        </is>
      </c>
      <c r="F278" s="8" t="inlineStr">
        <is>
          <t>kWh</t>
        </is>
      </c>
      <c r="G278" s="95" t="n">
        <v>6889.491094147583</v>
      </c>
      <c r="H278" s="96" t="n">
        <v>46388</v>
      </c>
      <c r="I278" s="96" t="n">
        <v>47483</v>
      </c>
      <c r="J278" s="8" t="inlineStr">
        <is>
          <t>NZD</t>
        </is>
      </c>
      <c r="K278" s="97">
        <f>'Rate Inputs'!E295</f>
        <v/>
      </c>
      <c r="L278" s="97">
        <f>'Rate Inputs'!F295</f>
        <v/>
      </c>
      <c r="M278" s="98">
        <f>IF(OR($P278="Ready",$P278="FY26 provisional",$P278="FY26 secured"),IF($H278&lt;=DATE(2025,7,1),ROUNDUP($K278,-2),IF('Rate Inputs'!$J295="","",ROUNDUP(IF($H278&gt;DATE(2026,6,30),'Rate Inputs'!$J295,'Rate Inputs'!$J295*($H278-DATE(2025,7,1))/365+$K278*(DATE(2026,6,30)-$H278+1)/365),-2))),"")</f>
        <v/>
      </c>
      <c r="N278" s="98">
        <f>IF($P278="Ready",ROUNDUP(IFERROR($K278,0),-2),IF(OR($P278="FY26 provisional",$P278="FY26 secured"),"",0))</f>
        <v/>
      </c>
      <c r="O278" s="98">
        <f>IF($P278="Ready",IF('Rate Inputs'!$F295="","",ROUNDUP(IFERROR($L278,0),-2)),IF(OR($P278="FY26 provisional",$P278="FY26 secured"),"",0))</f>
        <v/>
      </c>
      <c r="P278" s="8" t="inlineStr">
        <is>
          <t>Ready</t>
        </is>
      </c>
      <c r="Q278" s="11" t="n"/>
    </row>
    <row r="279">
      <c r="A279" s="2" t="inlineStr">
        <is>
          <t>0088966150PCC88</t>
        </is>
      </c>
      <c r="B279" s="8">
        <f t="array" ref="B279:E279">_xlfn.XLOOKUP(A279,'Site Register'!A:A,'Site Register'!B:E)</f>
        <v/>
      </c>
      <c r="C279" s="8" t="inlineStr">
        <is>
          <t>New Zealand</t>
        </is>
      </c>
      <c r="D279" s="8" t="inlineStr">
        <is>
          <t>North Island</t>
        </is>
      </c>
      <c r="E279" s="8" t="inlineStr">
        <is>
          <t>NZ NTOU Electricity</t>
        </is>
      </c>
      <c r="F279" s="8" t="inlineStr">
        <is>
          <t>kWh</t>
        </is>
      </c>
      <c r="G279" s="95" t="n">
        <v>6374.767441860466</v>
      </c>
      <c r="H279" s="96" t="n">
        <v>46388</v>
      </c>
      <c r="I279" s="96" t="n">
        <v>47483</v>
      </c>
      <c r="J279" s="8" t="inlineStr">
        <is>
          <t>NZD</t>
        </is>
      </c>
      <c r="K279" s="97">
        <f>'Rate Inputs'!E296</f>
        <v/>
      </c>
      <c r="L279" s="97">
        <f>'Rate Inputs'!F296</f>
        <v/>
      </c>
      <c r="M279" s="98">
        <f>IF(OR($P279="Ready",$P279="FY26 provisional",$P279="FY26 secured"),IF($H279&lt;=DATE(2025,7,1),ROUNDUP($K279,-2),IF('Rate Inputs'!$J296="","",ROUNDUP(IF($H279&gt;DATE(2026,6,30),'Rate Inputs'!$J296,'Rate Inputs'!$J296*($H279-DATE(2025,7,1))/365+$K279*(DATE(2026,6,30)-$H279+1)/365),-2))),"")</f>
        <v/>
      </c>
      <c r="N279" s="98">
        <f>IF($P279="Ready",ROUNDUP(IFERROR($K279,0),-2),IF(OR($P279="FY26 provisional",$P279="FY26 secured"),"",0))</f>
        <v/>
      </c>
      <c r="O279" s="98">
        <f>IF($P279="Ready",IF('Rate Inputs'!$F296="","",ROUNDUP(IFERROR($L279,0),-2)),IF(OR($P279="FY26 provisional",$P279="FY26 secured"),"",0))</f>
        <v/>
      </c>
      <c r="P279" s="8" t="inlineStr">
        <is>
          <t>Ready</t>
        </is>
      </c>
      <c r="Q279" s="11" t="n"/>
    </row>
    <row r="280">
      <c r="A280" s="2" t="inlineStr">
        <is>
          <t>0300278047LC2C3</t>
        </is>
      </c>
      <c r="B280" s="8">
        <f t="array" ref="B280:E280">_xlfn.XLOOKUP(A280,'Site Register'!A:A,'Site Register'!B:E)</f>
        <v/>
      </c>
      <c r="C280" s="8" t="inlineStr">
        <is>
          <t>New Zealand</t>
        </is>
      </c>
      <c r="D280" s="8" t="inlineStr">
        <is>
          <t>North Island</t>
        </is>
      </c>
      <c r="E280" s="8" t="inlineStr">
        <is>
          <t>NZ NTOU Electricity</t>
        </is>
      </c>
      <c r="F280" s="8" t="inlineStr">
        <is>
          <t>kWh</t>
        </is>
      </c>
      <c r="G280" s="95" t="n">
        <v>137617.9432624113</v>
      </c>
      <c r="H280" s="96" t="n">
        <v>46388</v>
      </c>
      <c r="I280" s="96" t="n">
        <v>47483</v>
      </c>
      <c r="J280" s="8" t="inlineStr">
        <is>
          <t>NZD</t>
        </is>
      </c>
      <c r="K280" s="97">
        <f>'Rate Inputs'!E297</f>
        <v/>
      </c>
      <c r="L280" s="97">
        <f>'Rate Inputs'!F297</f>
        <v/>
      </c>
      <c r="M280" s="98">
        <f>IF(OR($P280="Ready",$P280="FY26 provisional",$P280="FY26 secured"),IF($H280&lt;=DATE(2025,7,1),ROUNDUP($K280,-2),IF('Rate Inputs'!$J297="","",ROUNDUP(IF($H280&gt;DATE(2026,6,30),'Rate Inputs'!$J297,'Rate Inputs'!$J297*($H280-DATE(2025,7,1))/365+$K280*(DATE(2026,6,30)-$H280+1)/365),-2))),"")</f>
        <v/>
      </c>
      <c r="N280" s="98">
        <f>IF($P280="Ready",ROUNDUP(IFERROR($K280,0),-2),IF(OR($P280="FY26 provisional",$P280="FY26 secured"),"",0))</f>
        <v/>
      </c>
      <c r="O280" s="98">
        <f>IF($P280="Ready",IF('Rate Inputs'!$F297="","",ROUNDUP(IFERROR($L280,0),-2)),IF(OR($P280="FY26 provisional",$P280="FY26 secured"),"",0))</f>
        <v/>
      </c>
      <c r="P280" s="8" t="inlineStr">
        <is>
          <t>Ready</t>
        </is>
      </c>
      <c r="Q280" s="11" t="n"/>
    </row>
    <row r="281">
      <c r="A281" s="2" t="inlineStr">
        <is>
          <t>0346100364LCEED</t>
        </is>
      </c>
      <c r="B281" s="8">
        <f t="array" ref="B281:E281">_xlfn.XLOOKUP(A281,'Site Register'!A:A,'Site Register'!B:E)</f>
        <v/>
      </c>
      <c r="C281" s="8" t="inlineStr">
        <is>
          <t>New Zealand</t>
        </is>
      </c>
      <c r="D281" s="8" t="inlineStr">
        <is>
          <t>North Island</t>
        </is>
      </c>
      <c r="E281" s="8" t="inlineStr">
        <is>
          <t>NZ NTOU Electricity</t>
        </is>
      </c>
      <c r="F281" s="8" t="inlineStr">
        <is>
          <t>kWh</t>
        </is>
      </c>
      <c r="G281" s="95" t="n">
        <v>56184.11347517731</v>
      </c>
      <c r="H281" s="96" t="n">
        <v>46388</v>
      </c>
      <c r="I281" s="96" t="n">
        <v>47483</v>
      </c>
      <c r="J281" s="8" t="inlineStr">
        <is>
          <t>NZD</t>
        </is>
      </c>
      <c r="K281" s="97">
        <f>'Rate Inputs'!E298</f>
        <v/>
      </c>
      <c r="L281" s="97">
        <f>'Rate Inputs'!F298</f>
        <v/>
      </c>
      <c r="M281" s="98">
        <f>IF(OR($P281="Ready",$P281="FY26 provisional",$P281="FY26 secured"),IF($H281&lt;=DATE(2025,7,1),ROUNDUP($K281,-2),IF('Rate Inputs'!$J298="","",ROUNDUP(IF($H281&gt;DATE(2026,6,30),'Rate Inputs'!$J298,'Rate Inputs'!$J298*($H281-DATE(2025,7,1))/365+$K281*(DATE(2026,6,30)-$H281+1)/365),-2))),"")</f>
        <v/>
      </c>
      <c r="N281" s="98">
        <f>IF($P281="Ready",ROUNDUP(IFERROR($K281,0),-2),IF(OR($P281="FY26 provisional",$P281="FY26 secured"),"",0))</f>
        <v/>
      </c>
      <c r="O281" s="98">
        <f>IF($P281="Ready",IF('Rate Inputs'!$F298="","",ROUNDUP(IFERROR($L281,0),-2)),IF(OR($P281="FY26 provisional",$P281="FY26 secured"),"",0))</f>
        <v/>
      </c>
      <c r="P281" s="8" t="inlineStr">
        <is>
          <t>Ready</t>
        </is>
      </c>
      <c r="Q281" s="11" t="n"/>
    </row>
    <row r="282">
      <c r="A282" s="2" t="inlineStr">
        <is>
          <t>0398095698LC2D6</t>
        </is>
      </c>
      <c r="B282" s="8">
        <f t="array" ref="B282:E282">_xlfn.XLOOKUP(A282,'Site Register'!A:A,'Site Register'!B:E)</f>
        <v/>
      </c>
      <c r="C282" s="8" t="inlineStr">
        <is>
          <t>New Zealand</t>
        </is>
      </c>
      <c r="D282" s="8" t="inlineStr">
        <is>
          <t>North Island</t>
        </is>
      </c>
      <c r="E282" s="8" t="inlineStr">
        <is>
          <t>NZ NTOU Electricity</t>
        </is>
      </c>
      <c r="F282" s="8" t="inlineStr">
        <is>
          <t>kWh</t>
        </is>
      </c>
      <c r="G282" s="95" t="n">
        <v>18300.91016548463</v>
      </c>
      <c r="H282" s="96" t="n">
        <v>46388</v>
      </c>
      <c r="I282" s="96" t="n">
        <v>47483</v>
      </c>
      <c r="J282" s="8" t="inlineStr">
        <is>
          <t>NZD</t>
        </is>
      </c>
      <c r="K282" s="97">
        <f>'Rate Inputs'!E299</f>
        <v/>
      </c>
      <c r="L282" s="97">
        <f>'Rate Inputs'!F299</f>
        <v/>
      </c>
      <c r="M282" s="98">
        <f>IF(OR($P282="Ready",$P282="FY26 provisional",$P282="FY26 secured"),IF($H282&lt;=DATE(2025,7,1),ROUNDUP($K282,-2),IF('Rate Inputs'!$J299="","",ROUNDUP(IF($H282&gt;DATE(2026,6,30),'Rate Inputs'!$J299,'Rate Inputs'!$J299*($H282-DATE(2025,7,1))/365+$K282*(DATE(2026,6,30)-$H282+1)/365),-2))),"")</f>
        <v/>
      </c>
      <c r="N282" s="98">
        <f>IF($P282="Ready",ROUNDUP(IFERROR($K282,0),-2),IF(OR($P282="FY26 provisional",$P282="FY26 secured"),"",0))</f>
        <v/>
      </c>
      <c r="O282" s="98">
        <f>IF($P282="Ready",IF('Rate Inputs'!$F299="","",ROUNDUP(IFERROR($L282,0),-2)),IF(OR($P282="FY26 provisional",$P282="FY26 secured"),"",0))</f>
        <v/>
      </c>
      <c r="P282" s="8" t="inlineStr">
        <is>
          <t>Ready</t>
        </is>
      </c>
      <c r="Q282" s="11" t="n"/>
    </row>
    <row r="283">
      <c r="A283" s="2" t="inlineStr">
        <is>
          <t>0415258065LC669</t>
        </is>
      </c>
      <c r="B283" s="8">
        <f t="array" ref="B283:E283">_xlfn.XLOOKUP(A283,'Site Register'!A:A,'Site Register'!B:E)</f>
        <v/>
      </c>
      <c r="C283" s="8" t="inlineStr">
        <is>
          <t>New Zealand</t>
        </is>
      </c>
      <c r="D283" s="8" t="inlineStr">
        <is>
          <t>North Island</t>
        </is>
      </c>
      <c r="E283" s="8" t="inlineStr">
        <is>
          <t>NZ NTOU Electricity</t>
        </is>
      </c>
      <c r="F283" s="8" t="inlineStr">
        <is>
          <t>kWh</t>
        </is>
      </c>
      <c r="G283" s="95" t="n">
        <v>23040.7328605201</v>
      </c>
      <c r="H283" s="96" t="n">
        <v>46388</v>
      </c>
      <c r="I283" s="96" t="n">
        <v>47483</v>
      </c>
      <c r="J283" s="8" t="inlineStr">
        <is>
          <t>NZD</t>
        </is>
      </c>
      <c r="K283" s="97">
        <f>'Rate Inputs'!E300</f>
        <v/>
      </c>
      <c r="L283" s="97">
        <f>'Rate Inputs'!F300</f>
        <v/>
      </c>
      <c r="M283" s="98">
        <f>IF(OR($P283="Ready",$P283="FY26 provisional",$P283="FY26 secured"),IF($H283&lt;=DATE(2025,7,1),ROUNDUP($K283,-2),IF('Rate Inputs'!$J300="","",ROUNDUP(IF($H283&gt;DATE(2026,6,30),'Rate Inputs'!$J300,'Rate Inputs'!$J300*($H283-DATE(2025,7,1))/365+$K283*(DATE(2026,6,30)-$H283+1)/365),-2))),"")</f>
        <v/>
      </c>
      <c r="N283" s="98">
        <f>IF($P283="Ready",ROUNDUP(IFERROR($K283,0),-2),IF(OR($P283="FY26 provisional",$P283="FY26 secured"),"",0))</f>
        <v/>
      </c>
      <c r="O283" s="98">
        <f>IF($P283="Ready",IF('Rate Inputs'!$F300="","",ROUNDUP(IFERROR($L283,0),-2)),IF(OR($P283="FY26 provisional",$P283="FY26 secured"),"",0))</f>
        <v/>
      </c>
      <c r="P283" s="8" t="inlineStr">
        <is>
          <t>Ready</t>
        </is>
      </c>
      <c r="Q283" s="11" t="n"/>
    </row>
    <row r="284">
      <c r="A284" s="2" t="inlineStr">
        <is>
          <t>0900090531PCF4E</t>
        </is>
      </c>
      <c r="B284" s="8">
        <f t="array" ref="B284:E284">_xlfn.XLOOKUP(A284,'Site Register'!A:A,'Site Register'!B:E)</f>
        <v/>
      </c>
      <c r="C284" s="8" t="inlineStr">
        <is>
          <t>New Zealand</t>
        </is>
      </c>
      <c r="D284" s="8" t="inlineStr">
        <is>
          <t>North Island</t>
        </is>
      </c>
      <c r="E284" s="8" t="inlineStr">
        <is>
          <t>NZ NTOU Electricity</t>
        </is>
      </c>
      <c r="F284" s="8" t="inlineStr">
        <is>
          <t>kWh</t>
        </is>
      </c>
      <c r="G284" s="95" t="n">
        <v>114160.4373522459</v>
      </c>
      <c r="H284" s="96" t="n">
        <v>46388</v>
      </c>
      <c r="I284" s="96" t="n">
        <v>47483</v>
      </c>
      <c r="J284" s="8" t="inlineStr">
        <is>
          <t>NZD</t>
        </is>
      </c>
      <c r="K284" s="97">
        <f>'Rate Inputs'!E301</f>
        <v/>
      </c>
      <c r="L284" s="97">
        <f>'Rate Inputs'!F301</f>
        <v/>
      </c>
      <c r="M284" s="98">
        <f>IF(OR($P284="Ready",$P284="FY26 provisional",$P284="FY26 secured"),IF($H284&lt;=DATE(2025,7,1),ROUNDUP($K284,-2),IF('Rate Inputs'!$J301="","",ROUNDUP(IF($H284&gt;DATE(2026,6,30),'Rate Inputs'!$J301,'Rate Inputs'!$J301*($H284-DATE(2025,7,1))/365+$K284*(DATE(2026,6,30)-$H284+1)/365),-2))),"")</f>
        <v/>
      </c>
      <c r="N284" s="98">
        <f>IF($P284="Ready",ROUNDUP(IFERROR($K284,0),-2),IF(OR($P284="FY26 provisional",$P284="FY26 secured"),"",0))</f>
        <v/>
      </c>
      <c r="O284" s="98">
        <f>IF($P284="Ready",IF('Rate Inputs'!$F301="","",ROUNDUP(IFERROR($L284,0),-2)),IF(OR($P284="FY26 provisional",$P284="FY26 secured"),"",0))</f>
        <v/>
      </c>
      <c r="P284" s="8" t="inlineStr">
        <is>
          <t>Ready</t>
        </is>
      </c>
      <c r="Q284" s="11" t="n"/>
    </row>
    <row r="285">
      <c r="A285" s="2" t="inlineStr">
        <is>
          <t>1000025462BP9A6</t>
        </is>
      </c>
      <c r="B285" s="8">
        <f t="array" ref="B285:E285">_xlfn.XLOOKUP(A285,'Site Register'!A:A,'Site Register'!B:E)</f>
        <v/>
      </c>
      <c r="C285" s="8" t="inlineStr">
        <is>
          <t>New Zealand</t>
        </is>
      </c>
      <c r="D285" s="8" t="inlineStr">
        <is>
          <t>North Island</t>
        </is>
      </c>
      <c r="E285" s="8" t="inlineStr">
        <is>
          <t>NZ NTOU Electricity</t>
        </is>
      </c>
      <c r="F285" s="8" t="inlineStr">
        <is>
          <t>kWh</t>
        </is>
      </c>
      <c r="G285" s="95" t="n">
        <v>2634.385342789598</v>
      </c>
      <c r="H285" s="96" t="n">
        <v>46388</v>
      </c>
      <c r="I285" s="96" t="n">
        <v>47483</v>
      </c>
      <c r="J285" s="8" t="inlineStr">
        <is>
          <t>NZD</t>
        </is>
      </c>
      <c r="K285" s="97">
        <f>'Rate Inputs'!E302</f>
        <v/>
      </c>
      <c r="L285" s="97">
        <f>'Rate Inputs'!F302</f>
        <v/>
      </c>
      <c r="M285" s="98">
        <f>IF(OR($P285="Ready",$P285="FY26 provisional",$P285="FY26 secured"),IF($H285&lt;=DATE(2025,7,1),ROUNDUP($K285,-2),IF('Rate Inputs'!$J302="","",ROUNDUP(IF($H285&gt;DATE(2026,6,30),'Rate Inputs'!$J302,'Rate Inputs'!$J302*($H285-DATE(2025,7,1))/365+$K285*(DATE(2026,6,30)-$H285+1)/365),-2))),"")</f>
        <v/>
      </c>
      <c r="N285" s="98">
        <f>IF($P285="Ready",ROUNDUP(IFERROR($K285,0),-2),IF(OR($P285="FY26 provisional",$P285="FY26 secured"),"",0))</f>
        <v/>
      </c>
      <c r="O285" s="98">
        <f>IF($P285="Ready",IF('Rate Inputs'!$F302="","",ROUNDUP(IFERROR($L285,0),-2)),IF(OR($P285="FY26 provisional",$P285="FY26 secured"),"",0))</f>
        <v/>
      </c>
      <c r="P285" s="8" t="inlineStr">
        <is>
          <t>Ready</t>
        </is>
      </c>
      <c r="Q285" s="11" t="n"/>
    </row>
    <row r="286">
      <c r="A286" s="2" t="inlineStr">
        <is>
          <t>1000524019PC6AD</t>
        </is>
      </c>
      <c r="B286" s="8">
        <f t="array" ref="B286:E286">_xlfn.XLOOKUP(A286,'Site Register'!A:A,'Site Register'!B:E)</f>
        <v/>
      </c>
      <c r="C286" s="8" t="inlineStr">
        <is>
          <t>New Zealand</t>
        </is>
      </c>
      <c r="D286" s="8" t="inlineStr">
        <is>
          <t>North Island</t>
        </is>
      </c>
      <c r="E286" s="8" t="inlineStr">
        <is>
          <t>NZ NTOU Electricity</t>
        </is>
      </c>
      <c r="F286" s="8" t="inlineStr">
        <is>
          <t>kWh</t>
        </is>
      </c>
      <c r="G286" s="95" t="n">
        <v>37827.97872340426</v>
      </c>
      <c r="H286" s="96" t="n">
        <v>46388</v>
      </c>
      <c r="I286" s="96" t="n">
        <v>47483</v>
      </c>
      <c r="J286" s="8" t="inlineStr">
        <is>
          <t>NZD</t>
        </is>
      </c>
      <c r="K286" s="97">
        <f>'Rate Inputs'!E304</f>
        <v/>
      </c>
      <c r="L286" s="97">
        <f>'Rate Inputs'!F304</f>
        <v/>
      </c>
      <c r="M286" s="98">
        <f>IF(OR($P286="Ready",$P286="FY26 provisional",$P286="FY26 secured"),IF($H286&lt;=DATE(2025,7,1),ROUNDUP($K286,-2),IF('Rate Inputs'!$J304="","",ROUNDUP(IF($H286&gt;DATE(2026,6,30),'Rate Inputs'!$J304,'Rate Inputs'!$J304*($H286-DATE(2025,7,1))/365+$K286*(DATE(2026,6,30)-$H286+1)/365),-2))),"")</f>
        <v/>
      </c>
      <c r="N286" s="98">
        <f>IF($P286="Ready",ROUNDUP(IFERROR($K286,0),-2),IF(OR($P286="FY26 provisional",$P286="FY26 secured"),"",0))</f>
        <v/>
      </c>
      <c r="O286" s="98">
        <f>IF($P286="Ready",IF('Rate Inputs'!$F304="","",ROUNDUP(IFERROR($L286,0),-2)),IF(OR($P286="FY26 provisional",$P286="FY26 secured"),"",0))</f>
        <v/>
      </c>
      <c r="P286" s="8" t="inlineStr">
        <is>
          <t>Ready</t>
        </is>
      </c>
      <c r="Q286" s="11" t="n"/>
    </row>
    <row r="287">
      <c r="A287" s="2" t="inlineStr">
        <is>
          <t>1000524774PC904</t>
        </is>
      </c>
      <c r="B287" s="8">
        <f t="array" ref="B287:E287">_xlfn.XLOOKUP(A287,'Site Register'!A:A,'Site Register'!B:E)</f>
        <v/>
      </c>
      <c r="C287" s="8" t="inlineStr">
        <is>
          <t>New Zealand</t>
        </is>
      </c>
      <c r="D287" s="8" t="inlineStr">
        <is>
          <t>North Island</t>
        </is>
      </c>
      <c r="E287" s="8" t="inlineStr">
        <is>
          <t>NZ NTOU Electricity</t>
        </is>
      </c>
      <c r="F287" s="8" t="inlineStr">
        <is>
          <t>kWh</t>
        </is>
      </c>
      <c r="G287" s="95" t="n">
        <v>150976.2529550827</v>
      </c>
      <c r="H287" s="96" t="n">
        <v>46388</v>
      </c>
      <c r="I287" s="96" t="n">
        <v>47483</v>
      </c>
      <c r="J287" s="8" t="inlineStr">
        <is>
          <t>NZD</t>
        </is>
      </c>
      <c r="K287" s="97">
        <f>'Rate Inputs'!E305</f>
        <v/>
      </c>
      <c r="L287" s="97">
        <f>'Rate Inputs'!F305</f>
        <v/>
      </c>
      <c r="M287" s="98">
        <f>IF(OR($P287="Ready",$P287="FY26 provisional",$P287="FY26 secured"),IF($H287&lt;=DATE(2025,7,1),ROUNDUP($K287,-2),IF('Rate Inputs'!$J305="","",ROUNDUP(IF($H287&gt;DATE(2026,6,30),'Rate Inputs'!$J305,'Rate Inputs'!$J305*($H287-DATE(2025,7,1))/365+$K287*(DATE(2026,6,30)-$H287+1)/365),-2))),"")</f>
        <v/>
      </c>
      <c r="N287" s="98">
        <f>IF($P287="Ready",ROUNDUP(IFERROR($K287,0),-2),IF(OR($P287="FY26 provisional",$P287="FY26 secured"),"",0))</f>
        <v/>
      </c>
      <c r="O287" s="98">
        <f>IF($P287="Ready",IF('Rate Inputs'!$F305="","",ROUNDUP(IFERROR($L287,0),-2)),IF(OR($P287="FY26 provisional",$P287="FY26 secured"),"",0))</f>
        <v/>
      </c>
      <c r="P287" s="8" t="inlineStr">
        <is>
          <t>Ready</t>
        </is>
      </c>
      <c r="Q287" s="11" t="n"/>
    </row>
    <row r="288">
      <c r="A288" s="2" t="inlineStr">
        <is>
          <t>1000566966PCDF2</t>
        </is>
      </c>
      <c r="B288" s="8">
        <f t="array" ref="B288:E288">_xlfn.XLOOKUP(A288,'Site Register'!A:A,'Site Register'!B:E)</f>
        <v/>
      </c>
      <c r="C288" s="8" t="inlineStr">
        <is>
          <t>New Zealand</t>
        </is>
      </c>
      <c r="D288" s="8" t="inlineStr">
        <is>
          <t>North Island</t>
        </is>
      </c>
      <c r="E288" s="8" t="inlineStr">
        <is>
          <t>NZ NTOU Electricity</t>
        </is>
      </c>
      <c r="F288" s="8" t="inlineStr">
        <is>
          <t>kWh</t>
        </is>
      </c>
      <c r="G288" s="95" t="n">
        <v>2445.261437908497</v>
      </c>
      <c r="H288" s="96" t="n">
        <v>46388</v>
      </c>
      <c r="I288" s="96" t="n">
        <v>47483</v>
      </c>
      <c r="J288" s="8" t="inlineStr">
        <is>
          <t>NZD</t>
        </is>
      </c>
      <c r="K288" s="97">
        <f>'Rate Inputs'!E306</f>
        <v/>
      </c>
      <c r="L288" s="97">
        <f>'Rate Inputs'!F306</f>
        <v/>
      </c>
      <c r="M288" s="98">
        <f>IF(OR($P288="Ready",$P288="FY26 provisional",$P288="FY26 secured"),IF($H288&lt;=DATE(2025,7,1),ROUNDUP($K288,-2),IF('Rate Inputs'!$J306="","",ROUNDUP(IF($H288&gt;DATE(2026,6,30),'Rate Inputs'!$J306,'Rate Inputs'!$J306*($H288-DATE(2025,7,1))/365+$K288*(DATE(2026,6,30)-$H288+1)/365),-2))),"")</f>
        <v/>
      </c>
      <c r="N288" s="98">
        <f>IF($P288="Ready",ROUNDUP(IFERROR($K288,0),-2),IF(OR($P288="FY26 provisional",$P288="FY26 secured"),"",0))</f>
        <v/>
      </c>
      <c r="O288" s="98">
        <f>IF($P288="Ready",IF('Rate Inputs'!$F306="","",ROUNDUP(IFERROR($L288,0),-2)),IF(OR($P288="FY26 provisional",$P288="FY26 secured"),"",0))</f>
        <v/>
      </c>
      <c r="P288" s="8" t="inlineStr">
        <is>
          <t>Ready</t>
        </is>
      </c>
      <c r="Q288" s="11" t="n"/>
    </row>
    <row r="289">
      <c r="A289" s="2" t="inlineStr">
        <is>
          <t>1000619535PCA5B</t>
        </is>
      </c>
      <c r="B289" s="8">
        <f t="array" ref="B289:E289">_xlfn.XLOOKUP(A289,'Site Register'!A:A,'Site Register'!B:E)</f>
        <v/>
      </c>
      <c r="C289" s="8" t="inlineStr">
        <is>
          <t>New Zealand</t>
        </is>
      </c>
      <c r="D289" s="8" t="inlineStr">
        <is>
          <t>North Island</t>
        </is>
      </c>
      <c r="E289" s="8" t="inlineStr">
        <is>
          <t>NZ NTOU Electricity</t>
        </is>
      </c>
      <c r="F289" s="8" t="inlineStr">
        <is>
          <t>kWh</t>
        </is>
      </c>
      <c r="G289" s="95" t="n">
        <v>5826.792763157895</v>
      </c>
      <c r="H289" s="96" t="n">
        <v>46388</v>
      </c>
      <c r="I289" s="96" t="n">
        <v>47483</v>
      </c>
      <c r="J289" s="8" t="inlineStr">
        <is>
          <t>NZD</t>
        </is>
      </c>
      <c r="K289" s="97">
        <f>'Rate Inputs'!E308</f>
        <v/>
      </c>
      <c r="L289" s="97">
        <f>'Rate Inputs'!F308</f>
        <v/>
      </c>
      <c r="M289" s="98">
        <f>IF(OR($P289="Ready",$P289="FY26 provisional",$P289="FY26 secured"),IF($H289&lt;=DATE(2025,7,1),ROUNDUP($K289,-2),IF('Rate Inputs'!$J308="","",ROUNDUP(IF($H289&gt;DATE(2026,6,30),'Rate Inputs'!$J308,'Rate Inputs'!$J308*($H289-DATE(2025,7,1))/365+$K289*(DATE(2026,6,30)-$H289+1)/365),-2))),"")</f>
        <v/>
      </c>
      <c r="N289" s="98">
        <f>IF($P289="Ready",ROUNDUP(IFERROR($K289,0),-2),IF(OR($P289="FY26 provisional",$P289="FY26 secured"),"",0))</f>
        <v/>
      </c>
      <c r="O289" s="98">
        <f>IF($P289="Ready",IF('Rate Inputs'!$F308="","",ROUNDUP(IFERROR($L289,0),-2)),IF(OR($P289="FY26 provisional",$P289="FY26 secured"),"",0))</f>
        <v/>
      </c>
      <c r="P289" s="8" t="inlineStr">
        <is>
          <t>Ready</t>
        </is>
      </c>
      <c r="Q289" s="11" t="n"/>
    </row>
    <row r="290">
      <c r="A290" s="2" t="inlineStr">
        <is>
          <t>1000620792PC805</t>
        </is>
      </c>
      <c r="B290" s="8">
        <f t="array" ref="B290:E290">_xlfn.XLOOKUP(A290,'Site Register'!A:A,'Site Register'!B:E)</f>
        <v/>
      </c>
      <c r="C290" s="8" t="inlineStr">
        <is>
          <t>New Zealand</t>
        </is>
      </c>
      <c r="D290" s="8" t="inlineStr">
        <is>
          <t>North Island</t>
        </is>
      </c>
      <c r="E290" s="8" t="inlineStr">
        <is>
          <t>NZ NTOU Electricity</t>
        </is>
      </c>
      <c r="F290" s="8" t="inlineStr">
        <is>
          <t>kWh</t>
        </is>
      </c>
      <c r="G290" s="95" t="n">
        <v>26418.9243498818</v>
      </c>
      <c r="H290" s="96" t="n">
        <v>46388</v>
      </c>
      <c r="I290" s="96" t="n">
        <v>47483</v>
      </c>
      <c r="J290" s="8" t="inlineStr">
        <is>
          <t>NZD</t>
        </is>
      </c>
      <c r="K290" s="97">
        <f>'Rate Inputs'!E309</f>
        <v/>
      </c>
      <c r="L290" s="97">
        <f>'Rate Inputs'!F309</f>
        <v/>
      </c>
      <c r="M290" s="98">
        <f>IF(OR($P290="Ready",$P290="FY26 provisional",$P290="FY26 secured"),IF($H290&lt;=DATE(2025,7,1),ROUNDUP($K290,-2),IF('Rate Inputs'!$J309="","",ROUNDUP(IF($H290&gt;DATE(2026,6,30),'Rate Inputs'!$J309,'Rate Inputs'!$J309*($H290-DATE(2025,7,1))/365+$K290*(DATE(2026,6,30)-$H290+1)/365),-2))),"")</f>
        <v/>
      </c>
      <c r="N290" s="98">
        <f>IF($P290="Ready",ROUNDUP(IFERROR($K290,0),-2),IF(OR($P290="FY26 provisional",$P290="FY26 secured"),"",0))</f>
        <v/>
      </c>
      <c r="O290" s="98">
        <f>IF($P290="Ready",IF('Rate Inputs'!$F309="","",ROUNDUP(IFERROR($L290,0),-2)),IF(OR($P290="FY26 provisional",$P290="FY26 secured"),"",0))</f>
        <v/>
      </c>
      <c r="P290" s="8" t="inlineStr">
        <is>
          <t>Ready</t>
        </is>
      </c>
      <c r="Q290" s="11" t="n"/>
    </row>
    <row r="291">
      <c r="A291" s="2" t="inlineStr">
        <is>
          <t>1001118772UNF47</t>
        </is>
      </c>
      <c r="B291" s="8">
        <f t="array" ref="B291:E291">_xlfn.XLOOKUP(A291,'Site Register'!A:A,'Site Register'!B:E)</f>
        <v/>
      </c>
      <c r="C291" s="8" t="inlineStr">
        <is>
          <t>New Zealand</t>
        </is>
      </c>
      <c r="D291" s="8" t="inlineStr">
        <is>
          <t>North Island</t>
        </is>
      </c>
      <c r="E291" s="8" t="inlineStr">
        <is>
          <t>NZ NTOU Electricity</t>
        </is>
      </c>
      <c r="F291" s="8" t="inlineStr">
        <is>
          <t>kWh</t>
        </is>
      </c>
      <c r="G291" s="95" t="n">
        <v>25064.19621749409</v>
      </c>
      <c r="H291" s="96" t="n">
        <v>46388</v>
      </c>
      <c r="I291" s="96" t="n">
        <v>47483</v>
      </c>
      <c r="J291" s="8" t="inlineStr">
        <is>
          <t>NZD</t>
        </is>
      </c>
      <c r="K291" s="97">
        <f>'Rate Inputs'!E311</f>
        <v/>
      </c>
      <c r="L291" s="97">
        <f>'Rate Inputs'!F311</f>
        <v/>
      </c>
      <c r="M291" s="98">
        <f>IF(OR($P291="Ready",$P291="FY26 provisional",$P291="FY26 secured"),IF($H291&lt;=DATE(2025,7,1),ROUNDUP($K291,-2),IF('Rate Inputs'!$J311="","",ROUNDUP(IF($H291&gt;DATE(2026,6,30),'Rate Inputs'!$J311,'Rate Inputs'!$J311*($H291-DATE(2025,7,1))/365+$K291*(DATE(2026,6,30)-$H291+1)/365),-2))),"")</f>
        <v/>
      </c>
      <c r="N291" s="98">
        <f>IF($P291="Ready",ROUNDUP(IFERROR($K291,0),-2),IF(OR($P291="FY26 provisional",$P291="FY26 secured"),"",0))</f>
        <v/>
      </c>
      <c r="O291" s="98">
        <f>IF($P291="Ready",IF('Rate Inputs'!$F311="","",ROUNDUP(IFERROR($L291,0),-2)),IF(OR($P291="FY26 provisional",$P291="FY26 secured"),"",0))</f>
        <v/>
      </c>
      <c r="P291" s="8" t="inlineStr">
        <is>
          <t>Ready</t>
        </is>
      </c>
      <c r="Q291" s="11" t="n"/>
    </row>
    <row r="292">
      <c r="A292" s="2" t="inlineStr">
        <is>
          <t>1001132596LC369</t>
        </is>
      </c>
      <c r="B292" s="8">
        <f t="array" ref="B292:E292">_xlfn.XLOOKUP(A292,'Site Register'!A:A,'Site Register'!B:E)</f>
        <v/>
      </c>
      <c r="C292" s="8" t="inlineStr">
        <is>
          <t>New Zealand</t>
        </is>
      </c>
      <c r="D292" s="8" t="inlineStr">
        <is>
          <t>North Island</t>
        </is>
      </c>
      <c r="E292" s="8" t="inlineStr">
        <is>
          <t>NZ NTOU Electricity</t>
        </is>
      </c>
      <c r="F292" s="8" t="inlineStr">
        <is>
          <t>kWh</t>
        </is>
      </c>
      <c r="G292" s="95" t="n">
        <v>6217.080378250591</v>
      </c>
      <c r="H292" s="96" t="n">
        <v>46388</v>
      </c>
      <c r="I292" s="96" t="n">
        <v>47483</v>
      </c>
      <c r="J292" s="8" t="inlineStr">
        <is>
          <t>NZD</t>
        </is>
      </c>
      <c r="K292" s="97">
        <f>'Rate Inputs'!E313</f>
        <v/>
      </c>
      <c r="L292" s="97">
        <f>'Rate Inputs'!F313</f>
        <v/>
      </c>
      <c r="M292" s="98">
        <f>IF(OR($P292="Ready",$P292="FY26 provisional",$P292="FY26 secured"),IF($H292&lt;=DATE(2025,7,1),ROUNDUP($K292,-2),IF('Rate Inputs'!$J313="","",ROUNDUP(IF($H292&gt;DATE(2026,6,30),'Rate Inputs'!$J313,'Rate Inputs'!$J313*($H292-DATE(2025,7,1))/365+$K292*(DATE(2026,6,30)-$H292+1)/365),-2))),"")</f>
        <v/>
      </c>
      <c r="N292" s="98">
        <f>IF($P292="Ready",ROUNDUP(IFERROR($K292,0),-2),IF(OR($P292="FY26 provisional",$P292="FY26 secured"),"",0))</f>
        <v/>
      </c>
      <c r="O292" s="98">
        <f>IF($P292="Ready",IF('Rate Inputs'!$F313="","",ROUNDUP(IFERROR($L292,0),-2)),IF(OR($P292="FY26 provisional",$P292="FY26 secured"),"",0))</f>
        <v/>
      </c>
      <c r="P292" s="8" t="inlineStr">
        <is>
          <t>Ready</t>
        </is>
      </c>
      <c r="Q292" s="11" t="n"/>
    </row>
    <row r="293">
      <c r="A293" s="2" t="inlineStr">
        <is>
          <t>1001151491CK976</t>
        </is>
      </c>
      <c r="B293" s="8">
        <f t="array" ref="B293:E293">_xlfn.XLOOKUP(A293,'Site Register'!A:A,'Site Register'!B:E)</f>
        <v/>
      </c>
      <c r="C293" s="8" t="inlineStr">
        <is>
          <t>New Zealand</t>
        </is>
      </c>
      <c r="D293" s="8" t="inlineStr">
        <is>
          <t>North Island</t>
        </is>
      </c>
      <c r="E293" s="8" t="inlineStr">
        <is>
          <t>NZ NTOU Electricity</t>
        </is>
      </c>
      <c r="F293" s="8" t="inlineStr">
        <is>
          <t>kWh</t>
        </is>
      </c>
      <c r="G293" s="95" t="n">
        <v>121515.6619385343</v>
      </c>
      <c r="H293" s="96" t="n">
        <v>46388</v>
      </c>
      <c r="I293" s="96" t="n">
        <v>47483</v>
      </c>
      <c r="J293" s="8" t="inlineStr">
        <is>
          <t>NZD</t>
        </is>
      </c>
      <c r="K293" s="97">
        <f>'Rate Inputs'!E315</f>
        <v/>
      </c>
      <c r="L293" s="97">
        <f>'Rate Inputs'!F315</f>
        <v/>
      </c>
      <c r="M293" s="98">
        <f>IF(OR($P293="Ready",$P293="FY26 provisional",$P293="FY26 secured"),IF($H293&lt;=DATE(2025,7,1),ROUNDUP($K293,-2),IF('Rate Inputs'!$J315="","",ROUNDUP(IF($H293&gt;DATE(2026,6,30),'Rate Inputs'!$J315,'Rate Inputs'!$J315*($H293-DATE(2025,7,1))/365+$K293*(DATE(2026,6,30)-$H293+1)/365),-2))),"")</f>
        <v/>
      </c>
      <c r="N293" s="98">
        <f>IF($P293="Ready",ROUNDUP(IFERROR($K293,0),-2),IF(OR($P293="FY26 provisional",$P293="FY26 secured"),"",0))</f>
        <v/>
      </c>
      <c r="O293" s="98">
        <f>IF($P293="Ready",IF('Rate Inputs'!$F315="","",ROUNDUP(IFERROR($L293,0),-2)),IF(OR($P293="FY26 provisional",$P293="FY26 secured"),"",0))</f>
        <v/>
      </c>
      <c r="P293" s="8" t="inlineStr">
        <is>
          <t>Ready</t>
        </is>
      </c>
      <c r="Q293" s="11" t="n"/>
    </row>
    <row r="294">
      <c r="A294" s="2" t="inlineStr">
        <is>
          <t>1001245025LCA73</t>
        </is>
      </c>
      <c r="B294" s="8">
        <f t="array" ref="B294:E294">_xlfn.XLOOKUP(A294,'Site Register'!A:A,'Site Register'!B:E)</f>
        <v/>
      </c>
      <c r="C294" s="8" t="inlineStr">
        <is>
          <t>New Zealand</t>
        </is>
      </c>
      <c r="D294" s="8" t="inlineStr">
        <is>
          <t>North Island</t>
        </is>
      </c>
      <c r="E294" s="8" t="inlineStr">
        <is>
          <t>NZ NTOU Electricity</t>
        </is>
      </c>
      <c r="F294" s="8" t="inlineStr">
        <is>
          <t>kWh</t>
        </is>
      </c>
      <c r="G294" s="95" t="n">
        <v>19466.66666666667</v>
      </c>
      <c r="H294" s="96" t="n">
        <v>46388</v>
      </c>
      <c r="I294" s="96" t="n">
        <v>47483</v>
      </c>
      <c r="J294" s="8" t="inlineStr">
        <is>
          <t>NZD</t>
        </is>
      </c>
      <c r="K294" s="97">
        <f>'Rate Inputs'!E317</f>
        <v/>
      </c>
      <c r="L294" s="97">
        <f>'Rate Inputs'!F317</f>
        <v/>
      </c>
      <c r="M294" s="98">
        <f>IF(OR($P294="Ready",$P294="FY26 provisional",$P294="FY26 secured"),IF($H294&lt;=DATE(2025,7,1),ROUNDUP($K294,-2),IF('Rate Inputs'!$J317="","",ROUNDUP(IF($H294&gt;DATE(2026,6,30),'Rate Inputs'!$J317,'Rate Inputs'!$J317*($H294-DATE(2025,7,1))/365+$K294*(DATE(2026,6,30)-$H294+1)/365),-2))),"")</f>
        <v/>
      </c>
      <c r="N294" s="98">
        <f>IF($P294="Ready",ROUNDUP(IFERROR($K294,0),-2),IF(OR($P294="FY26 provisional",$P294="FY26 secured"),"",0))</f>
        <v/>
      </c>
      <c r="O294" s="98">
        <f>IF($P294="Ready",IF('Rate Inputs'!$F317="","",ROUNDUP(IFERROR($L294,0),-2)),IF(OR($P294="FY26 provisional",$P294="FY26 secured"),"",0))</f>
        <v/>
      </c>
      <c r="P294" s="8" t="inlineStr">
        <is>
          <t>Ready</t>
        </is>
      </c>
      <c r="Q294" s="11" t="n"/>
    </row>
    <row r="295">
      <c r="A295" s="2" t="inlineStr">
        <is>
          <t>1001280356UN969</t>
        </is>
      </c>
      <c r="B295" s="8">
        <f t="array" ref="B295:E295">_xlfn.XLOOKUP(A295,'Site Register'!A:A,'Site Register'!B:E)</f>
        <v/>
      </c>
      <c r="C295" s="8" t="inlineStr">
        <is>
          <t>New Zealand</t>
        </is>
      </c>
      <c r="D295" s="8" t="inlineStr">
        <is>
          <t>North Island</t>
        </is>
      </c>
      <c r="E295" s="8" t="inlineStr">
        <is>
          <t>NZ NTOU Electricity</t>
        </is>
      </c>
      <c r="F295" s="8" t="inlineStr">
        <is>
          <t>kWh</t>
        </is>
      </c>
      <c r="G295" s="95" t="n">
        <v>21037.1158392435</v>
      </c>
      <c r="H295" s="96" t="n">
        <v>46388</v>
      </c>
      <c r="I295" s="96" t="n">
        <v>47483</v>
      </c>
      <c r="J295" s="8" t="inlineStr">
        <is>
          <t>NZD</t>
        </is>
      </c>
      <c r="K295" s="97">
        <f>'Rate Inputs'!E318</f>
        <v/>
      </c>
      <c r="L295" s="97">
        <f>'Rate Inputs'!F318</f>
        <v/>
      </c>
      <c r="M295" s="98">
        <f>IF(OR($P295="Ready",$P295="FY26 provisional",$P295="FY26 secured"),IF($H295&lt;=DATE(2025,7,1),ROUNDUP($K295,-2),IF('Rate Inputs'!$J318="","",ROUNDUP(IF($H295&gt;DATE(2026,6,30),'Rate Inputs'!$J318,'Rate Inputs'!$J318*($H295-DATE(2025,7,1))/365+$K295*(DATE(2026,6,30)-$H295+1)/365),-2))),"")</f>
        <v/>
      </c>
      <c r="N295" s="98">
        <f>IF($P295="Ready",ROUNDUP(IFERROR($K295,0),-2),IF(OR($P295="FY26 provisional",$P295="FY26 secured"),"",0))</f>
        <v/>
      </c>
      <c r="O295" s="98">
        <f>IF($P295="Ready",IF('Rate Inputs'!$F318="","",ROUNDUP(IFERROR($L295,0),-2)),IF(OR($P295="FY26 provisional",$P295="FY26 secured"),"",0))</f>
        <v/>
      </c>
      <c r="P295" s="8" t="inlineStr">
        <is>
          <t>Ready</t>
        </is>
      </c>
      <c r="Q295" s="11" t="n"/>
    </row>
    <row r="296">
      <c r="A296" s="2" t="inlineStr">
        <is>
          <t>1001280900LC0F0</t>
        </is>
      </c>
      <c r="B296" s="8">
        <f t="array" ref="B296:E296">_xlfn.XLOOKUP(A296,'Site Register'!A:A,'Site Register'!B:E)</f>
        <v/>
      </c>
      <c r="C296" s="8" t="inlineStr">
        <is>
          <t>New Zealand</t>
        </is>
      </c>
      <c r="D296" s="8" t="inlineStr">
        <is>
          <t>North Island</t>
        </is>
      </c>
      <c r="E296" s="8" t="inlineStr">
        <is>
          <t>NZ NTOU Electricity</t>
        </is>
      </c>
      <c r="F296" s="8" t="inlineStr">
        <is>
          <t>kWh</t>
        </is>
      </c>
      <c r="G296" s="95" t="n">
        <v>41757.55319148936</v>
      </c>
      <c r="H296" s="96" t="n">
        <v>46388</v>
      </c>
      <c r="I296" s="96" t="n">
        <v>47483</v>
      </c>
      <c r="J296" s="8" t="inlineStr">
        <is>
          <t>NZD</t>
        </is>
      </c>
      <c r="K296" s="97">
        <f>'Rate Inputs'!E319</f>
        <v/>
      </c>
      <c r="L296" s="97">
        <f>'Rate Inputs'!F319</f>
        <v/>
      </c>
      <c r="M296" s="98">
        <f>IF(OR($P296="Ready",$P296="FY26 provisional",$P296="FY26 secured"),IF($H296&lt;=DATE(2025,7,1),ROUNDUP($K296,-2),IF('Rate Inputs'!$J319="","",ROUNDUP(IF($H296&gt;DATE(2026,6,30),'Rate Inputs'!$J319,'Rate Inputs'!$J319*($H296-DATE(2025,7,1))/365+$K296*(DATE(2026,6,30)-$H296+1)/365),-2))),"")</f>
        <v/>
      </c>
      <c r="N296" s="98">
        <f>IF($P296="Ready",ROUNDUP(IFERROR($K296,0),-2),IF(OR($P296="FY26 provisional",$P296="FY26 secured"),"",0))</f>
        <v/>
      </c>
      <c r="O296" s="98">
        <f>IF($P296="Ready",IF('Rate Inputs'!$F319="","",ROUNDUP(IFERROR($L296,0),-2)),IF(OR($P296="FY26 provisional",$P296="FY26 secured"),"",0))</f>
        <v/>
      </c>
      <c r="P296" s="8" t="inlineStr">
        <is>
          <t>Ready</t>
        </is>
      </c>
      <c r="Q296" s="11" t="n"/>
    </row>
    <row r="297">
      <c r="A297" s="2" t="inlineStr">
        <is>
          <t>Greenfield</t>
        </is>
      </c>
      <c r="B297" s="8">
        <f t="array" ref="B297:E297">_xlfn.XLOOKUP(A297,'Site Register'!A:A,'Site Register'!B:E)</f>
        <v/>
      </c>
      <c r="C297" s="8" t="inlineStr">
        <is>
          <t>New Zealand</t>
        </is>
      </c>
      <c r="D297" s="8" t="inlineStr">
        <is>
          <t>South Island</t>
        </is>
      </c>
      <c r="E297" s="8" t="inlineStr">
        <is>
          <t>NZ NTOU Electricity</t>
        </is>
      </c>
      <c r="F297" s="8" t="inlineStr">
        <is>
          <t>kWh</t>
        </is>
      </c>
      <c r="G297" s="95" t="n">
        <v>0</v>
      </c>
      <c r="H297" s="96" t="n">
        <v>46388</v>
      </c>
      <c r="I297" s="96" t="n">
        <v>47483</v>
      </c>
      <c r="J297" s="8" t="inlineStr">
        <is>
          <t>NZD</t>
        </is>
      </c>
      <c r="K297" s="97">
        <f>'Rate Inputs'!E323</f>
        <v/>
      </c>
      <c r="L297" s="97">
        <f>'Rate Inputs'!F323</f>
        <v/>
      </c>
      <c r="M297" s="98">
        <f>IF(OR($P297="Ready",$P297="FY26 provisional",$P297="FY26 secured"),IF($H297&lt;=DATE(2025,7,1),ROUNDUP($K297,-2),IF('Rate Inputs'!$J323="","",ROUNDUP(IF($H297&gt;DATE(2026,6,30),'Rate Inputs'!$J323,'Rate Inputs'!$J323*($H297-DATE(2025,7,1))/365+$K297*(DATE(2026,6,30)-$H297+1)/365),-2))),"")</f>
        <v/>
      </c>
      <c r="N297" s="98">
        <f>IF($P297="Ready",ROUNDUP(IFERROR($K297,0),-2),IF(OR($P297="FY26 provisional",$P297="FY26 secured"),"",0))</f>
        <v/>
      </c>
      <c r="O297" s="98">
        <f>IF($P297="Ready",IF('Rate Inputs'!$F323="","",ROUNDUP(IFERROR($L297,0),-2)),IF(OR($P297="FY26 provisional",$P297="FY26 secured"),"",0))</f>
        <v/>
      </c>
      <c r="P297" s="8" t="inlineStr">
        <is>
          <t>Review required</t>
        </is>
      </c>
      <c r="Q297" s="11" t="n"/>
    </row>
    <row r="298">
      <c r="A298" s="2" t="inlineStr">
        <is>
          <t>0001002400PGD55</t>
        </is>
      </c>
      <c r="B298" s="8">
        <f t="array" ref="B298:E298">_xlfn.XLOOKUP(A298,'Site Register'!A:A,'Site Register'!B:E)</f>
        <v/>
      </c>
      <c r="C298" s="8" t="inlineStr">
        <is>
          <t>New Zealand</t>
        </is>
      </c>
      <c r="D298" s="8" t="inlineStr">
        <is>
          <t>North Island</t>
        </is>
      </c>
      <c r="E298" s="8" t="inlineStr">
        <is>
          <t>NZ NTOU Natural Gas</t>
        </is>
      </c>
      <c r="F298" s="8" t="inlineStr">
        <is>
          <t>kWh</t>
        </is>
      </c>
      <c r="G298" s="95" t="n">
        <v>8000</v>
      </c>
      <c r="H298" s="96" t="n">
        <v>46296</v>
      </c>
      <c r="I298" s="96" t="n">
        <v>47756</v>
      </c>
      <c r="J298" s="8" t="inlineStr">
        <is>
          <t>NZD</t>
        </is>
      </c>
      <c r="K298" s="97">
        <f>'Rate Inputs'!E325</f>
        <v/>
      </c>
      <c r="L298" s="97">
        <f>'Rate Inputs'!F325</f>
        <v/>
      </c>
      <c r="M298" s="98">
        <f>IF(OR($P298="Ready",$P298="FY26 provisional",$P298="FY26 secured"),IF($H298&lt;=DATE(2025,7,1),ROUNDUP($K298,-2),IF('Rate Inputs'!$J325="","",ROUNDUP(IF($H298&gt;DATE(2026,6,30),'Rate Inputs'!$J325,'Rate Inputs'!$J325*($H298-DATE(2025,7,1))/365+$K298*(DATE(2026,6,30)-$H298+1)/365),-2))),"")</f>
        <v/>
      </c>
      <c r="N298" s="98">
        <f>IF($P298="Ready",ROUNDUP(IFERROR($K298,0),-2),IF(OR($P298="FY26 provisional",$P298="FY26 secured"),"",0))</f>
        <v/>
      </c>
      <c r="O298" s="98">
        <f>IF($P298="Ready",IF('Rate Inputs'!$F325="","",ROUNDUP(IFERROR($L298,0),-2)),IF(OR($P298="FY26 provisional",$P298="FY26 secured"),"",0))</f>
        <v/>
      </c>
      <c r="P298" s="8" t="inlineStr">
        <is>
          <t>Ready</t>
        </is>
      </c>
      <c r="Q298" s="11" t="n"/>
    </row>
    <row r="299">
      <c r="A299" s="2" t="inlineStr">
        <is>
          <t>0001700321PG50C</t>
        </is>
      </c>
      <c r="B299" s="8">
        <f t="array" ref="B299:E299">_xlfn.XLOOKUP(A299,'Site Register'!A:A,'Site Register'!B:E)</f>
        <v/>
      </c>
      <c r="C299" s="8" t="inlineStr">
        <is>
          <t>New Zealand</t>
        </is>
      </c>
      <c r="D299" s="8" t="inlineStr">
        <is>
          <t>North Island</t>
        </is>
      </c>
      <c r="E299" s="8" t="inlineStr">
        <is>
          <t>NZ NTOU Natural Gas</t>
        </is>
      </c>
      <c r="F299" s="8" t="inlineStr">
        <is>
          <t>kWh</t>
        </is>
      </c>
      <c r="G299" s="95" t="n">
        <v>4000</v>
      </c>
      <c r="H299" s="96" t="n">
        <v>46296</v>
      </c>
      <c r="I299" s="96" t="n">
        <v>47756</v>
      </c>
      <c r="J299" s="8" t="inlineStr">
        <is>
          <t>NZD</t>
        </is>
      </c>
      <c r="K299" s="97">
        <f>'Rate Inputs'!E328</f>
        <v/>
      </c>
      <c r="L299" s="97">
        <f>'Rate Inputs'!F328</f>
        <v/>
      </c>
      <c r="M299" s="98">
        <f>IF(OR($P299="Ready",$P299="FY26 provisional",$P299="FY26 secured"),IF($H299&lt;=DATE(2025,7,1),ROUNDUP($K299,-2),IF('Rate Inputs'!$J328="","",ROUNDUP(IF($H299&gt;DATE(2026,6,30),'Rate Inputs'!$J328,'Rate Inputs'!$J328*($H299-DATE(2025,7,1))/365+$K299*(DATE(2026,6,30)-$H299+1)/365),-2))),"")</f>
        <v/>
      </c>
      <c r="N299" s="98">
        <f>IF($P299="Ready",ROUNDUP(IFERROR($K299,0),-2),IF(OR($P299="FY26 provisional",$P299="FY26 secured"),"",0))</f>
        <v/>
      </c>
      <c r="O299" s="98">
        <f>IF($P299="Ready",IF('Rate Inputs'!$F328="","",ROUNDUP(IFERROR($L299,0),-2)),IF(OR($P299="FY26 provisional",$P299="FY26 secured"),"",0))</f>
        <v/>
      </c>
      <c r="P299" s="8" t="inlineStr">
        <is>
          <t>Ready</t>
        </is>
      </c>
      <c r="Q299" s="11" t="n"/>
    </row>
    <row r="300">
      <c r="A300" s="2" t="inlineStr">
        <is>
          <t>0001702030PG3A7</t>
        </is>
      </c>
      <c r="B300" s="8">
        <f t="array" ref="B300:E300">_xlfn.XLOOKUP(A300,'Site Register'!A:A,'Site Register'!B:E)</f>
        <v/>
      </c>
      <c r="C300" s="8" t="inlineStr">
        <is>
          <t>New Zealand</t>
        </is>
      </c>
      <c r="D300" s="8" t="inlineStr">
        <is>
          <t>North Island</t>
        </is>
      </c>
      <c r="E300" s="8" t="inlineStr">
        <is>
          <t>NZ NTOU Natural Gas</t>
        </is>
      </c>
      <c r="F300" s="8" t="inlineStr">
        <is>
          <t>kWh</t>
        </is>
      </c>
      <c r="G300" s="95" t="n">
        <v>8000</v>
      </c>
      <c r="H300" s="96" t="n">
        <v>46296</v>
      </c>
      <c r="I300" s="96" t="n">
        <v>47756</v>
      </c>
      <c r="J300" s="8" t="inlineStr">
        <is>
          <t>NZD</t>
        </is>
      </c>
      <c r="K300" s="97">
        <f>'Rate Inputs'!E329</f>
        <v/>
      </c>
      <c r="L300" s="97">
        <f>'Rate Inputs'!F329</f>
        <v/>
      </c>
      <c r="M300" s="98">
        <f>IF(OR($P300="Ready",$P300="FY26 provisional",$P300="FY26 secured"),IF($H300&lt;=DATE(2025,7,1),ROUNDUP($K300,-2),IF('Rate Inputs'!$J329="","",ROUNDUP(IF($H300&gt;DATE(2026,6,30),'Rate Inputs'!$J329,'Rate Inputs'!$J329*($H300-DATE(2025,7,1))/365+$K300*(DATE(2026,6,30)-$H300+1)/365),-2))),"")</f>
        <v/>
      </c>
      <c r="N300" s="98">
        <f>IF($P300="Ready",ROUNDUP(IFERROR($K300,0),-2),IF(OR($P300="FY26 provisional",$P300="FY26 secured"),"",0))</f>
        <v/>
      </c>
      <c r="O300" s="98">
        <f>IF($P300="Ready",IF('Rate Inputs'!$F329="","",ROUNDUP(IFERROR($L300,0),-2)),IF(OR($P300="FY26 provisional",$P300="FY26 secured"),"",0))</f>
        <v/>
      </c>
      <c r="P300" s="8" t="inlineStr">
        <is>
          <t>Ready</t>
        </is>
      </c>
      <c r="Q300" s="11" t="n"/>
    </row>
    <row r="301">
      <c r="A301" s="2" t="inlineStr">
        <is>
          <t>0004212495NG7EE</t>
        </is>
      </c>
      <c r="B301" s="8">
        <f t="array" ref="B301:E301">_xlfn.XLOOKUP(A301,'Site Register'!A:A,'Site Register'!B:E)</f>
        <v/>
      </c>
      <c r="C301" s="8" t="inlineStr">
        <is>
          <t>New Zealand</t>
        </is>
      </c>
      <c r="D301" s="8" t="inlineStr">
        <is>
          <t>North Island</t>
        </is>
      </c>
      <c r="E301" s="8" t="inlineStr">
        <is>
          <t>NZ NTOU Natural Gas</t>
        </is>
      </c>
      <c r="F301" s="8" t="inlineStr">
        <is>
          <t>kWh</t>
        </is>
      </c>
      <c r="G301" s="95" t="n">
        <v>3000</v>
      </c>
      <c r="H301" s="96" t="n">
        <v>46296</v>
      </c>
      <c r="I301" s="96" t="n">
        <v>47756</v>
      </c>
      <c r="J301" s="8" t="inlineStr">
        <is>
          <t>NZD</t>
        </is>
      </c>
      <c r="K301" s="97">
        <f>'Rate Inputs'!E330</f>
        <v/>
      </c>
      <c r="L301" s="97">
        <f>'Rate Inputs'!F330</f>
        <v/>
      </c>
      <c r="M301" s="98">
        <f>IF(OR($P301="Ready",$P301="FY26 provisional",$P301="FY26 secured"),IF($H301&lt;=DATE(2025,7,1),ROUNDUP($K301,-2),IF('Rate Inputs'!$J330="","",ROUNDUP(IF($H301&gt;DATE(2026,6,30),'Rate Inputs'!$J330,'Rate Inputs'!$J330*($H301-DATE(2025,7,1))/365+$K301*(DATE(2026,6,30)-$H301+1)/365),-2))),"")</f>
        <v/>
      </c>
      <c r="N301" s="98">
        <f>IF($P301="Ready",ROUNDUP(IFERROR($K301,0),-2),IF(OR($P301="FY26 provisional",$P301="FY26 secured"),"",0))</f>
        <v/>
      </c>
      <c r="O301" s="98">
        <f>IF($P301="Ready",IF('Rate Inputs'!$F330="","",ROUNDUP(IFERROR($L301,0),-2)),IF(OR($P301="FY26 provisional",$P301="FY26 secured"),"",0))</f>
        <v/>
      </c>
      <c r="P301" s="8" t="inlineStr">
        <is>
          <t>Ready</t>
        </is>
      </c>
      <c r="Q301" s="11" t="n"/>
    </row>
    <row r="302">
      <c r="A302" s="2" t="inlineStr">
        <is>
          <t>0004212498NG8B5</t>
        </is>
      </c>
      <c r="B302" s="8">
        <f t="array" ref="B302:E302">_xlfn.XLOOKUP(A302,'Site Register'!A:A,'Site Register'!B:E)</f>
        <v/>
      </c>
      <c r="C302" s="8" t="inlineStr">
        <is>
          <t>New Zealand</t>
        </is>
      </c>
      <c r="D302" s="8" t="inlineStr">
        <is>
          <t>North Island</t>
        </is>
      </c>
      <c r="E302" s="8" t="inlineStr">
        <is>
          <t>NZ NTOU Natural Gas</t>
        </is>
      </c>
      <c r="F302" s="8" t="inlineStr">
        <is>
          <t>kWh</t>
        </is>
      </c>
      <c r="G302" s="95" t="n">
        <v>3000</v>
      </c>
      <c r="H302" s="96" t="n">
        <v>46296</v>
      </c>
      <c r="I302" s="96" t="n">
        <v>47756</v>
      </c>
      <c r="J302" s="8" t="inlineStr">
        <is>
          <t>NZD</t>
        </is>
      </c>
      <c r="K302" s="97">
        <f>'Rate Inputs'!E331</f>
        <v/>
      </c>
      <c r="L302" s="97">
        <f>'Rate Inputs'!F331</f>
        <v/>
      </c>
      <c r="M302" s="98">
        <f>IF(OR($P302="Ready",$P302="FY26 provisional",$P302="FY26 secured"),IF($H302&lt;=DATE(2025,7,1),ROUNDUP($K302,-2),IF('Rate Inputs'!$J331="","",ROUNDUP(IF($H302&gt;DATE(2026,6,30),'Rate Inputs'!$J331,'Rate Inputs'!$J331*($H302-DATE(2025,7,1))/365+$K302*(DATE(2026,6,30)-$H302+1)/365),-2))),"")</f>
        <v/>
      </c>
      <c r="N302" s="98">
        <f>IF($P302="Ready",ROUNDUP(IFERROR($K302,0),-2),IF(OR($P302="FY26 provisional",$P302="FY26 secured"),"",0))</f>
        <v/>
      </c>
      <c r="O302" s="98">
        <f>IF($P302="Ready",IF('Rate Inputs'!$F331="","",ROUNDUP(IFERROR($L302,0),-2)),IF(OR($P302="FY26 provisional",$P302="FY26 secured"),"",0))</f>
        <v/>
      </c>
      <c r="P302" s="8" t="inlineStr">
        <is>
          <t>Ready</t>
        </is>
      </c>
      <c r="Q302" s="11" t="n"/>
    </row>
    <row r="303">
      <c r="A303" s="2" t="inlineStr">
        <is>
          <t>0011001339PGB95</t>
        </is>
      </c>
      <c r="B303" s="8">
        <f t="array" ref="B303:E303">_xlfn.XLOOKUP(A303,'Site Register'!A:A,'Site Register'!B:E)</f>
        <v/>
      </c>
      <c r="C303" s="8" t="inlineStr">
        <is>
          <t>New Zealand</t>
        </is>
      </c>
      <c r="D303" s="8" t="inlineStr">
        <is>
          <t>North Island</t>
        </is>
      </c>
      <c r="E303" s="8" t="inlineStr">
        <is>
          <t>NZ NTOU Natural Gas</t>
        </is>
      </c>
      <c r="F303" s="8" t="inlineStr">
        <is>
          <t>kWh</t>
        </is>
      </c>
      <c r="G303" s="95" t="n">
        <v>7000</v>
      </c>
      <c r="H303" s="96" t="n">
        <v>46296</v>
      </c>
      <c r="I303" s="96" t="n">
        <v>47756</v>
      </c>
      <c r="J303" s="8" t="inlineStr">
        <is>
          <t>NZD</t>
        </is>
      </c>
      <c r="K303" s="97">
        <f>'Rate Inputs'!E335</f>
        <v/>
      </c>
      <c r="L303" s="97">
        <f>'Rate Inputs'!F335</f>
        <v/>
      </c>
      <c r="M303" s="98">
        <f>IF(OR($P303="Ready",$P303="FY26 provisional",$P303="FY26 secured"),IF($H303&lt;=DATE(2025,7,1),ROUNDUP($K303,-2),IF('Rate Inputs'!$J335="","",ROUNDUP(IF($H303&gt;DATE(2026,6,30),'Rate Inputs'!$J335,'Rate Inputs'!$J335*($H303-DATE(2025,7,1))/365+$K303*(DATE(2026,6,30)-$H303+1)/365),-2))),"")</f>
        <v/>
      </c>
      <c r="N303" s="98">
        <f>IF($P303="Ready",ROUNDUP(IFERROR($K303,0),-2),IF(OR($P303="FY26 provisional",$P303="FY26 secured"),"",0))</f>
        <v/>
      </c>
      <c r="O303" s="98">
        <f>IF($P303="Ready",IF('Rate Inputs'!$F335="","",ROUNDUP(IFERROR($L303,0),-2)),IF(OR($P303="FY26 provisional",$P303="FY26 secured"),"",0))</f>
        <v/>
      </c>
      <c r="P303" s="8" t="inlineStr">
        <is>
          <t>Ready</t>
        </is>
      </c>
      <c r="Q303" s="11" t="n"/>
    </row>
    <row r="304">
      <c r="A304" s="2" t="inlineStr">
        <is>
          <t>0011002529PG5DE</t>
        </is>
      </c>
      <c r="B304" s="8">
        <f t="array" ref="B304:E304">_xlfn.XLOOKUP(A304,'Site Register'!A:A,'Site Register'!B:E)</f>
        <v/>
      </c>
      <c r="C304" s="8" t="inlineStr">
        <is>
          <t>New Zealand</t>
        </is>
      </c>
      <c r="D304" s="8" t="inlineStr">
        <is>
          <t>North Island</t>
        </is>
      </c>
      <c r="E304" s="8" t="inlineStr">
        <is>
          <t>NZ NTOU Natural Gas</t>
        </is>
      </c>
      <c r="F304" s="8" t="inlineStr">
        <is>
          <t>kWh</t>
        </is>
      </c>
      <c r="G304" s="95" t="n">
        <v>5000</v>
      </c>
      <c r="H304" s="96" t="n">
        <v>46296</v>
      </c>
      <c r="I304" s="96" t="n">
        <v>47756</v>
      </c>
      <c r="J304" s="8" t="inlineStr">
        <is>
          <t>NZD</t>
        </is>
      </c>
      <c r="K304" s="97">
        <f>'Rate Inputs'!E336</f>
        <v/>
      </c>
      <c r="L304" s="97">
        <f>'Rate Inputs'!F336</f>
        <v/>
      </c>
      <c r="M304" s="98">
        <f>IF(OR($P304="Ready",$P304="FY26 provisional",$P304="FY26 secured"),IF($H304&lt;=DATE(2025,7,1),ROUNDUP($K304,-2),IF('Rate Inputs'!$J336="","",ROUNDUP(IF($H304&gt;DATE(2026,6,30),'Rate Inputs'!$J336,'Rate Inputs'!$J336*($H304-DATE(2025,7,1))/365+$K304*(DATE(2026,6,30)-$H304+1)/365),-2))),"")</f>
        <v/>
      </c>
      <c r="N304" s="98">
        <f>IF($P304="Ready",ROUNDUP(IFERROR($K304,0),-2),IF(OR($P304="FY26 provisional",$P304="FY26 secured"),"",0))</f>
        <v/>
      </c>
      <c r="O304" s="98">
        <f>IF($P304="Ready",IF('Rate Inputs'!$F336="","",ROUNDUP(IFERROR($L304,0),-2)),IF(OR($P304="FY26 provisional",$P304="FY26 secured"),"",0))</f>
        <v/>
      </c>
      <c r="P304" s="8" t="inlineStr">
        <is>
          <t>Ready</t>
        </is>
      </c>
      <c r="Q304" s="11" t="n"/>
    </row>
    <row r="305">
      <c r="A305" s="2" t="inlineStr">
        <is>
          <t>0042250800PG852</t>
        </is>
      </c>
      <c r="B305" s="8">
        <f t="array" ref="B305:E305">_xlfn.XLOOKUP(A305,'Site Register'!A:A,'Site Register'!B:E)</f>
        <v/>
      </c>
      <c r="C305" s="8" t="inlineStr">
        <is>
          <t>New Zealand</t>
        </is>
      </c>
      <c r="D305" s="8" t="inlineStr">
        <is>
          <t>North Island</t>
        </is>
      </c>
      <c r="E305" s="8" t="inlineStr">
        <is>
          <t>NZ NTOU Natural Gas</t>
        </is>
      </c>
      <c r="F305" s="8" t="inlineStr">
        <is>
          <t>kWh</t>
        </is>
      </c>
      <c r="G305" s="95" t="n">
        <v>1000</v>
      </c>
      <c r="H305" s="96" t="n">
        <v>46296</v>
      </c>
      <c r="I305" s="96" t="n">
        <v>47756</v>
      </c>
      <c r="J305" s="8" t="inlineStr">
        <is>
          <t>NZD</t>
        </is>
      </c>
      <c r="K305" s="97">
        <f>'Rate Inputs'!E337</f>
        <v/>
      </c>
      <c r="L305" s="97">
        <f>'Rate Inputs'!F337</f>
        <v/>
      </c>
      <c r="M305" s="98">
        <f>IF(OR($P305="Ready",$P305="FY26 provisional",$P305="FY26 secured"),IF($H305&lt;=DATE(2025,7,1),ROUNDUP($K305,-2),IF('Rate Inputs'!$J337="","",ROUNDUP(IF($H305&gt;DATE(2026,6,30),'Rate Inputs'!$J337,'Rate Inputs'!$J337*($H305-DATE(2025,7,1))/365+$K305*(DATE(2026,6,30)-$H305+1)/365),-2))),"")</f>
        <v/>
      </c>
      <c r="N305" s="98">
        <f>IF($P305="Ready",ROUNDUP(IFERROR($K305,0),-2),IF(OR($P305="FY26 provisional",$P305="FY26 secured"),"",0))</f>
        <v/>
      </c>
      <c r="O305" s="98">
        <f>IF($P305="Ready",IF('Rate Inputs'!$F337="","",ROUNDUP(IFERROR($L305,0),-2)),IF(OR($P305="FY26 provisional",$P305="FY26 secured"),"",0))</f>
        <v/>
      </c>
      <c r="P305" s="8" t="inlineStr">
        <is>
          <t>Ready</t>
        </is>
      </c>
      <c r="Q305" s="11" t="n"/>
    </row>
    <row r="306">
      <c r="A306" s="2" t="inlineStr">
        <is>
          <t>1000516888PGF43</t>
        </is>
      </c>
      <c r="B306" s="8">
        <f t="array" ref="B306:E306">_xlfn.XLOOKUP(A306,'Site Register'!A:A,'Site Register'!B:E)</f>
        <v/>
      </c>
      <c r="C306" s="8" t="inlineStr">
        <is>
          <t>New Zealand</t>
        </is>
      </c>
      <c r="D306" s="8" t="inlineStr">
        <is>
          <t>North Island</t>
        </is>
      </c>
      <c r="E306" s="8" t="inlineStr">
        <is>
          <t>NZ NTOU Natural Gas</t>
        </is>
      </c>
      <c r="F306" s="8" t="inlineStr">
        <is>
          <t>kWh</t>
        </is>
      </c>
      <c r="G306" s="95" t="n">
        <v>1000</v>
      </c>
      <c r="H306" s="96" t="n">
        <v>46296</v>
      </c>
      <c r="I306" s="96" t="n">
        <v>47756</v>
      </c>
      <c r="J306" s="8" t="inlineStr">
        <is>
          <t>NZD</t>
        </is>
      </c>
      <c r="K306" s="97">
        <f>'Rate Inputs'!E338</f>
        <v/>
      </c>
      <c r="L306" s="97">
        <f>'Rate Inputs'!F338</f>
        <v/>
      </c>
      <c r="M306" s="98">
        <f>IF(OR($P306="Ready",$P306="FY26 provisional",$P306="FY26 secured"),IF($H306&lt;=DATE(2025,7,1),ROUNDUP($K306,-2),IF('Rate Inputs'!$J338="","",ROUNDUP(IF($H306&gt;DATE(2026,6,30),'Rate Inputs'!$J338,'Rate Inputs'!$J338*($H306-DATE(2025,7,1))/365+$K306*(DATE(2026,6,30)-$H306+1)/365),-2))),"")</f>
        <v/>
      </c>
      <c r="N306" s="98">
        <f>IF($P306="Ready",ROUNDUP(IFERROR($K306,0),-2),IF(OR($P306="FY26 provisional",$P306="FY26 secured"),"",0))</f>
        <v/>
      </c>
      <c r="O306" s="98">
        <f>IF($P306="Ready",IF('Rate Inputs'!$F338="","",ROUNDUP(IFERROR($L306,0),-2)),IF(OR($P306="FY26 provisional",$P306="FY26 secured"),"",0))</f>
        <v/>
      </c>
      <c r="P306" s="8" t="inlineStr">
        <is>
          <t>Ready</t>
        </is>
      </c>
      <c r="Q306" s="11" t="n"/>
    </row>
    <row r="307">
      <c r="A307" s="2" t="inlineStr">
        <is>
          <t>1000581141PGC50</t>
        </is>
      </c>
      <c r="B307" s="8">
        <f t="array" ref="B307:E307">_xlfn.XLOOKUP(A307,'Site Register'!A:A,'Site Register'!B:E)</f>
        <v/>
      </c>
      <c r="C307" s="8" t="inlineStr">
        <is>
          <t>New Zealand</t>
        </is>
      </c>
      <c r="D307" s="8" t="inlineStr">
        <is>
          <t>North Island</t>
        </is>
      </c>
      <c r="E307" s="8" t="inlineStr">
        <is>
          <t>NZ NTOU Natural Gas</t>
        </is>
      </c>
      <c r="F307" s="8" t="inlineStr">
        <is>
          <t>kWh</t>
        </is>
      </c>
      <c r="G307" s="95" t="n">
        <v>3000</v>
      </c>
      <c r="H307" s="96" t="n">
        <v>46296</v>
      </c>
      <c r="I307" s="96" t="n">
        <v>47756</v>
      </c>
      <c r="J307" s="8" t="inlineStr">
        <is>
          <t>NZD</t>
        </is>
      </c>
      <c r="K307" s="97">
        <f>'Rate Inputs'!E340</f>
        <v/>
      </c>
      <c r="L307" s="97">
        <f>'Rate Inputs'!F340</f>
        <v/>
      </c>
      <c r="M307" s="98">
        <f>IF(OR($P307="Ready",$P307="FY26 provisional",$P307="FY26 secured"),IF($H307&lt;=DATE(2025,7,1),ROUNDUP($K307,-2),IF('Rate Inputs'!$J340="","",ROUNDUP(IF($H307&gt;DATE(2026,6,30),'Rate Inputs'!$J340,'Rate Inputs'!$J340*($H307-DATE(2025,7,1))/365+$K307*(DATE(2026,6,30)-$H307+1)/365),-2))),"")</f>
        <v/>
      </c>
      <c r="N307" s="98">
        <f>IF($P307="Ready",ROUNDUP(IFERROR($K307,0),-2),IF(OR($P307="FY26 provisional",$P307="FY26 secured"),"",0))</f>
        <v/>
      </c>
      <c r="O307" s="98">
        <f>IF($P307="Ready",IF('Rate Inputs'!$F340="","",ROUNDUP(IFERROR($L307,0),-2)),IF(OR($P307="FY26 provisional",$P307="FY26 secured"),"",0))</f>
        <v/>
      </c>
      <c r="P307" s="8" t="inlineStr">
        <is>
          <t>Ready</t>
        </is>
      </c>
      <c r="Q307" s="11" t="n"/>
    </row>
    <row r="308">
      <c r="A308" s="2" t="inlineStr">
        <is>
          <t>1000590389PGAED</t>
        </is>
      </c>
      <c r="B308" s="8">
        <f t="array" ref="B308:E308">_xlfn.XLOOKUP(A308,'Site Register'!A:A,'Site Register'!B:E)</f>
        <v/>
      </c>
      <c r="C308" s="8" t="inlineStr">
        <is>
          <t>New Zealand</t>
        </is>
      </c>
      <c r="D308" s="8" t="inlineStr">
        <is>
          <t>North Island</t>
        </is>
      </c>
      <c r="E308" s="8" t="inlineStr">
        <is>
          <t>NZ NTOU Natural Gas</t>
        </is>
      </c>
      <c r="F308" s="8" t="inlineStr">
        <is>
          <t>kWh</t>
        </is>
      </c>
      <c r="G308" s="95" t="n">
        <v>2000</v>
      </c>
      <c r="H308" s="96" t="n">
        <v>46296</v>
      </c>
      <c r="I308" s="96" t="n">
        <v>47756</v>
      </c>
      <c r="J308" s="8" t="inlineStr">
        <is>
          <t>NZD</t>
        </is>
      </c>
      <c r="K308" s="97">
        <f>'Rate Inputs'!E341</f>
        <v/>
      </c>
      <c r="L308" s="97">
        <f>'Rate Inputs'!F341</f>
        <v/>
      </c>
      <c r="M308" s="98">
        <f>IF(OR($P308="Ready",$P308="FY26 provisional",$P308="FY26 secured"),IF($H308&lt;=DATE(2025,7,1),ROUNDUP($K308,-2),IF('Rate Inputs'!$J341="","",ROUNDUP(IF($H308&gt;DATE(2026,6,30),'Rate Inputs'!$J341,'Rate Inputs'!$J341*($H308-DATE(2025,7,1))/365+$K308*(DATE(2026,6,30)-$H308+1)/365),-2))),"")</f>
        <v/>
      </c>
      <c r="N308" s="98">
        <f>IF($P308="Ready",ROUNDUP(IFERROR($K308,0),-2),IF(OR($P308="FY26 provisional",$P308="FY26 secured"),"",0))</f>
        <v/>
      </c>
      <c r="O308" s="98">
        <f>IF($P308="Ready",IF('Rate Inputs'!$F341="","",ROUNDUP(IFERROR($L308,0),-2)),IF(OR($P308="FY26 provisional",$P308="FY26 secured"),"",0))</f>
        <v/>
      </c>
      <c r="P308" s="8" t="inlineStr">
        <is>
          <t>Ready</t>
        </is>
      </c>
      <c r="Q308" s="11" t="n"/>
    </row>
    <row r="309">
      <c r="A309" s="2" t="inlineStr">
        <is>
          <t>1000605558PG1BC</t>
        </is>
      </c>
      <c r="B309" s="8">
        <f t="array" ref="B309:E309">_xlfn.XLOOKUP(A309,'Site Register'!A:A,'Site Register'!B:E)</f>
        <v/>
      </c>
      <c r="C309" s="8" t="inlineStr">
        <is>
          <t>New Zealand</t>
        </is>
      </c>
      <c r="D309" s="8" t="inlineStr">
        <is>
          <t>North Island</t>
        </is>
      </c>
      <c r="E309" s="8" t="inlineStr">
        <is>
          <t>NZ NTOU Natural Gas</t>
        </is>
      </c>
      <c r="F309" s="8" t="inlineStr">
        <is>
          <t>kWh</t>
        </is>
      </c>
      <c r="G309" s="95" t="n">
        <v>1000</v>
      </c>
      <c r="H309" s="96" t="n">
        <v>46296</v>
      </c>
      <c r="I309" s="96" t="n">
        <v>47756</v>
      </c>
      <c r="J309" s="8" t="inlineStr">
        <is>
          <t>NZD</t>
        </is>
      </c>
      <c r="K309" s="97">
        <f>'Rate Inputs'!E342</f>
        <v/>
      </c>
      <c r="L309" s="97">
        <f>'Rate Inputs'!F342</f>
        <v/>
      </c>
      <c r="M309" s="98">
        <f>IF(OR($P309="Ready",$P309="FY26 provisional",$P309="FY26 secured"),IF($H309&lt;=DATE(2025,7,1),ROUNDUP($K309,-2),IF('Rate Inputs'!$J342="","",ROUNDUP(IF($H309&gt;DATE(2026,6,30),'Rate Inputs'!$J342,'Rate Inputs'!$J342*($H309-DATE(2025,7,1))/365+$K309*(DATE(2026,6,30)-$H309+1)/365),-2))),"")</f>
        <v/>
      </c>
      <c r="N309" s="98">
        <f>IF($P309="Ready",ROUNDUP(IFERROR($K309,0),-2),IF(OR($P309="FY26 provisional",$P309="FY26 secured"),"",0))</f>
        <v/>
      </c>
      <c r="O309" s="98">
        <f>IF($P309="Ready",IF('Rate Inputs'!$F342="","",ROUNDUP(IFERROR($L309,0),-2)),IF(OR($P309="FY26 provisional",$P309="FY26 secured"),"",0))</f>
        <v/>
      </c>
      <c r="P309" s="8" t="inlineStr">
        <is>
          <t>Ready</t>
        </is>
      </c>
      <c r="Q309" s="11" t="n"/>
    </row>
    <row r="310">
      <c r="A310" s="2" t="inlineStr">
        <is>
          <t>0000015023HBABD</t>
        </is>
      </c>
      <c r="B310" s="8">
        <f t="array" ref="B310:E310">_xlfn.XLOOKUP(A310,'Site Register'!A:A,'Site Register'!B:E)</f>
        <v/>
      </c>
      <c r="C310" s="8" t="inlineStr">
        <is>
          <t>New Zealand</t>
        </is>
      </c>
      <c r="D310" s="8" t="inlineStr">
        <is>
          <t>North Island</t>
        </is>
      </c>
      <c r="E310" s="8" t="inlineStr">
        <is>
          <t>NZ TOU Electricity</t>
        </is>
      </c>
      <c r="F310" s="8" t="inlineStr">
        <is>
          <t>kWh</t>
        </is>
      </c>
      <c r="G310" s="95" t="n">
        <v>43948.43000000001</v>
      </c>
      <c r="H310" s="96" t="n">
        <v>46204</v>
      </c>
      <c r="I310" s="96" t="n">
        <v>47483</v>
      </c>
      <c r="J310" s="8" t="inlineStr">
        <is>
          <t>NZD</t>
        </is>
      </c>
      <c r="K310" s="97">
        <f>'Rate Inputs'!E167</f>
        <v/>
      </c>
      <c r="L310" s="97">
        <f>'Rate Inputs'!F167</f>
        <v/>
      </c>
      <c r="M310" s="98">
        <f>IF(OR($P310="Ready",$P310="FY26 provisional",$P310="FY26 secured"),IF($H310&lt;=DATE(2025,7,1),ROUNDUP($K310,-2),IF('Rate Inputs'!$J167="","",ROUNDUP(IF($H310&gt;DATE(2026,6,30),'Rate Inputs'!$J167,'Rate Inputs'!$J167*($H310-DATE(2025,7,1))/365+$K310*(DATE(2026,6,30)-$H310+1)/365),-2))),"")</f>
        <v/>
      </c>
      <c r="N310" s="98">
        <f>IF($P310="Ready",ROUNDUP(IFERROR($K310,0),-2),IF(OR($P310="FY26 provisional",$P310="FY26 secured"),"",0))</f>
        <v/>
      </c>
      <c r="O310" s="98">
        <f>IF($P310="Ready",IF('Rate Inputs'!$F167="","",ROUNDUP(IFERROR($L310,0),-2)),IF(OR($P310="FY26 provisional",$P310="FY26 secured"),"",0))</f>
        <v/>
      </c>
      <c r="P310" s="8" t="inlineStr">
        <is>
          <t>Ready</t>
        </is>
      </c>
      <c r="Q310" s="11" t="n"/>
    </row>
    <row r="311">
      <c r="A311" s="2" t="inlineStr">
        <is>
          <t>0000024050WE5E2</t>
        </is>
      </c>
      <c r="B311" s="8">
        <f t="array" ref="B311:E311">_xlfn.XLOOKUP(A311,'Site Register'!A:A,'Site Register'!B:E)</f>
        <v/>
      </c>
      <c r="C311" s="8" t="inlineStr">
        <is>
          <t>New Zealand</t>
        </is>
      </c>
      <c r="D311" s="8" t="inlineStr">
        <is>
          <t>North Island</t>
        </is>
      </c>
      <c r="E311" s="8" t="inlineStr">
        <is>
          <t>NZ TOU Electricity</t>
        </is>
      </c>
      <c r="F311" s="8" t="inlineStr">
        <is>
          <t>kWh</t>
        </is>
      </c>
      <c r="G311" s="95" t="n">
        <v>598544.088</v>
      </c>
      <c r="H311" s="96" t="n">
        <v>46204</v>
      </c>
      <c r="I311" s="96" t="n">
        <v>47483</v>
      </c>
      <c r="J311" s="8" t="inlineStr">
        <is>
          <t>NZD</t>
        </is>
      </c>
      <c r="K311" s="97">
        <f>'Rate Inputs'!E169</f>
        <v/>
      </c>
      <c r="L311" s="97">
        <f>'Rate Inputs'!F169</f>
        <v/>
      </c>
      <c r="M311" s="98">
        <f>IF(OR($P311="Ready",$P311="FY26 provisional",$P311="FY26 secured"),IF($H311&lt;=DATE(2025,7,1),ROUNDUP($K311,-2),IF('Rate Inputs'!$J169="","",ROUNDUP(IF($H311&gt;DATE(2026,6,30),'Rate Inputs'!$J169,'Rate Inputs'!$J169*($H311-DATE(2025,7,1))/365+$K311*(DATE(2026,6,30)-$H311+1)/365),-2))),"")</f>
        <v/>
      </c>
      <c r="N311" s="98">
        <f>IF($P311="Ready",ROUNDUP(IFERROR($K311,0),-2),IF(OR($P311="FY26 provisional",$P311="FY26 secured"),"",0))</f>
        <v/>
      </c>
      <c r="O311" s="98">
        <f>IF($P311="Ready",IF('Rate Inputs'!$F169="","",ROUNDUP(IFERROR($L311,0),-2)),IF(OR($P311="FY26 provisional",$P311="FY26 secured"),"",0))</f>
        <v/>
      </c>
      <c r="P311" s="8" t="inlineStr">
        <is>
          <t>Ready</t>
        </is>
      </c>
      <c r="Q311" s="11" t="n"/>
    </row>
    <row r="312">
      <c r="A312" s="2" t="inlineStr">
        <is>
          <t>0000031643WEA48</t>
        </is>
      </c>
      <c r="B312" s="8">
        <f t="array" ref="B312:E312">_xlfn.XLOOKUP(A312,'Site Register'!A:A,'Site Register'!B:E)</f>
        <v/>
      </c>
      <c r="C312" s="8" t="inlineStr">
        <is>
          <t>New Zealand</t>
        </is>
      </c>
      <c r="D312" s="8" t="inlineStr">
        <is>
          <t>North Island</t>
        </is>
      </c>
      <c r="E312" s="8" t="inlineStr">
        <is>
          <t>NZ TOU Electricity</t>
        </is>
      </c>
      <c r="F312" s="8" t="inlineStr">
        <is>
          <t>kWh</t>
        </is>
      </c>
      <c r="G312" s="95" t="n">
        <v>181231.47</v>
      </c>
      <c r="H312" s="96" t="n">
        <v>46204</v>
      </c>
      <c r="I312" s="96" t="n">
        <v>47483</v>
      </c>
      <c r="J312" s="8" t="inlineStr">
        <is>
          <t>NZD</t>
        </is>
      </c>
      <c r="K312" s="97">
        <f>'Rate Inputs'!E177</f>
        <v/>
      </c>
      <c r="L312" s="97">
        <f>'Rate Inputs'!F177</f>
        <v/>
      </c>
      <c r="M312" s="98">
        <f>IF(OR($P312="Ready",$P312="FY26 provisional",$P312="FY26 secured"),IF($H312&lt;=DATE(2025,7,1),ROUNDUP($K312,-2),IF('Rate Inputs'!$J177="","",ROUNDUP(IF($H312&gt;DATE(2026,6,30),'Rate Inputs'!$J177,'Rate Inputs'!$J177*($H312-DATE(2025,7,1))/365+$K312*(DATE(2026,6,30)-$H312+1)/365),-2))),"")</f>
        <v/>
      </c>
      <c r="N312" s="98">
        <f>IF($P312="Ready",ROUNDUP(IFERROR($K312,0),-2),IF(OR($P312="FY26 provisional",$P312="FY26 secured"),"",0))</f>
        <v/>
      </c>
      <c r="O312" s="98">
        <f>IF($P312="Ready",IF('Rate Inputs'!$F177="","",ROUNDUP(IFERROR($L312,0),-2)),IF(OR($P312="FY26 provisional",$P312="FY26 secured"),"",0))</f>
        <v/>
      </c>
      <c r="P312" s="8" t="inlineStr">
        <is>
          <t>Ready</t>
        </is>
      </c>
      <c r="Q312" s="11" t="n"/>
    </row>
    <row r="313">
      <c r="A313" s="2" t="inlineStr">
        <is>
          <t>0000044241WEB55</t>
        </is>
      </c>
      <c r="B313" s="8">
        <f t="array" ref="B313:E313">_xlfn.XLOOKUP(A313,'Site Register'!A:A,'Site Register'!B:E)</f>
        <v/>
      </c>
      <c r="C313" s="8" t="inlineStr">
        <is>
          <t>New Zealand</t>
        </is>
      </c>
      <c r="D313" s="8" t="inlineStr">
        <is>
          <t>North Island</t>
        </is>
      </c>
      <c r="E313" s="8" t="inlineStr">
        <is>
          <t>NZ TOU Electricity</t>
        </is>
      </c>
      <c r="F313" s="8" t="inlineStr">
        <is>
          <t>kWh</t>
        </is>
      </c>
      <c r="G313" s="95" t="n">
        <v>405000</v>
      </c>
      <c r="H313" s="96" t="n">
        <v>46204</v>
      </c>
      <c r="I313" s="96" t="n">
        <v>47483</v>
      </c>
      <c r="J313" s="8" t="inlineStr">
        <is>
          <t>NZD</t>
        </is>
      </c>
      <c r="K313" s="97">
        <f>'Rate Inputs'!E180</f>
        <v/>
      </c>
      <c r="L313" s="97">
        <f>'Rate Inputs'!F180</f>
        <v/>
      </c>
      <c r="M313" s="98">
        <f>IF(OR($P313="Ready",$P313="FY26 provisional",$P313="FY26 secured"),IF($H313&lt;=DATE(2025,7,1),ROUNDUP($K313,-2),IF('Rate Inputs'!$J180="","",ROUNDUP(IF($H313&gt;DATE(2026,6,30),'Rate Inputs'!$J180,'Rate Inputs'!$J180*($H313-DATE(2025,7,1))/365+$K313*(DATE(2026,6,30)-$H313+1)/365),-2))),"")</f>
        <v/>
      </c>
      <c r="N313" s="98">
        <f>IF($P313="Ready",ROUNDUP(IFERROR($K313,0),-2),IF(OR($P313="FY26 provisional",$P313="FY26 secured"),"",0))</f>
        <v/>
      </c>
      <c r="O313" s="98">
        <f>IF($P313="Ready",IF('Rate Inputs'!$F180="","",ROUNDUP(IFERROR($L313,0),-2)),IF(OR($P313="FY26 provisional",$P313="FY26 secured"),"",0))</f>
        <v/>
      </c>
      <c r="P313" s="8" t="inlineStr">
        <is>
          <t>Review required</t>
        </is>
      </c>
      <c r="Q313" s="11" t="n"/>
    </row>
    <row r="314">
      <c r="A314" s="2" t="inlineStr">
        <is>
          <t>0000052034NT6A8</t>
        </is>
      </c>
      <c r="B314" s="8">
        <f t="array" ref="B314:E314">_xlfn.XLOOKUP(A314,'Site Register'!A:A,'Site Register'!B:E)</f>
        <v/>
      </c>
      <c r="C314" s="8" t="inlineStr">
        <is>
          <t>New Zealand</t>
        </is>
      </c>
      <c r="D314" s="8" t="inlineStr">
        <is>
          <t>South Island</t>
        </is>
      </c>
      <c r="E314" s="8" t="inlineStr">
        <is>
          <t>NZ TOU Electricity</t>
        </is>
      </c>
      <c r="F314" s="8" t="inlineStr">
        <is>
          <t>kWh</t>
        </is>
      </c>
      <c r="G314" s="95" t="n">
        <v>108511.31</v>
      </c>
      <c r="H314" s="96" t="n">
        <v>46204</v>
      </c>
      <c r="I314" s="96" t="n">
        <v>47483</v>
      </c>
      <c r="J314" s="8" t="inlineStr">
        <is>
          <t>NZD</t>
        </is>
      </c>
      <c r="K314" s="97">
        <f>'Rate Inputs'!E184</f>
        <v/>
      </c>
      <c r="L314" s="97">
        <f>'Rate Inputs'!F184</f>
        <v/>
      </c>
      <c r="M314" s="98">
        <f>IF(OR($P314="Ready",$P314="FY26 provisional",$P314="FY26 secured"),IF($H314&lt;=DATE(2025,7,1),ROUNDUP($K314,-2),IF('Rate Inputs'!$J184="","",ROUNDUP(IF($H314&gt;DATE(2026,6,30),'Rate Inputs'!$J184,'Rate Inputs'!$J184*($H314-DATE(2025,7,1))/365+$K314*(DATE(2026,6,30)-$H314+1)/365),-2))),"")</f>
        <v/>
      </c>
      <c r="N314" s="98">
        <f>IF($P314="Ready",ROUNDUP(IFERROR($K314,0),-2),IF(OR($P314="FY26 provisional",$P314="FY26 secured"),"",0))</f>
        <v/>
      </c>
      <c r="O314" s="98">
        <f>IF($P314="Ready",IF('Rate Inputs'!$F184="","",ROUNDUP(IFERROR($L314,0),-2)),IF(OR($P314="FY26 provisional",$P314="FY26 secured"),"",0))</f>
        <v/>
      </c>
      <c r="P314" s="8" t="inlineStr">
        <is>
          <t>Ready</t>
        </is>
      </c>
      <c r="Q314" s="11" t="n"/>
    </row>
    <row r="315">
      <c r="A315" s="2" t="inlineStr">
        <is>
          <t>0000102308DEAD2</t>
        </is>
      </c>
      <c r="B315" s="8">
        <f t="array" ref="B315:E315">_xlfn.XLOOKUP(A315,'Site Register'!A:A,'Site Register'!B:E)</f>
        <v/>
      </c>
      <c r="C315" s="8" t="inlineStr">
        <is>
          <t>New Zealand</t>
        </is>
      </c>
      <c r="D315" s="8" t="inlineStr">
        <is>
          <t>South Island</t>
        </is>
      </c>
      <c r="E315" s="8" t="inlineStr">
        <is>
          <t>NZ TOU Electricity</t>
        </is>
      </c>
      <c r="F315" s="8" t="inlineStr">
        <is>
          <t>kWh</t>
        </is>
      </c>
      <c r="G315" s="95" t="n">
        <v>489271.4400000001</v>
      </c>
      <c r="H315" s="96" t="n">
        <v>46204</v>
      </c>
      <c r="I315" s="96" t="n">
        <v>47483</v>
      </c>
      <c r="J315" s="8" t="inlineStr">
        <is>
          <t>NZD</t>
        </is>
      </c>
      <c r="K315" s="97">
        <f>'Rate Inputs'!E192</f>
        <v/>
      </c>
      <c r="L315" s="97">
        <f>'Rate Inputs'!F192</f>
        <v/>
      </c>
      <c r="M315" s="98">
        <f>IF(OR($P315="Ready",$P315="FY26 provisional",$P315="FY26 secured"),IF($H315&lt;=DATE(2025,7,1),ROUNDUP($K315,-2),IF('Rate Inputs'!$J192="","",ROUNDUP(IF($H315&gt;DATE(2026,6,30),'Rate Inputs'!$J192,'Rate Inputs'!$J192*($H315-DATE(2025,7,1))/365+$K315*(DATE(2026,6,30)-$H315+1)/365),-2))),"")</f>
        <v/>
      </c>
      <c r="N315" s="98">
        <f>IF($P315="Ready",ROUNDUP(IFERROR($K315,0),-2),IF(OR($P315="FY26 provisional",$P315="FY26 secured"),"",0))</f>
        <v/>
      </c>
      <c r="O315" s="98">
        <f>IF($P315="Ready",IF('Rate Inputs'!$F192="","",ROUNDUP(IFERROR($L315,0),-2)),IF(OR($P315="FY26 provisional",$P315="FY26 secured"),"",0))</f>
        <v/>
      </c>
      <c r="P315" s="8" t="inlineStr">
        <is>
          <t>Ready</t>
        </is>
      </c>
      <c r="Q315" s="11" t="n"/>
    </row>
    <row r="316">
      <c r="A316" s="2" t="inlineStr">
        <is>
          <t>0000519132NR7B9</t>
        </is>
      </c>
      <c r="B316" s="8">
        <f t="array" ref="B316:E316">_xlfn.XLOOKUP(A316,'Site Register'!A:A,'Site Register'!B:E)</f>
        <v/>
      </c>
      <c r="C316" s="8" t="inlineStr">
        <is>
          <t>New Zealand</t>
        </is>
      </c>
      <c r="D316" s="8" t="inlineStr">
        <is>
          <t>North Island</t>
        </is>
      </c>
      <c r="E316" s="8" t="inlineStr">
        <is>
          <t>NZ TOU Electricity</t>
        </is>
      </c>
      <c r="F316" s="8" t="inlineStr">
        <is>
          <t>kWh</t>
        </is>
      </c>
      <c r="G316" s="95" t="n">
        <v>511657.968</v>
      </c>
      <c r="H316" s="96" t="n">
        <v>46204</v>
      </c>
      <c r="I316" s="96" t="n">
        <v>47483</v>
      </c>
      <c r="J316" s="8" t="inlineStr">
        <is>
          <t>NZD</t>
        </is>
      </c>
      <c r="K316" s="97">
        <f>'Rate Inputs'!E215</f>
        <v/>
      </c>
      <c r="L316" s="97">
        <f>'Rate Inputs'!F215</f>
        <v/>
      </c>
      <c r="M316" s="98">
        <f>IF(OR($P316="Ready",$P316="FY26 provisional",$P316="FY26 secured"),IF($H316&lt;=DATE(2025,7,1),ROUNDUP($K316,-2),IF('Rate Inputs'!$J215="","",ROUNDUP(IF($H316&gt;DATE(2026,6,30),'Rate Inputs'!$J215,'Rate Inputs'!$J215*($H316-DATE(2025,7,1))/365+$K316*(DATE(2026,6,30)-$H316+1)/365),-2))),"")</f>
        <v/>
      </c>
      <c r="N316" s="98">
        <f>IF($P316="Ready",ROUNDUP(IFERROR($K316,0),-2),IF(OR($P316="FY26 provisional",$P316="FY26 secured"),"",0))</f>
        <v/>
      </c>
      <c r="O316" s="98">
        <f>IF($P316="Ready",IF('Rate Inputs'!$F215="","",ROUNDUP(IFERROR($L316,0),-2)),IF(OR($P316="FY26 provisional",$P316="FY26 secured"),"",0))</f>
        <v/>
      </c>
      <c r="P316" s="8" t="inlineStr">
        <is>
          <t>Ready</t>
        </is>
      </c>
      <c r="Q316" s="11" t="n"/>
    </row>
    <row r="317">
      <c r="A317" s="2" t="inlineStr">
        <is>
          <t>0000734355NVC9C</t>
        </is>
      </c>
      <c r="B317" s="8">
        <f t="array" ref="B317:E317">_xlfn.XLOOKUP(A317,'Site Register'!A:A,'Site Register'!B:E)</f>
        <v/>
      </c>
      <c r="C317" s="8" t="inlineStr">
        <is>
          <t>New Zealand</t>
        </is>
      </c>
      <c r="D317" s="8" t="inlineStr">
        <is>
          <t>South Island</t>
        </is>
      </c>
      <c r="E317" s="8" t="inlineStr">
        <is>
          <t>NZ TOU Electricity</t>
        </is>
      </c>
      <c r="F317" s="8" t="inlineStr">
        <is>
          <t>kWh</t>
        </is>
      </c>
      <c r="G317" s="95" t="n">
        <v>241963.668</v>
      </c>
      <c r="H317" s="96" t="n">
        <v>46204</v>
      </c>
      <c r="I317" s="96" t="n">
        <v>47483</v>
      </c>
      <c r="J317" s="8" t="inlineStr">
        <is>
          <t>NZD</t>
        </is>
      </c>
      <c r="K317" s="97">
        <f>'Rate Inputs'!E226</f>
        <v/>
      </c>
      <c r="L317" s="97">
        <f>'Rate Inputs'!F226</f>
        <v/>
      </c>
      <c r="M317" s="98">
        <f>IF(OR($P317="Ready",$P317="FY26 provisional",$P317="FY26 secured"),IF($H317&lt;=DATE(2025,7,1),ROUNDUP($K317,-2),IF('Rate Inputs'!$J226="","",ROUNDUP(IF($H317&gt;DATE(2026,6,30),'Rate Inputs'!$J226,'Rate Inputs'!$J226*($H317-DATE(2025,7,1))/365+$K317*(DATE(2026,6,30)-$H317+1)/365),-2))),"")</f>
        <v/>
      </c>
      <c r="N317" s="98">
        <f>IF($P317="Ready",ROUNDUP(IFERROR($K317,0),-2),IF(OR($P317="FY26 provisional",$P317="FY26 secured"),"",0))</f>
        <v/>
      </c>
      <c r="O317" s="98">
        <f>IF($P317="Ready",IF('Rate Inputs'!$F226="","",ROUNDUP(IFERROR($L317,0),-2)),IF(OR($P317="FY26 provisional",$P317="FY26 secured"),"",0))</f>
        <v/>
      </c>
      <c r="P317" s="8" t="inlineStr">
        <is>
          <t>Ready</t>
        </is>
      </c>
      <c r="Q317" s="11" t="n"/>
    </row>
    <row r="318">
      <c r="A318" s="2" t="inlineStr">
        <is>
          <t>0000931749NV418</t>
        </is>
      </c>
      <c r="B318" s="8">
        <f t="array" ref="B318:E318">_xlfn.XLOOKUP(A318,'Site Register'!A:A,'Site Register'!B:E)</f>
        <v/>
      </c>
      <c r="C318" s="8" t="inlineStr">
        <is>
          <t>New Zealand</t>
        </is>
      </c>
      <c r="D318" s="8" t="inlineStr">
        <is>
          <t>South Island</t>
        </is>
      </c>
      <c r="E318" s="8" t="inlineStr">
        <is>
          <t>NZ TOU Electricity</t>
        </is>
      </c>
      <c r="F318" s="8" t="inlineStr">
        <is>
          <t>kWh</t>
        </is>
      </c>
      <c r="G318" s="95" t="n">
        <v>994727.3999999999</v>
      </c>
      <c r="H318" s="96" t="n">
        <v>46204</v>
      </c>
      <c r="I318" s="96" t="n">
        <v>47483</v>
      </c>
      <c r="J318" s="8" t="inlineStr">
        <is>
          <t>NZD</t>
        </is>
      </c>
      <c r="K318" s="97">
        <f>'Rate Inputs'!E228</f>
        <v/>
      </c>
      <c r="L318" s="97">
        <f>'Rate Inputs'!F228</f>
        <v/>
      </c>
      <c r="M318" s="98">
        <f>IF(OR($P318="Ready",$P318="FY26 provisional",$P318="FY26 secured"),IF($H318&lt;=DATE(2025,7,1),ROUNDUP($K318,-2),IF('Rate Inputs'!$J228="","",ROUNDUP(IF($H318&gt;DATE(2026,6,30),'Rate Inputs'!$J228,'Rate Inputs'!$J228*($H318-DATE(2025,7,1))/365+$K318*(DATE(2026,6,30)-$H318+1)/365),-2))),"")</f>
        <v/>
      </c>
      <c r="N318" s="98">
        <f>IF($P318="Ready",ROUNDUP(IFERROR($K318,0),-2),IF(OR($P318="FY26 provisional",$P318="FY26 secured"),"",0))</f>
        <v/>
      </c>
      <c r="O318" s="98">
        <f>IF($P318="Ready",IF('Rate Inputs'!$F228="","",ROUNDUP(IFERROR($L318,0),-2)),IF(OR($P318="FY26 provisional",$P318="FY26 secured"),"",0))</f>
        <v/>
      </c>
      <c r="P318" s="8" t="inlineStr">
        <is>
          <t>Ready</t>
        </is>
      </c>
      <c r="Q318" s="11" t="n"/>
    </row>
    <row r="319">
      <c r="A319" s="2" t="inlineStr">
        <is>
          <t>0000939570TUEC4</t>
        </is>
      </c>
      <c r="B319" s="8">
        <f t="array" ref="B319:E319">_xlfn.XLOOKUP(A319,'Site Register'!A:A,'Site Register'!B:E)</f>
        <v/>
      </c>
      <c r="C319" s="8" t="inlineStr">
        <is>
          <t>New Zealand</t>
        </is>
      </c>
      <c r="D319" s="8" t="inlineStr">
        <is>
          <t>North Island</t>
        </is>
      </c>
      <c r="E319" s="8" t="inlineStr">
        <is>
          <t>NZ TOU Electricity</t>
        </is>
      </c>
      <c r="F319" s="8" t="inlineStr">
        <is>
          <t>kWh</t>
        </is>
      </c>
      <c r="G319" s="95" t="n">
        <v>1483122.656</v>
      </c>
      <c r="H319" s="96" t="n">
        <v>46204</v>
      </c>
      <c r="I319" s="96" t="n">
        <v>47483</v>
      </c>
      <c r="J319" s="8" t="inlineStr">
        <is>
          <t>NZD</t>
        </is>
      </c>
      <c r="K319" s="97">
        <f>'Rate Inputs'!E231</f>
        <v/>
      </c>
      <c r="L319" s="97">
        <f>'Rate Inputs'!F231</f>
        <v/>
      </c>
      <c r="M319" s="98">
        <f>IF(OR($P319="Ready",$P319="FY26 provisional",$P319="FY26 secured"),IF($H319&lt;=DATE(2025,7,1),ROUNDUP($K319,-2),IF('Rate Inputs'!$J231="","",ROUNDUP(IF($H319&gt;DATE(2026,6,30),'Rate Inputs'!$J231,'Rate Inputs'!$J231*($H319-DATE(2025,7,1))/365+$K319*(DATE(2026,6,30)-$H319+1)/365),-2))),"")</f>
        <v/>
      </c>
      <c r="N319" s="98">
        <f>IF($P319="Ready",ROUNDUP(IFERROR($K319,0),-2),IF(OR($P319="FY26 provisional",$P319="FY26 secured"),"",0))</f>
        <v/>
      </c>
      <c r="O319" s="98">
        <f>IF($P319="Ready",IF('Rate Inputs'!$F231="","",ROUNDUP(IFERROR($L319,0),-2)),IF(OR($P319="FY26 provisional",$P319="FY26 secured"),"",0))</f>
        <v/>
      </c>
      <c r="P319" s="8" t="inlineStr">
        <is>
          <t>Ready</t>
        </is>
      </c>
      <c r="Q319" s="11" t="n"/>
    </row>
    <row r="320">
      <c r="A320" s="2" t="inlineStr">
        <is>
          <t>0001510110PCCA2</t>
        </is>
      </c>
      <c r="B320" s="8">
        <f t="array" ref="B320:E320">_xlfn.XLOOKUP(A320,'Site Register'!A:A,'Site Register'!B:E)</f>
        <v/>
      </c>
      <c r="C320" s="8" t="inlineStr">
        <is>
          <t>New Zealand</t>
        </is>
      </c>
      <c r="D320" s="8" t="inlineStr">
        <is>
          <t>North Island</t>
        </is>
      </c>
      <c r="E320" s="8" t="inlineStr">
        <is>
          <t>NZ TOU Electricity</t>
        </is>
      </c>
      <c r="F320" s="8" t="inlineStr">
        <is>
          <t>kWh</t>
        </is>
      </c>
      <c r="G320" s="95" t="n">
        <v>822956.5259999998</v>
      </c>
      <c r="H320" s="96" t="n">
        <v>46204</v>
      </c>
      <c r="I320" s="96" t="n">
        <v>47483</v>
      </c>
      <c r="J320" s="8" t="inlineStr">
        <is>
          <t>NZD</t>
        </is>
      </c>
      <c r="K320" s="97">
        <f>'Rate Inputs'!E246</f>
        <v/>
      </c>
      <c r="L320" s="97">
        <f>'Rate Inputs'!F246</f>
        <v/>
      </c>
      <c r="M320" s="98">
        <f>IF(OR($P320="Ready",$P320="FY26 provisional",$P320="FY26 secured"),IF($H320&lt;=DATE(2025,7,1),ROUNDUP($K320,-2),IF('Rate Inputs'!$J246="","",ROUNDUP(IF($H320&gt;DATE(2026,6,30),'Rate Inputs'!$J246,'Rate Inputs'!$J246*($H320-DATE(2025,7,1))/365+$K320*(DATE(2026,6,30)-$H320+1)/365),-2))),"")</f>
        <v/>
      </c>
      <c r="N320" s="98">
        <f>IF($P320="Ready",ROUNDUP(IFERROR($K320,0),-2),IF(OR($P320="FY26 provisional",$P320="FY26 secured"),"",0))</f>
        <v/>
      </c>
      <c r="O320" s="98">
        <f>IF($P320="Ready",IF('Rate Inputs'!$F246="","",ROUNDUP(IFERROR($L320,0),-2)),IF(OR($P320="FY26 provisional",$P320="FY26 secured"),"",0))</f>
        <v/>
      </c>
      <c r="P320" s="8" t="inlineStr">
        <is>
          <t>Ready</t>
        </is>
      </c>
      <c r="Q320" s="11" t="n"/>
    </row>
    <row r="321">
      <c r="A321" s="2" t="inlineStr">
        <is>
          <t>0005302992ENB6A</t>
        </is>
      </c>
      <c r="B321" s="8">
        <f t="array" ref="B321:E321">_xlfn.XLOOKUP(A321,'Site Register'!A:A,'Site Register'!B:E)</f>
        <v/>
      </c>
      <c r="C321" s="8" t="inlineStr">
        <is>
          <t>New Zealand</t>
        </is>
      </c>
      <c r="D321" s="8" t="inlineStr">
        <is>
          <t>North Island</t>
        </is>
      </c>
      <c r="E321" s="8" t="inlineStr">
        <is>
          <t>NZ TOU Electricity</t>
        </is>
      </c>
      <c r="F321" s="8" t="inlineStr">
        <is>
          <t>kWh</t>
        </is>
      </c>
      <c r="G321" s="95" t="n">
        <v>75702.264</v>
      </c>
      <c r="H321" s="96" t="n">
        <v>46204</v>
      </c>
      <c r="I321" s="96" t="n">
        <v>47483</v>
      </c>
      <c r="J321" s="8" t="inlineStr">
        <is>
          <t>NZD</t>
        </is>
      </c>
      <c r="K321" s="97">
        <f>'Rate Inputs'!E259</f>
        <v/>
      </c>
      <c r="L321" s="97">
        <f>'Rate Inputs'!F259</f>
        <v/>
      </c>
      <c r="M321" s="98">
        <f>IF(OR($P321="Ready",$P321="FY26 provisional",$P321="FY26 secured"),IF($H321&lt;=DATE(2025,7,1),ROUNDUP($K321,-2),IF('Rate Inputs'!$J259="","",ROUNDUP(IF($H321&gt;DATE(2026,6,30),'Rate Inputs'!$J259,'Rate Inputs'!$J259*($H321-DATE(2025,7,1))/365+$K321*(DATE(2026,6,30)-$H321+1)/365),-2))),"")</f>
        <v/>
      </c>
      <c r="N321" s="98">
        <f>IF($P321="Ready",ROUNDUP(IFERROR($K321,0),-2),IF(OR($P321="FY26 provisional",$P321="FY26 secured"),"",0))</f>
        <v/>
      </c>
      <c r="O321" s="98">
        <f>IF($P321="Ready",IF('Rate Inputs'!$F259="","",ROUNDUP(IFERROR($L321,0),-2)),IF(OR($P321="FY26 provisional",$P321="FY26 secured"),"",0))</f>
        <v/>
      </c>
      <c r="P321" s="8" t="inlineStr">
        <is>
          <t>Ready</t>
        </is>
      </c>
      <c r="Q321" s="11" t="n"/>
    </row>
    <row r="322">
      <c r="A322" s="2" t="inlineStr">
        <is>
          <t>0006863450RN0A4</t>
        </is>
      </c>
      <c r="B322" s="8">
        <f t="array" ref="B322:E322">_xlfn.XLOOKUP(A322,'Site Register'!A:A,'Site Register'!B:E)</f>
        <v/>
      </c>
      <c r="C322" s="8" t="inlineStr">
        <is>
          <t>New Zealand</t>
        </is>
      </c>
      <c r="D322" s="8" t="inlineStr">
        <is>
          <t>South Island</t>
        </is>
      </c>
      <c r="E322" s="8" t="inlineStr">
        <is>
          <t>NZ TOU Electricity</t>
        </is>
      </c>
      <c r="F322" s="8" t="inlineStr">
        <is>
          <t>kWh</t>
        </is>
      </c>
      <c r="G322" s="95" t="n">
        <v>650828.848</v>
      </c>
      <c r="H322" s="96" t="n">
        <v>46204</v>
      </c>
      <c r="I322" s="96" t="n">
        <v>47483</v>
      </c>
      <c r="J322" s="8" t="inlineStr">
        <is>
          <t>NZD</t>
        </is>
      </c>
      <c r="K322" s="97">
        <f>'Rate Inputs'!E261</f>
        <v/>
      </c>
      <c r="L322" s="97">
        <f>'Rate Inputs'!F261</f>
        <v/>
      </c>
      <c r="M322" s="98">
        <f>IF(OR($P322="Ready",$P322="FY26 provisional",$P322="FY26 secured"),IF($H322&lt;=DATE(2025,7,1),ROUNDUP($K322,-2),IF('Rate Inputs'!$J261="","",ROUNDUP(IF($H322&gt;DATE(2026,6,30),'Rate Inputs'!$J261,'Rate Inputs'!$J261*($H322-DATE(2025,7,1))/365+$K322*(DATE(2026,6,30)-$H322+1)/365),-2))),"")</f>
        <v/>
      </c>
      <c r="N322" s="98">
        <f>IF($P322="Ready",ROUNDUP(IFERROR($K322,0),-2),IF(OR($P322="FY26 provisional",$P322="FY26 secured"),"",0))</f>
        <v/>
      </c>
      <c r="O322" s="98">
        <f>IF($P322="Ready",IF('Rate Inputs'!$F261="","",ROUNDUP(IFERROR($L322,0),-2)),IF(OR($P322="FY26 provisional",$P322="FY26 secured"),"",0))</f>
        <v/>
      </c>
      <c r="P322" s="8" t="inlineStr">
        <is>
          <t>Ready</t>
        </is>
      </c>
      <c r="Q322" s="11" t="n"/>
    </row>
    <row r="323">
      <c r="A323" s="2" t="inlineStr">
        <is>
          <t>0007186219RN9AF</t>
        </is>
      </c>
      <c r="B323" s="8">
        <f t="array" ref="B323:E323">_xlfn.XLOOKUP(A323,'Site Register'!A:A,'Site Register'!B:E)</f>
        <v/>
      </c>
      <c r="C323" s="8" t="inlineStr">
        <is>
          <t>New Zealand</t>
        </is>
      </c>
      <c r="D323" s="8" t="inlineStr">
        <is>
          <t>South Island</t>
        </is>
      </c>
      <c r="E323" s="8" t="inlineStr">
        <is>
          <t>NZ TOU Electricity</t>
        </is>
      </c>
      <c r="F323" s="8" t="inlineStr">
        <is>
          <t>kWh</t>
        </is>
      </c>
      <c r="G323" s="95" t="n">
        <v>862000</v>
      </c>
      <c r="H323" s="96" t="n">
        <v>46204</v>
      </c>
      <c r="I323" s="96" t="n">
        <v>47483</v>
      </c>
      <c r="J323" s="8" t="inlineStr">
        <is>
          <t>NZD</t>
        </is>
      </c>
      <c r="K323" s="97">
        <f>'Rate Inputs'!E267</f>
        <v/>
      </c>
      <c r="L323" s="97">
        <f>'Rate Inputs'!F267</f>
        <v/>
      </c>
      <c r="M323" s="98">
        <f>IF(OR($P323="Ready",$P323="FY26 provisional",$P323="FY26 secured"),IF($H323&lt;=DATE(2025,7,1),ROUNDUP($K323,-2),IF('Rate Inputs'!$J267="","",ROUNDUP(IF($H323&gt;DATE(2026,6,30),'Rate Inputs'!$J267,'Rate Inputs'!$J267*($H323-DATE(2025,7,1))/365+$K323*(DATE(2026,6,30)-$H323+1)/365),-2))),"")</f>
        <v/>
      </c>
      <c r="N323" s="98">
        <f>IF($P323="Ready",ROUNDUP(IFERROR($K323,0),-2),IF(OR($P323="FY26 provisional",$P323="FY26 secured"),"",0))</f>
        <v/>
      </c>
      <c r="O323" s="98">
        <f>IF($P323="Ready",IF('Rate Inputs'!$F267="","",ROUNDUP(IFERROR($L323,0),-2)),IF(OR($P323="FY26 provisional",$P323="FY26 secured"),"",0))</f>
        <v/>
      </c>
      <c r="P323" s="8" t="inlineStr">
        <is>
          <t>Review required</t>
        </is>
      </c>
      <c r="Q323" s="11" t="n"/>
    </row>
    <row r="324">
      <c r="A324" s="2" t="inlineStr">
        <is>
          <t>0007186221RNC43</t>
        </is>
      </c>
      <c r="B324" s="8">
        <f t="array" ref="B324:E324">_xlfn.XLOOKUP(A324,'Site Register'!A:A,'Site Register'!B:E)</f>
        <v/>
      </c>
      <c r="C324" s="8" t="inlineStr">
        <is>
          <t>New Zealand</t>
        </is>
      </c>
      <c r="D324" s="8" t="inlineStr">
        <is>
          <t>South Island</t>
        </is>
      </c>
      <c r="E324" s="8" t="inlineStr">
        <is>
          <t>NZ TOU Electricity</t>
        </is>
      </c>
      <c r="F324" s="8" t="inlineStr">
        <is>
          <t>kWh</t>
        </is>
      </c>
      <c r="G324" s="95" t="n">
        <v>998000</v>
      </c>
      <c r="H324" s="96" t="n">
        <v>46204</v>
      </c>
      <c r="I324" s="96" t="n">
        <v>47483</v>
      </c>
      <c r="J324" s="8" t="inlineStr">
        <is>
          <t>NZD</t>
        </is>
      </c>
      <c r="K324" s="97">
        <f>'Rate Inputs'!E268</f>
        <v/>
      </c>
      <c r="L324" s="97">
        <f>'Rate Inputs'!F268</f>
        <v/>
      </c>
      <c r="M324" s="98">
        <f>IF(OR($P324="Ready",$P324="FY26 provisional",$P324="FY26 secured"),IF($H324&lt;=DATE(2025,7,1),ROUNDUP($K324,-2),IF('Rate Inputs'!$J268="","",ROUNDUP(IF($H324&gt;DATE(2026,6,30),'Rate Inputs'!$J268,'Rate Inputs'!$J268*($H324-DATE(2025,7,1))/365+$K324*(DATE(2026,6,30)-$H324+1)/365),-2))),"")</f>
        <v/>
      </c>
      <c r="N324" s="98">
        <f>IF($P324="Ready",ROUNDUP(IFERROR($K324,0),-2),IF(OR($P324="FY26 provisional",$P324="FY26 secured"),"",0))</f>
        <v/>
      </c>
      <c r="O324" s="98">
        <f>IF($P324="Ready",IF('Rate Inputs'!$F268="","",ROUNDUP(IFERROR($L324,0),-2)),IF(OR($P324="FY26 provisional",$P324="FY26 secured"),"",0))</f>
        <v/>
      </c>
      <c r="P324" s="8" t="inlineStr">
        <is>
          <t>Review required</t>
        </is>
      </c>
      <c r="Q324" s="11" t="n"/>
    </row>
    <row r="325">
      <c r="A325" s="2" t="inlineStr">
        <is>
          <t>0007186223RNCC6</t>
        </is>
      </c>
      <c r="B325" s="8">
        <f t="array" ref="B325:E325">_xlfn.XLOOKUP(A325,'Site Register'!A:A,'Site Register'!B:E)</f>
        <v/>
      </c>
      <c r="C325" s="8" t="inlineStr">
        <is>
          <t>New Zealand</t>
        </is>
      </c>
      <c r="D325" s="8" t="inlineStr">
        <is>
          <t>South Island</t>
        </is>
      </c>
      <c r="E325" s="8" t="inlineStr">
        <is>
          <t>NZ TOU Electricity</t>
        </is>
      </c>
      <c r="F325" s="8" t="inlineStr">
        <is>
          <t>kWh</t>
        </is>
      </c>
      <c r="G325" s="95" t="n">
        <v>631000</v>
      </c>
      <c r="H325" s="96" t="n">
        <v>46204</v>
      </c>
      <c r="I325" s="96" t="n">
        <v>47483</v>
      </c>
      <c r="J325" s="8" t="inlineStr">
        <is>
          <t>NZD</t>
        </is>
      </c>
      <c r="K325" s="97">
        <f>'Rate Inputs'!E269</f>
        <v/>
      </c>
      <c r="L325" s="97">
        <f>'Rate Inputs'!F269</f>
        <v/>
      </c>
      <c r="M325" s="98">
        <f>IF(OR($P325="Ready",$P325="FY26 provisional",$P325="FY26 secured"),IF($H325&lt;=DATE(2025,7,1),ROUNDUP($K325,-2),IF('Rate Inputs'!$J269="","",ROUNDUP(IF($H325&gt;DATE(2026,6,30),'Rate Inputs'!$J269,'Rate Inputs'!$J269*($H325-DATE(2025,7,1))/365+$K325*(DATE(2026,6,30)-$H325+1)/365),-2))),"")</f>
        <v/>
      </c>
      <c r="N325" s="98">
        <f>IF($P325="Ready",ROUNDUP(IFERROR($K325,0),-2),IF(OR($P325="FY26 provisional",$P325="FY26 secured"),"",0))</f>
        <v/>
      </c>
      <c r="O325" s="98">
        <f>IF($P325="Ready",IF('Rate Inputs'!$F269="","",ROUNDUP(IFERROR($L325,0),-2)),IF(OR($P325="FY26 provisional",$P325="FY26 secured"),"",0))</f>
        <v/>
      </c>
      <c r="P325" s="8" t="inlineStr">
        <is>
          <t>Review required</t>
        </is>
      </c>
      <c r="Q325" s="11" t="n"/>
    </row>
    <row r="326">
      <c r="A326" s="2" t="inlineStr">
        <is>
          <t>0007202058RN859</t>
        </is>
      </c>
      <c r="B326" s="8">
        <f t="array" ref="B326:E326">_xlfn.XLOOKUP(A326,'Site Register'!A:A,'Site Register'!B:E)</f>
        <v/>
      </c>
      <c r="C326" s="8" t="inlineStr">
        <is>
          <t>New Zealand</t>
        </is>
      </c>
      <c r="D326" s="8" t="inlineStr">
        <is>
          <t>South Island</t>
        </is>
      </c>
      <c r="E326" s="8" t="inlineStr">
        <is>
          <t>NZ TOU Electricity</t>
        </is>
      </c>
      <c r="F326" s="8" t="inlineStr">
        <is>
          <t>kWh</t>
        </is>
      </c>
      <c r="G326" s="95" t="n">
        <v>872761.4399999999</v>
      </c>
      <c r="H326" s="96" t="n">
        <v>46204</v>
      </c>
      <c r="I326" s="96" t="n">
        <v>47483</v>
      </c>
      <c r="J326" s="8" t="inlineStr">
        <is>
          <t>NZD</t>
        </is>
      </c>
      <c r="K326" s="97">
        <f>'Rate Inputs'!E271</f>
        <v/>
      </c>
      <c r="L326" s="97">
        <f>'Rate Inputs'!F271</f>
        <v/>
      </c>
      <c r="M326" s="98">
        <f>IF(OR($P326="Ready",$P326="FY26 provisional",$P326="FY26 secured"),IF($H326&lt;=DATE(2025,7,1),ROUNDUP($K326,-2),IF('Rate Inputs'!$J271="","",ROUNDUP(IF($H326&gt;DATE(2026,6,30),'Rate Inputs'!$J271,'Rate Inputs'!$J271*($H326-DATE(2025,7,1))/365+$K326*(DATE(2026,6,30)-$H326+1)/365),-2))),"")</f>
        <v/>
      </c>
      <c r="N326" s="98">
        <f>IF($P326="Ready",ROUNDUP(IFERROR($K326,0),-2),IF(OR($P326="FY26 provisional",$P326="FY26 secured"),"",0))</f>
        <v/>
      </c>
      <c r="O326" s="98">
        <f>IF($P326="Ready",IF('Rate Inputs'!$F271="","",ROUNDUP(IFERROR($L326,0),-2)),IF(OR($P326="FY26 provisional",$P326="FY26 secured"),"",0))</f>
        <v/>
      </c>
      <c r="P326" s="8" t="inlineStr">
        <is>
          <t>Ready</t>
        </is>
      </c>
      <c r="Q326" s="11" t="n"/>
    </row>
    <row r="327">
      <c r="A327" s="2" t="inlineStr">
        <is>
          <t>1000522230PCA6E</t>
        </is>
      </c>
      <c r="B327" s="8">
        <f t="array" ref="B327:E327">_xlfn.XLOOKUP(A327,'Site Register'!A:A,'Site Register'!B:E)</f>
        <v/>
      </c>
      <c r="C327" s="8" t="inlineStr">
        <is>
          <t>New Zealand</t>
        </is>
      </c>
      <c r="D327" s="8" t="inlineStr">
        <is>
          <t>North Island</t>
        </is>
      </c>
      <c r="E327" s="8" t="inlineStr">
        <is>
          <t>NZ TOU Electricity</t>
        </is>
      </c>
      <c r="F327" s="8" t="inlineStr">
        <is>
          <t>kWh</t>
        </is>
      </c>
      <c r="G327" s="95" t="n">
        <v>48441.87999999999</v>
      </c>
      <c r="H327" s="96" t="n">
        <v>46204</v>
      </c>
      <c r="I327" s="96" t="n">
        <v>47483</v>
      </c>
      <c r="J327" s="8" t="inlineStr">
        <is>
          <t>NZD</t>
        </is>
      </c>
      <c r="K327" s="97">
        <f>'Rate Inputs'!E303</f>
        <v/>
      </c>
      <c r="L327" s="97">
        <f>'Rate Inputs'!F303</f>
        <v/>
      </c>
      <c r="M327" s="98">
        <f>IF(OR($P327="Ready",$P327="FY26 provisional",$P327="FY26 secured"),IF($H327&lt;=DATE(2025,7,1),ROUNDUP($K327,-2),IF('Rate Inputs'!$J303="","",ROUNDUP(IF($H327&gt;DATE(2026,6,30),'Rate Inputs'!$J303,'Rate Inputs'!$J303*($H327-DATE(2025,7,1))/365+$K327*(DATE(2026,6,30)-$H327+1)/365),-2))),"")</f>
        <v/>
      </c>
      <c r="N327" s="98">
        <f>IF($P327="Ready",ROUNDUP(IFERROR($K327,0),-2),IF(OR($P327="FY26 provisional",$P327="FY26 secured"),"",0))</f>
        <v/>
      </c>
      <c r="O327" s="98">
        <f>IF($P327="Ready",IF('Rate Inputs'!$F303="","",ROUNDUP(IFERROR($L327,0),-2)),IF(OR($P327="FY26 provisional",$P327="FY26 secured"),"",0))</f>
        <v/>
      </c>
      <c r="P327" s="8" t="inlineStr">
        <is>
          <t>Ready</t>
        </is>
      </c>
      <c r="Q327" s="11" t="n"/>
    </row>
    <row r="328">
      <c r="A328" s="2" t="inlineStr">
        <is>
          <t>1000610486PC18D</t>
        </is>
      </c>
      <c r="B328" s="8">
        <f t="array" ref="B328:E328">_xlfn.XLOOKUP(A328,'Site Register'!A:A,'Site Register'!B:E)</f>
        <v/>
      </c>
      <c r="C328" s="8" t="inlineStr">
        <is>
          <t>New Zealand</t>
        </is>
      </c>
      <c r="D328" s="8" t="inlineStr">
        <is>
          <t>North Island</t>
        </is>
      </c>
      <c r="E328" s="8" t="inlineStr">
        <is>
          <t>NZ TOU Electricity</t>
        </is>
      </c>
      <c r="F328" s="8" t="inlineStr">
        <is>
          <t>kWh</t>
        </is>
      </c>
      <c r="G328" s="95" t="n">
        <v>298706.66</v>
      </c>
      <c r="H328" s="96" t="n">
        <v>46204</v>
      </c>
      <c r="I328" s="96" t="n">
        <v>47483</v>
      </c>
      <c r="J328" s="8" t="inlineStr">
        <is>
          <t>NZD</t>
        </is>
      </c>
      <c r="K328" s="97">
        <f>'Rate Inputs'!E307</f>
        <v/>
      </c>
      <c r="L328" s="97">
        <f>'Rate Inputs'!F307</f>
        <v/>
      </c>
      <c r="M328" s="98">
        <f>IF(OR($P328="Ready",$P328="FY26 provisional",$P328="FY26 secured"),IF($H328&lt;=DATE(2025,7,1),ROUNDUP($K328,-2),IF('Rate Inputs'!$J307="","",ROUNDUP(IF($H328&gt;DATE(2026,6,30),'Rate Inputs'!$J307,'Rate Inputs'!$J307*($H328-DATE(2025,7,1))/365+$K328*(DATE(2026,6,30)-$H328+1)/365),-2))),"")</f>
        <v/>
      </c>
      <c r="N328" s="98">
        <f>IF($P328="Ready",ROUNDUP(IFERROR($K328,0),-2),IF(OR($P328="FY26 provisional",$P328="FY26 secured"),"",0))</f>
        <v/>
      </c>
      <c r="O328" s="98">
        <f>IF($P328="Ready",IF('Rate Inputs'!$F307="","",ROUNDUP(IFERROR($L328,0),-2)),IF(OR($P328="FY26 provisional",$P328="FY26 secured"),"",0))</f>
        <v/>
      </c>
      <c r="P328" s="8" t="inlineStr">
        <is>
          <t>Ready</t>
        </is>
      </c>
      <c r="Q328" s="11" t="n"/>
    </row>
    <row r="329">
      <c r="A329" s="2" t="inlineStr">
        <is>
          <t>1001113152UNBF4</t>
        </is>
      </c>
      <c r="B329" s="8">
        <f t="array" ref="B329:E329">_xlfn.XLOOKUP(A329,'Site Register'!A:A,'Site Register'!B:E)</f>
        <v/>
      </c>
      <c r="C329" s="8" t="inlineStr">
        <is>
          <t>New Zealand</t>
        </is>
      </c>
      <c r="D329" s="8" t="inlineStr">
        <is>
          <t>North Island</t>
        </is>
      </c>
      <c r="E329" s="8" t="inlineStr">
        <is>
          <t>NZ TOU Electricity</t>
        </is>
      </c>
      <c r="F329" s="8" t="inlineStr">
        <is>
          <t>kWh</t>
        </is>
      </c>
      <c r="G329" s="95" t="n">
        <v>913592.952</v>
      </c>
      <c r="H329" s="96" t="n">
        <v>46204</v>
      </c>
      <c r="I329" s="96" t="n">
        <v>47483</v>
      </c>
      <c r="J329" s="8" t="inlineStr">
        <is>
          <t>NZD</t>
        </is>
      </c>
      <c r="K329" s="97">
        <f>'Rate Inputs'!E310</f>
        <v/>
      </c>
      <c r="L329" s="97">
        <f>'Rate Inputs'!F310</f>
        <v/>
      </c>
      <c r="M329" s="98">
        <f>IF(OR($P329="Ready",$P329="FY26 provisional",$P329="FY26 secured"),IF($H329&lt;=DATE(2025,7,1),ROUNDUP($K329,-2),IF('Rate Inputs'!$J310="","",ROUNDUP(IF($H329&gt;DATE(2026,6,30),'Rate Inputs'!$J310,'Rate Inputs'!$J310*($H329-DATE(2025,7,1))/365+$K329*(DATE(2026,6,30)-$H329+1)/365),-2))),"")</f>
        <v/>
      </c>
      <c r="N329" s="98">
        <f>IF($P329="Ready",ROUNDUP(IFERROR($K329,0),-2),IF(OR($P329="FY26 provisional",$P329="FY26 secured"),"",0))</f>
        <v/>
      </c>
      <c r="O329" s="98">
        <f>IF($P329="Ready",IF('Rate Inputs'!$F310="","",ROUNDUP(IFERROR($L329,0),-2)),IF(OR($P329="FY26 provisional",$P329="FY26 secured"),"",0))</f>
        <v/>
      </c>
      <c r="P329" s="8" t="inlineStr">
        <is>
          <t>Ready</t>
        </is>
      </c>
      <c r="Q329" s="11" t="n"/>
    </row>
    <row r="330">
      <c r="A330" s="2" t="inlineStr">
        <is>
          <t>1001126325LC57C</t>
        </is>
      </c>
      <c r="B330" s="8">
        <f t="array" ref="B330:E330">_xlfn.XLOOKUP(A330,'Site Register'!A:A,'Site Register'!B:E)</f>
        <v/>
      </c>
      <c r="C330" s="8" t="inlineStr">
        <is>
          <t>New Zealand</t>
        </is>
      </c>
      <c r="D330" s="8" t="inlineStr">
        <is>
          <t>North Island</t>
        </is>
      </c>
      <c r="E330" s="8" t="inlineStr">
        <is>
          <t>NZ TOU Electricity</t>
        </is>
      </c>
      <c r="F330" s="8" t="inlineStr">
        <is>
          <t>kWh</t>
        </is>
      </c>
      <c r="G330" s="95" t="n">
        <v>1476649</v>
      </c>
      <c r="H330" s="96" t="n">
        <v>46204</v>
      </c>
      <c r="I330" s="96" t="n">
        <v>47483</v>
      </c>
      <c r="J330" s="8" t="inlineStr">
        <is>
          <t>NZD</t>
        </is>
      </c>
      <c r="K330" s="97">
        <f>'Rate Inputs'!E312</f>
        <v/>
      </c>
      <c r="L330" s="97">
        <f>'Rate Inputs'!F312</f>
        <v/>
      </c>
      <c r="M330" s="98">
        <f>IF(OR($P330="Ready",$P330="FY26 provisional",$P330="FY26 secured"),IF($H330&lt;=DATE(2025,7,1),ROUNDUP($K330,-2),IF('Rate Inputs'!$J312="","",ROUNDUP(IF($H330&gt;DATE(2026,6,30),'Rate Inputs'!$J312,'Rate Inputs'!$J312*($H330-DATE(2025,7,1))/365+$K330*(DATE(2026,6,30)-$H330+1)/365),-2))),"")</f>
        <v/>
      </c>
      <c r="N330" s="98">
        <f>IF($P330="Ready",ROUNDUP(IFERROR($K330,0),-2),IF(OR($P330="FY26 provisional",$P330="FY26 secured"),"",0))</f>
        <v/>
      </c>
      <c r="O330" s="98">
        <f>IF($P330="Ready",IF('Rate Inputs'!$F312="","",ROUNDUP(IFERROR($L330,0),-2)),IF(OR($P330="FY26 provisional",$P330="FY26 secured"),"",0))</f>
        <v/>
      </c>
      <c r="P330" s="8" t="inlineStr">
        <is>
          <t>Ready</t>
        </is>
      </c>
      <c r="Q330" s="11" t="n"/>
    </row>
    <row r="331">
      <c r="A331" s="2" t="inlineStr">
        <is>
          <t>1001151226CK008</t>
        </is>
      </c>
      <c r="B331" s="8">
        <f t="array" ref="B331:E331">_xlfn.XLOOKUP(A331,'Site Register'!A:A,'Site Register'!B:E)</f>
        <v/>
      </c>
      <c r="C331" s="8" t="inlineStr">
        <is>
          <t>New Zealand</t>
        </is>
      </c>
      <c r="D331" s="8" t="inlineStr">
        <is>
          <t>North Island</t>
        </is>
      </c>
      <c r="E331" s="8" t="inlineStr">
        <is>
          <t>NZ TOU Electricity</t>
        </is>
      </c>
      <c r="F331" s="8" t="inlineStr">
        <is>
          <t>kWh</t>
        </is>
      </c>
      <c r="G331" s="95" t="n">
        <v>445723.5699999999</v>
      </c>
      <c r="H331" s="96" t="n">
        <v>46204</v>
      </c>
      <c r="I331" s="96" t="n">
        <v>47483</v>
      </c>
      <c r="J331" s="8" t="inlineStr">
        <is>
          <t>NZD</t>
        </is>
      </c>
      <c r="K331" s="97">
        <f>'Rate Inputs'!E314</f>
        <v/>
      </c>
      <c r="L331" s="97">
        <f>'Rate Inputs'!F314</f>
        <v/>
      </c>
      <c r="M331" s="98">
        <f>IF(OR($P331="Ready",$P331="FY26 provisional",$P331="FY26 secured"),IF($H331&lt;=DATE(2025,7,1),ROUNDUP($K331,-2),IF('Rate Inputs'!$J314="","",ROUNDUP(IF($H331&gt;DATE(2026,6,30),'Rate Inputs'!$J314,'Rate Inputs'!$J314*($H331-DATE(2025,7,1))/365+$K331*(DATE(2026,6,30)-$H331+1)/365),-2))),"")</f>
        <v/>
      </c>
      <c r="N331" s="98">
        <f>IF($P331="Ready",ROUNDUP(IFERROR($K331,0),-2),IF(OR($P331="FY26 provisional",$P331="FY26 secured"),"",0))</f>
        <v/>
      </c>
      <c r="O331" s="98">
        <f>IF($P331="Ready",IF('Rate Inputs'!$F314="","",ROUNDUP(IFERROR($L331,0),-2)),IF(OR($P331="FY26 provisional",$P331="FY26 secured"),"",0))</f>
        <v/>
      </c>
      <c r="P331" s="8" t="inlineStr">
        <is>
          <t>Ready</t>
        </is>
      </c>
      <c r="Q331" s="11" t="n"/>
    </row>
    <row r="332">
      <c r="A332" s="2" t="inlineStr">
        <is>
          <t>1001240514LC3EB</t>
        </is>
      </c>
      <c r="B332" s="8">
        <f t="array" ref="B332:E332">_xlfn.XLOOKUP(A332,'Site Register'!A:A,'Site Register'!B:E)</f>
        <v/>
      </c>
      <c r="C332" s="8" t="inlineStr">
        <is>
          <t>New Zealand</t>
        </is>
      </c>
      <c r="D332" s="8" t="inlineStr">
        <is>
          <t>North Island</t>
        </is>
      </c>
      <c r="E332" s="8" t="inlineStr">
        <is>
          <t>NZ TOU Electricity</t>
        </is>
      </c>
      <c r="F332" s="8" t="inlineStr">
        <is>
          <t>kWh</t>
        </is>
      </c>
      <c r="G332" s="95" t="n">
        <v>1152846.384</v>
      </c>
      <c r="H332" s="96" t="n">
        <v>46204</v>
      </c>
      <c r="I332" s="96" t="n">
        <v>47483</v>
      </c>
      <c r="J332" s="8" t="inlineStr">
        <is>
          <t>NZD</t>
        </is>
      </c>
      <c r="K332" s="97">
        <f>'Rate Inputs'!E316</f>
        <v/>
      </c>
      <c r="L332" s="97">
        <f>'Rate Inputs'!F316</f>
        <v/>
      </c>
      <c r="M332" s="98">
        <f>IF(OR($P332="Ready",$P332="FY26 provisional",$P332="FY26 secured"),IF($H332&lt;=DATE(2025,7,1),ROUNDUP($K332,-2),IF('Rate Inputs'!$J316="","",ROUNDUP(IF($H332&gt;DATE(2026,6,30),'Rate Inputs'!$J316,'Rate Inputs'!$J316*($H332-DATE(2025,7,1))/365+$K332*(DATE(2026,6,30)-$H332+1)/365),-2))),"")</f>
        <v/>
      </c>
      <c r="N332" s="98">
        <f>IF($P332="Ready",ROUNDUP(IFERROR($K332,0),-2),IF(OR($P332="FY26 provisional",$P332="FY26 secured"),"",0))</f>
        <v/>
      </c>
      <c r="O332" s="98">
        <f>IF($P332="Ready",IF('Rate Inputs'!$F316="","",ROUNDUP(IFERROR($L332,0),-2)),IF(OR($P332="FY26 provisional",$P332="FY26 secured"),"",0))</f>
        <v/>
      </c>
      <c r="P332" s="8" t="inlineStr">
        <is>
          <t>Ready</t>
        </is>
      </c>
      <c r="Q332" s="11" t="n"/>
    </row>
    <row r="333">
      <c r="A333" s="2" t="inlineStr">
        <is>
          <t>1002051460LC4EA</t>
        </is>
      </c>
      <c r="B333" s="8">
        <f t="array" ref="B333:E333">_xlfn.XLOOKUP(A333,'Site Register'!A:A,'Site Register'!B:E)</f>
        <v/>
      </c>
      <c r="C333" s="8" t="inlineStr">
        <is>
          <t>New Zealand</t>
        </is>
      </c>
      <c r="D333" s="8" t="inlineStr">
        <is>
          <t>North Island</t>
        </is>
      </c>
      <c r="E333" s="8" t="inlineStr">
        <is>
          <t>NZ TOU Electricity</t>
        </is>
      </c>
      <c r="F333" s="8" t="inlineStr">
        <is>
          <t>kWh</t>
        </is>
      </c>
      <c r="G333" s="95" t="n">
        <v>457000</v>
      </c>
      <c r="H333" s="96" t="n">
        <v>46204</v>
      </c>
      <c r="I333" s="96" t="n">
        <v>47483</v>
      </c>
      <c r="J333" s="8" t="inlineStr">
        <is>
          <t>NZD</t>
        </is>
      </c>
      <c r="K333" s="97">
        <f>'Rate Inputs'!E320</f>
        <v/>
      </c>
      <c r="L333" s="97">
        <f>'Rate Inputs'!F320</f>
        <v/>
      </c>
      <c r="M333" s="98">
        <f>IF(OR($P333="Ready",$P333="FY26 provisional",$P333="FY26 secured"),IF($H333&lt;=DATE(2025,7,1),ROUNDUP($K333,-2),IF('Rate Inputs'!$J320="","",ROUNDUP(IF($H333&gt;DATE(2026,6,30),'Rate Inputs'!$J320,'Rate Inputs'!$J320*($H333-DATE(2025,7,1))/365+$K333*(DATE(2026,6,30)-$H333+1)/365),-2))),"")</f>
        <v/>
      </c>
      <c r="N333" s="98">
        <f>IF($P333="Ready",ROUNDUP(IFERROR($K333,0),-2),IF(OR($P333="FY26 provisional",$P333="FY26 secured"),"",0))</f>
        <v/>
      </c>
      <c r="O333" s="98">
        <f>IF($P333="Ready",IF('Rate Inputs'!$F320="","",ROUNDUP(IFERROR($L333,0),-2)),IF(OR($P333="FY26 provisional",$P333="FY26 secured"),"",0))</f>
        <v/>
      </c>
      <c r="P333" s="8" t="inlineStr">
        <is>
          <t>Review required</t>
        </is>
      </c>
      <c r="Q333" s="11" t="n"/>
    </row>
    <row r="334">
      <c r="A334" s="2" t="inlineStr">
        <is>
          <t>1002053509UN51B</t>
        </is>
      </c>
      <c r="B334" s="8">
        <f t="array" ref="B334:E334">_xlfn.XLOOKUP(A334,'Site Register'!A:A,'Site Register'!B:E)</f>
        <v/>
      </c>
      <c r="C334" s="8" t="inlineStr">
        <is>
          <t>New Zealand</t>
        </is>
      </c>
      <c r="D334" s="8" t="inlineStr">
        <is>
          <t>North Island</t>
        </is>
      </c>
      <c r="E334" s="8" t="inlineStr">
        <is>
          <t>NZ TOU Electricity</t>
        </is>
      </c>
      <c r="F334" s="8" t="inlineStr">
        <is>
          <t>kWh</t>
        </is>
      </c>
      <c r="G334" s="95" t="n">
        <v>563000</v>
      </c>
      <c r="H334" s="96" t="n">
        <v>46204</v>
      </c>
      <c r="I334" s="96" t="n">
        <v>47483</v>
      </c>
      <c r="J334" s="8" t="inlineStr">
        <is>
          <t>NZD</t>
        </is>
      </c>
      <c r="K334" s="97">
        <f>'Rate Inputs'!E321</f>
        <v/>
      </c>
      <c r="L334" s="97">
        <f>'Rate Inputs'!F321</f>
        <v/>
      </c>
      <c r="M334" s="98">
        <f>IF(OR($P334="Ready",$P334="FY26 provisional",$P334="FY26 secured"),IF($H334&lt;=DATE(2025,7,1),ROUNDUP($K334,-2),IF('Rate Inputs'!$J321="","",ROUNDUP(IF($H334&gt;DATE(2026,6,30),'Rate Inputs'!$J321,'Rate Inputs'!$J321*($H334-DATE(2025,7,1))/365+$K334*(DATE(2026,6,30)-$H334+1)/365),-2))),"")</f>
        <v/>
      </c>
      <c r="N334" s="98">
        <f>IF($P334="Ready",ROUNDUP(IFERROR($K334,0),-2),IF(OR($P334="FY26 provisional",$P334="FY26 secured"),"",0))</f>
        <v/>
      </c>
      <c r="O334" s="98">
        <f>IF($P334="Ready",IF('Rate Inputs'!$F321="","",ROUNDUP(IFERROR($L334,0),-2)),IF(OR($P334="FY26 provisional",$P334="FY26 secured"),"",0))</f>
        <v/>
      </c>
      <c r="P334" s="8" t="inlineStr">
        <is>
          <t>Review required</t>
        </is>
      </c>
      <c r="Q334" s="11" t="n"/>
    </row>
    <row r="335">
      <c r="A335" s="2" t="inlineStr">
        <is>
          <t>1002147325UN75B</t>
        </is>
      </c>
      <c r="B335" s="8">
        <f t="array" ref="B335:E335">_xlfn.XLOOKUP(A335,'Site Register'!A:A,'Site Register'!B:E)</f>
        <v/>
      </c>
      <c r="C335" s="8" t="inlineStr">
        <is>
          <t>New Zealand</t>
        </is>
      </c>
      <c r="D335" s="8" t="inlineStr">
        <is>
          <t>North Island</t>
        </is>
      </c>
      <c r="E335" s="8" t="inlineStr">
        <is>
          <t>NZ TOU Electricity</t>
        </is>
      </c>
      <c r="F335" s="8" t="inlineStr">
        <is>
          <t>kWh</t>
        </is>
      </c>
      <c r="G335" s="95" t="n">
        <v>32015.504</v>
      </c>
      <c r="H335" s="96" t="n">
        <v>46204</v>
      </c>
      <c r="I335" s="96" t="n">
        <v>47483</v>
      </c>
      <c r="J335" s="8" t="inlineStr">
        <is>
          <t>NZD</t>
        </is>
      </c>
      <c r="K335" s="97">
        <f>'Rate Inputs'!E322</f>
        <v/>
      </c>
      <c r="L335" s="97">
        <f>'Rate Inputs'!F322</f>
        <v/>
      </c>
      <c r="M335" s="98">
        <f>IF(OR($P335="Ready",$P335="FY26 provisional",$P335="FY26 secured"),IF($H335&lt;=DATE(2025,7,1),ROUNDUP($K335,-2),IF('Rate Inputs'!$J322="","",ROUNDUP(IF($H335&gt;DATE(2026,6,30),'Rate Inputs'!$J322,'Rate Inputs'!$J322*($H335-DATE(2025,7,1))/365+$K335*(DATE(2026,6,30)-$H335+1)/365),-2))),"")</f>
        <v/>
      </c>
      <c r="N335" s="98">
        <f>IF($P335="Ready",ROUNDUP(IFERROR($K335,0),-2),IF(OR($P335="FY26 provisional",$P335="FY26 secured"),"",0))</f>
        <v/>
      </c>
      <c r="O335" s="98">
        <f>IF($P335="Ready",IF('Rate Inputs'!$F322="","",ROUNDUP(IFERROR($L335,0),-2)),IF(OR($P335="FY26 provisional",$P335="FY26 secured"),"",0))</f>
        <v/>
      </c>
      <c r="P335" s="8" t="inlineStr">
        <is>
          <t>Ready</t>
        </is>
      </c>
      <c r="Q335" s="11" t="n"/>
    </row>
    <row r="336">
      <c r="A336" s="2" t="inlineStr">
        <is>
          <t>0000073603NAA76</t>
        </is>
      </c>
      <c r="B336" s="8">
        <f t="array" ref="B336:E336">_xlfn.XLOOKUP(A336,'Site Register'!A:A,'Site Register'!B:E)</f>
        <v/>
      </c>
      <c r="C336" s="8" t="inlineStr">
        <is>
          <t>New Zealand</t>
        </is>
      </c>
      <c r="D336" s="8" t="inlineStr">
        <is>
          <t>North Island</t>
        </is>
      </c>
      <c r="E336" s="8" t="inlineStr">
        <is>
          <t>NZ TOU Natural Gas</t>
        </is>
      </c>
      <c r="F336" s="8" t="inlineStr">
        <is>
          <t>GJ</t>
        </is>
      </c>
      <c r="G336" s="95" t="n">
        <v>23000</v>
      </c>
      <c r="H336" s="96" t="n">
        <v>46296</v>
      </c>
      <c r="I336" s="96" t="n">
        <v>47756</v>
      </c>
      <c r="J336" s="8" t="inlineStr">
        <is>
          <t>NZD</t>
        </is>
      </c>
      <c r="K336" s="97">
        <f>'Rate Inputs'!E324</f>
        <v/>
      </c>
      <c r="L336" s="97">
        <f>'Rate Inputs'!F324</f>
        <v/>
      </c>
      <c r="M336" s="98">
        <f>IF(OR($P336="Ready",$P336="FY26 provisional",$P336="FY26 secured"),IF($H336&lt;=DATE(2025,7,1),ROUNDUP($K336,-2),IF('Rate Inputs'!$J324="","",ROUNDUP(IF($H336&gt;DATE(2026,6,30),'Rate Inputs'!$J324,'Rate Inputs'!$J324*($H336-DATE(2025,7,1))/365+$K336*(DATE(2026,6,30)-$H336+1)/365),-2))),"")</f>
        <v/>
      </c>
      <c r="N336" s="98">
        <f>IF($P336="Ready",ROUNDUP(IFERROR($K336,0),-2),IF(OR($P336="FY26 provisional",$P336="FY26 secured"),"",0))</f>
        <v/>
      </c>
      <c r="O336" s="98">
        <f>IF($P336="Ready",IF('Rate Inputs'!$F324="","",ROUNDUP(IFERROR($L336,0),-2)),IF(OR($P336="FY26 provisional",$P336="FY26 secured"),"",0))</f>
        <v/>
      </c>
      <c r="P336" s="8" t="inlineStr">
        <is>
          <t>Ready</t>
        </is>
      </c>
      <c r="Q336" s="11" t="n"/>
    </row>
    <row r="337">
      <c r="A337" s="2" t="inlineStr">
        <is>
          <t>0001022593NG2C3</t>
        </is>
      </c>
      <c r="B337" s="8">
        <f t="array" ref="B337:E337">_xlfn.XLOOKUP(A337,'Site Register'!A:A,'Site Register'!B:E)</f>
        <v/>
      </c>
      <c r="C337" s="8" t="inlineStr">
        <is>
          <t>New Zealand</t>
        </is>
      </c>
      <c r="D337" s="8" t="inlineStr">
        <is>
          <t>North Island</t>
        </is>
      </c>
      <c r="E337" s="8" t="inlineStr">
        <is>
          <t>NZ TOU Natural Gas</t>
        </is>
      </c>
      <c r="F337" s="8" t="inlineStr">
        <is>
          <t>GJ</t>
        </is>
      </c>
      <c r="G337" s="95" t="n">
        <v>18591</v>
      </c>
      <c r="H337" s="96" t="n">
        <v>46296</v>
      </c>
      <c r="I337" s="96" t="n">
        <v>47756</v>
      </c>
      <c r="J337" s="8" t="inlineStr">
        <is>
          <t>NZD</t>
        </is>
      </c>
      <c r="K337" s="97">
        <f>'Rate Inputs'!E326</f>
        <v/>
      </c>
      <c r="L337" s="97">
        <f>'Rate Inputs'!F326</f>
        <v/>
      </c>
      <c r="M337" s="98">
        <f>IF(OR($P337="Ready",$P337="FY26 provisional",$P337="FY26 secured"),IF($H337&lt;=DATE(2025,7,1),ROUNDUP($K337,-2),IF('Rate Inputs'!$J326="","",ROUNDUP(IF($H337&gt;DATE(2026,6,30),'Rate Inputs'!$J326,'Rate Inputs'!$J326*($H337-DATE(2025,7,1))/365+$K337*(DATE(2026,6,30)-$H337+1)/365),-2))),"")</f>
        <v/>
      </c>
      <c r="N337" s="98">
        <f>IF($P337="Ready",ROUNDUP(IFERROR($K337,0),-2),IF(OR($P337="FY26 provisional",$P337="FY26 secured"),"",0))</f>
        <v/>
      </c>
      <c r="O337" s="98">
        <f>IF($P337="Ready",IF('Rate Inputs'!$F326="","",ROUNDUP(IFERROR($L337,0),-2)),IF(OR($P337="FY26 provisional",$P337="FY26 secured"),"",0))</f>
        <v/>
      </c>
      <c r="P337" s="8" t="inlineStr">
        <is>
          <t>Ready</t>
        </is>
      </c>
      <c r="Q337" s="11" t="n"/>
    </row>
    <row r="338">
      <c r="A338" s="2" t="inlineStr">
        <is>
          <t>0001510110PG48F</t>
        </is>
      </c>
      <c r="B338" s="8">
        <f t="array" ref="B338:E338">_xlfn.XLOOKUP(A338,'Site Register'!A:A,'Site Register'!B:E)</f>
        <v/>
      </c>
      <c r="C338" s="8" t="inlineStr">
        <is>
          <t>New Zealand</t>
        </is>
      </c>
      <c r="D338" s="8" t="inlineStr">
        <is>
          <t>North Island</t>
        </is>
      </c>
      <c r="E338" s="8" t="inlineStr">
        <is>
          <t>NZ TOU Natural Gas</t>
        </is>
      </c>
      <c r="F338" s="8" t="inlineStr">
        <is>
          <t>GJ</t>
        </is>
      </c>
      <c r="G338" s="95" t="n">
        <v>8677</v>
      </c>
      <c r="H338" s="96" t="n">
        <v>46296</v>
      </c>
      <c r="I338" s="96" t="n">
        <v>47756</v>
      </c>
      <c r="J338" s="8" t="inlineStr">
        <is>
          <t>NZD</t>
        </is>
      </c>
      <c r="K338" s="97">
        <f>'Rate Inputs'!E327</f>
        <v/>
      </c>
      <c r="L338" s="97">
        <f>'Rate Inputs'!F327</f>
        <v/>
      </c>
      <c r="M338" s="98">
        <f>IF(OR($P338="Ready",$P338="FY26 provisional",$P338="FY26 secured"),IF($H338&lt;=DATE(2025,7,1),ROUNDUP($K338,-2),IF('Rate Inputs'!$J327="","",ROUNDUP(IF($H338&gt;DATE(2026,6,30),'Rate Inputs'!$J327,'Rate Inputs'!$J327*($H338-DATE(2025,7,1))/365+$K338*(DATE(2026,6,30)-$H338+1)/365),-2))),"")</f>
        <v/>
      </c>
      <c r="N338" s="98">
        <f>IF($P338="Ready",ROUNDUP(IFERROR($K338,0),-2),IF(OR($P338="FY26 provisional",$P338="FY26 secured"),"",0))</f>
        <v/>
      </c>
      <c r="O338" s="98">
        <f>IF($P338="Ready",IF('Rate Inputs'!$F327="","",ROUNDUP(IFERROR($L338,0),-2)),IF(OR($P338="FY26 provisional",$P338="FY26 secured"),"",0))</f>
        <v/>
      </c>
      <c r="P338" s="8" t="inlineStr">
        <is>
          <t>Ready</t>
        </is>
      </c>
      <c r="Q338" s="11" t="n"/>
    </row>
    <row r="339">
      <c r="A339" s="2" t="inlineStr">
        <is>
          <t>0005591470PG214</t>
        </is>
      </c>
      <c r="B339" s="8">
        <f t="array" ref="B339:E339">_xlfn.XLOOKUP(A339,'Site Register'!A:A,'Site Register'!B:E)</f>
        <v/>
      </c>
      <c r="C339" s="8" t="inlineStr">
        <is>
          <t>New Zealand</t>
        </is>
      </c>
      <c r="D339" s="8" t="inlineStr">
        <is>
          <t>North Island</t>
        </is>
      </c>
      <c r="E339" s="8" t="inlineStr">
        <is>
          <t>NZ TOU Natural Gas</t>
        </is>
      </c>
      <c r="F339" s="8" t="inlineStr">
        <is>
          <t>GJ</t>
        </is>
      </c>
      <c r="G339" s="95" t="n">
        <v>8624</v>
      </c>
      <c r="H339" s="96" t="n">
        <v>46296</v>
      </c>
      <c r="I339" s="96" t="n">
        <v>47756</v>
      </c>
      <c r="J339" s="8" t="inlineStr">
        <is>
          <t>NZD</t>
        </is>
      </c>
      <c r="K339" s="97">
        <f>'Rate Inputs'!E332</f>
        <v/>
      </c>
      <c r="L339" s="97">
        <f>'Rate Inputs'!F332</f>
        <v/>
      </c>
      <c r="M339" s="98">
        <f>IF(OR($P339="Ready",$P339="FY26 provisional",$P339="FY26 secured"),IF($H339&lt;=DATE(2025,7,1),ROUNDUP($K339,-2),IF('Rate Inputs'!$J332="","",ROUNDUP(IF($H339&gt;DATE(2026,6,30),'Rate Inputs'!$J332,'Rate Inputs'!$J332*($H339-DATE(2025,7,1))/365+$K339*(DATE(2026,6,30)-$H339+1)/365),-2))),"")</f>
        <v/>
      </c>
      <c r="N339" s="98">
        <f>IF($P339="Ready",ROUNDUP(IFERROR($K339,0),-2),IF(OR($P339="FY26 provisional",$P339="FY26 secured"),"",0))</f>
        <v/>
      </c>
      <c r="O339" s="98">
        <f>IF($P339="Ready",IF('Rate Inputs'!$F332="","",ROUNDUP(IFERROR($L339,0),-2)),IF(OR($P339="FY26 provisional",$P339="FY26 secured"),"",0))</f>
        <v/>
      </c>
      <c r="P339" s="8" t="inlineStr">
        <is>
          <t>Ready</t>
        </is>
      </c>
      <c r="Q339" s="11" t="n"/>
    </row>
    <row r="340">
      <c r="A340" s="2" t="inlineStr">
        <is>
          <t>0009000218NG904</t>
        </is>
      </c>
      <c r="B340" s="8">
        <f t="array" ref="B340:E340">_xlfn.XLOOKUP(A340,'Site Register'!A:A,'Site Register'!B:E)</f>
        <v/>
      </c>
      <c r="C340" s="8" t="inlineStr">
        <is>
          <t>New Zealand</t>
        </is>
      </c>
      <c r="D340" s="8" t="inlineStr">
        <is>
          <t>North Island</t>
        </is>
      </c>
      <c r="E340" s="8" t="inlineStr">
        <is>
          <t>NZ TOU Natural Gas</t>
        </is>
      </c>
      <c r="F340" s="8" t="inlineStr">
        <is>
          <t>GJ</t>
        </is>
      </c>
      <c r="G340" s="95" t="n">
        <v>13930</v>
      </c>
      <c r="H340" s="96" t="n">
        <v>46296</v>
      </c>
      <c r="I340" s="96" t="n">
        <v>47756</v>
      </c>
      <c r="J340" s="8" t="inlineStr">
        <is>
          <t>NZD</t>
        </is>
      </c>
      <c r="K340" s="97">
        <f>'Rate Inputs'!E333</f>
        <v/>
      </c>
      <c r="L340" s="97">
        <f>'Rate Inputs'!F333</f>
        <v/>
      </c>
      <c r="M340" s="98">
        <f>IF(OR($P340="Ready",$P340="FY26 provisional",$P340="FY26 secured"),IF($H340&lt;=DATE(2025,7,1),ROUNDUP($K340,-2),IF('Rate Inputs'!$J333="","",ROUNDUP(IF($H340&gt;DATE(2026,6,30),'Rate Inputs'!$J333,'Rate Inputs'!$J333*($H340-DATE(2025,7,1))/365+$K340*(DATE(2026,6,30)-$H340+1)/365),-2))),"")</f>
        <v/>
      </c>
      <c r="N340" s="98">
        <f>IF($P340="Ready",ROUNDUP(IFERROR($K340,0),-2),IF(OR($P340="FY26 provisional",$P340="FY26 secured"),"",0))</f>
        <v/>
      </c>
      <c r="O340" s="98">
        <f>IF($P340="Ready",IF('Rate Inputs'!$F333="","",ROUNDUP(IFERROR($L340,0),-2)),IF(OR($P340="FY26 provisional",$P340="FY26 secured"),"",0))</f>
        <v/>
      </c>
      <c r="P340" s="8" t="inlineStr">
        <is>
          <t>Ready</t>
        </is>
      </c>
      <c r="Q340" s="11" t="n"/>
    </row>
    <row r="341">
      <c r="A341" s="2" t="inlineStr">
        <is>
          <t>0009000601NG1F9</t>
        </is>
      </c>
      <c r="B341" s="8">
        <f t="array" ref="B341:E341">_xlfn.XLOOKUP(A341,'Site Register'!A:A,'Site Register'!B:E)</f>
        <v/>
      </c>
      <c r="C341" s="8" t="inlineStr">
        <is>
          <t>New Zealand</t>
        </is>
      </c>
      <c r="D341" s="8" t="inlineStr">
        <is>
          <t>North Island</t>
        </is>
      </c>
      <c r="E341" s="8" t="inlineStr">
        <is>
          <t>NZ TOU Natural Gas</t>
        </is>
      </c>
      <c r="F341" s="8" t="inlineStr">
        <is>
          <t>GJ</t>
        </is>
      </c>
      <c r="G341" s="95" t="n">
        <v>1148</v>
      </c>
      <c r="H341" s="96" t="n">
        <v>46296</v>
      </c>
      <c r="I341" s="96" t="n">
        <v>47756</v>
      </c>
      <c r="J341" s="8" t="inlineStr">
        <is>
          <t>NZD</t>
        </is>
      </c>
      <c r="K341" s="97">
        <f>'Rate Inputs'!E334</f>
        <v/>
      </c>
      <c r="L341" s="97">
        <f>'Rate Inputs'!F334</f>
        <v/>
      </c>
      <c r="M341" s="98">
        <f>IF(OR($P341="Ready",$P341="FY26 provisional",$P341="FY26 secured"),IF($H341&lt;=DATE(2025,7,1),ROUNDUP($K341,-2),IF('Rate Inputs'!$J334="","",ROUNDUP(IF($H341&gt;DATE(2026,6,30),'Rate Inputs'!$J334,'Rate Inputs'!$J334*($H341-DATE(2025,7,1))/365+$K341*(DATE(2026,6,30)-$H341+1)/365),-2))),"")</f>
        <v/>
      </c>
      <c r="N341" s="98">
        <f>IF($P341="Ready",ROUNDUP(IFERROR($K341,0),-2),IF(OR($P341="FY26 provisional",$P341="FY26 secured"),"",0))</f>
        <v/>
      </c>
      <c r="O341" s="98">
        <f>IF($P341="Ready",IF('Rate Inputs'!$F334="","",ROUNDUP(IFERROR($L341,0),-2)),IF(OR($P341="FY26 provisional",$P341="FY26 secured"),"",0))</f>
        <v/>
      </c>
      <c r="P341" s="8" t="inlineStr">
        <is>
          <t>Ready</t>
        </is>
      </c>
      <c r="Q341" s="11" t="n"/>
    </row>
    <row r="342">
      <c r="A342" s="2" t="inlineStr">
        <is>
          <t>1000521442PG37D</t>
        </is>
      </c>
      <c r="B342" s="8">
        <f t="array" ref="B342:E342">_xlfn.XLOOKUP(A342,'Site Register'!A:A,'Site Register'!B:E)</f>
        <v/>
      </c>
      <c r="C342" s="8" t="inlineStr">
        <is>
          <t>New Zealand</t>
        </is>
      </c>
      <c r="D342" s="8" t="inlineStr">
        <is>
          <t>North Island</t>
        </is>
      </c>
      <c r="E342" s="8" t="inlineStr">
        <is>
          <t>NZ TOU Natural Gas</t>
        </is>
      </c>
      <c r="F342" s="8" t="inlineStr">
        <is>
          <t>GJ</t>
        </is>
      </c>
      <c r="G342" s="95" t="n">
        <v>10285</v>
      </c>
      <c r="H342" s="96" t="n">
        <v>46296</v>
      </c>
      <c r="I342" s="96" t="n">
        <v>47756</v>
      </c>
      <c r="J342" s="8" t="inlineStr">
        <is>
          <t>NZD</t>
        </is>
      </c>
      <c r="K342" s="97">
        <f>'Rate Inputs'!E339</f>
        <v/>
      </c>
      <c r="L342" s="97">
        <f>'Rate Inputs'!F339</f>
        <v/>
      </c>
      <c r="M342" s="98">
        <f>IF(OR($P342="Ready",$P342="FY26 provisional",$P342="FY26 secured"),IF($H342&lt;=DATE(2025,7,1),ROUNDUP($K342,-2),IF('Rate Inputs'!$J339="","",ROUNDUP(IF($H342&gt;DATE(2026,6,30),'Rate Inputs'!$J339,'Rate Inputs'!$J339*($H342-DATE(2025,7,1))/365+$K342*(DATE(2026,6,30)-$H342+1)/365),-2))),"")</f>
        <v/>
      </c>
      <c r="N342" s="98">
        <f>IF($P342="Ready",ROUNDUP(IFERROR($K342,0),-2),IF(OR($P342="FY26 provisional",$P342="FY26 secured"),"",0))</f>
        <v/>
      </c>
      <c r="O342" s="98">
        <f>IF($P342="Ready",IF('Rate Inputs'!$F339="","",ROUNDUP(IFERROR($L342,0),-2)),IF(OR($P342="FY26 provisional",$P342="FY26 secured"),"",0))</f>
        <v/>
      </c>
      <c r="P342" s="8" t="inlineStr">
        <is>
          <t>Ready</t>
        </is>
      </c>
      <c r="Q342" s="11" t="n"/>
    </row>
    <row r="343">
      <c r="A343" s="5" t="inlineStr">
        <is>
          <t>1001126516QT2A3</t>
        </is>
      </c>
      <c r="B343" s="8">
        <f t="array" ref="B343:E343">_xlfn.XLOOKUP(A343,'Site Register'!A:A,'Site Register'!B:E)</f>
        <v/>
      </c>
      <c r="C343" s="9" t="inlineStr">
        <is>
          <t>New Zealand</t>
        </is>
      </c>
      <c r="D343" s="9" t="inlineStr">
        <is>
          <t>North Island</t>
        </is>
      </c>
      <c r="E343" s="8" t="inlineStr">
        <is>
          <t>NZ TOU Natural Gas</t>
        </is>
      </c>
      <c r="F343" s="9" t="inlineStr">
        <is>
          <t>GJ</t>
        </is>
      </c>
      <c r="G343" s="101" t="n">
        <v>49433</v>
      </c>
      <c r="H343" s="102" t="n">
        <v>46296</v>
      </c>
      <c r="I343" s="102" t="n">
        <v>47756</v>
      </c>
      <c r="J343" s="9" t="inlineStr">
        <is>
          <t>NZD</t>
        </is>
      </c>
      <c r="K343" s="103">
        <f>'Rate Inputs'!E343</f>
        <v/>
      </c>
      <c r="L343" s="103">
        <f>'Rate Inputs'!F343</f>
        <v/>
      </c>
      <c r="M343" s="104">
        <f>IF(OR($P343="Ready",$P343="FY26 provisional",$P343="FY26 secured"),IF($H343&lt;=DATE(2025,7,1),ROUNDUP($K343,-2),IF('Rate Inputs'!$J343="","",ROUNDUP(IF($H343&gt;DATE(2026,6,30),'Rate Inputs'!$J343,'Rate Inputs'!$J343*($H343-DATE(2025,7,1))/365+$K343*(DATE(2026,6,30)-$H343+1)/365),-2))),"")</f>
        <v/>
      </c>
      <c r="N343" s="104">
        <f>IF($P343="Ready",ROUNDUP(IFERROR($K343,0),-2),IF(OR($P343="FY26 provisional",$P343="FY26 secured"),"",0))</f>
        <v/>
      </c>
      <c r="O343" s="104">
        <f>IF($P343="Ready",IF('Rate Inputs'!$F343="","",ROUNDUP(IFERROR($L343,0),-2)),IF(OR($P343="FY26 provisional",$P343="FY26 secured"),"",0))</f>
        <v/>
      </c>
      <c r="P343" s="9" t="inlineStr">
        <is>
          <t>Ready</t>
        </is>
      </c>
      <c r="Q343" s="14" t="n"/>
    </row>
  </sheetData>
  <autoFilter ref="A2:Q343"/>
  <conditionalFormatting sqref="P3:P343">
    <cfRule type="containsText" priority="1" operator="containsText" dxfId="0" text="Review required"/>
    <cfRule type="containsText" priority="2" operator="containsText" dxfId="2" text="FY26 provisional"/>
    <cfRule type="containsText" priority="3" operator="containsText" dxfId="1" text="FY26 secured"/>
  </conditionalFormatting>
  <pageMargins left="0.7" right="0.7" top="0.75" bottom="0.75" header="0.3" footer="0.3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43"/>
  <sheetViews>
    <sheetView showGridLines="0" zoomScale="80" zoomScaleNormal="80" workbookViewId="0">
      <selection activeCell="G13" sqref="G13"/>
    </sheetView>
  </sheetViews>
  <sheetFormatPr baseColWidth="8" defaultRowHeight="21.75"/>
  <cols>
    <col width="18" customWidth="1" style="1" min="1" max="1"/>
    <col width="20" customWidth="1" style="1" min="2" max="2"/>
    <col width="10" customWidth="1" style="1" min="3" max="3"/>
    <col width="16" customWidth="1" style="1" min="4" max="4"/>
    <col width="19" customWidth="1" style="1" min="5" max="6"/>
    <col width="18" customWidth="1" style="1" min="7" max="8"/>
    <col width="16" customWidth="1" style="1" min="9" max="9"/>
    <col width="22" customWidth="1" style="1" min="10" max="12"/>
    <col width="9" customWidth="1" style="1" min="13" max="16384"/>
  </cols>
  <sheetData>
    <row r="1" ht="27.95" customHeight="1">
      <c r="A1" s="34" t="inlineStr">
        <is>
          <t>Budget Inputs – formula links to raw schedules and source analysis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</row>
    <row r="2" ht="65.25" customHeight="1">
      <c r="A2" s="35" t="inlineStr">
        <is>
          <t>Connection ID</t>
        </is>
      </c>
      <c r="B2" s="36" t="inlineStr">
        <is>
          <t>Contracted Retailer</t>
        </is>
      </c>
      <c r="C2" s="36" t="inlineStr">
        <is>
          <t>Units</t>
        </is>
      </c>
      <c r="D2" s="36" t="inlineStr">
        <is>
          <t>Annual Consumption</t>
        </is>
      </c>
      <c r="E2" s="36" t="inlineStr">
        <is>
          <t>Annual Spend Input (current term)</t>
        </is>
      </c>
      <c r="F2" s="36" t="inlineStr">
        <is>
          <t>Renewal / FY28 Annual Input</t>
        </is>
      </c>
      <c r="G2" s="36" t="inlineStr">
        <is>
          <t>FY27 Blended Rate (audit only)</t>
        </is>
      </c>
      <c r="H2" s="36" t="inlineStr">
        <is>
          <t>FY28 Blended Rate (audit only)</t>
        </is>
      </c>
      <c r="I2" s="36" t="inlineStr">
        <is>
          <t>Budget Status</t>
        </is>
      </c>
      <c r="J2" s="36" t="inlineStr">
        <is>
          <t>Current Annual Spend (reference)</t>
        </is>
      </c>
      <c r="K2" s="36" t="inlineStr">
        <is>
          <t>Source Annual Total (fallback)</t>
        </is>
      </c>
      <c r="L2" s="37" t="inlineStr">
        <is>
          <t>Renewal Source Total (fallback)</t>
        </is>
      </c>
    </row>
    <row r="3">
      <c r="A3" s="2" t="n">
        <v>7001184714</v>
      </c>
      <c r="B3" s="8">
        <f>_xlfn.XLOOKUP(A3,'Budget FY26-28'!A:A,'Site Register'!M:M)</f>
        <v/>
      </c>
      <c r="C3" s="8" t="inlineStr">
        <is>
          <t>kWh</t>
        </is>
      </c>
      <c r="D3" s="95" t="n">
        <v>928827.6759999999</v>
      </c>
      <c r="E3" s="105">
        <f>SUMIFS('Rates &amp; Source Data'!$AO$33:$AO$100,'Rates &amp; Source Data'!$A$33:$A$100,$A3)</f>
        <v/>
      </c>
      <c r="F3" s="105">
        <f>SUMIFS('Rates &amp; Source Data'!$AR$33:$AR$100,'Rates &amp; Source Data'!$A$33:$A$100,$A3)</f>
        <v/>
      </c>
      <c r="G3" s="106" t="n">
        <v>0.1153285835907648</v>
      </c>
      <c r="H3" s="106" t="n">
        <v>0.1137052956541565</v>
      </c>
      <c r="I3" s="8" t="inlineStr">
        <is>
          <t>Ready</t>
        </is>
      </c>
      <c r="J3" s="97" t="n">
        <v>238460.9350078224</v>
      </c>
      <c r="K3" s="97" t="n">
        <v>107120.3802729818</v>
      </c>
      <c r="L3" s="107" t="n">
        <v>105612.6255113431</v>
      </c>
    </row>
    <row r="4">
      <c r="A4" s="2" t="n">
        <v>4001050448</v>
      </c>
      <c r="B4" s="8">
        <f>_xlfn.XLOOKUP(A4,'Budget FY26-28'!A:A,'Site Register'!M:M)</f>
        <v/>
      </c>
      <c r="C4" s="8" t="inlineStr">
        <is>
          <t>kWh</t>
        </is>
      </c>
      <c r="D4" s="95" t="n">
        <v>28354</v>
      </c>
      <c r="E4" s="105">
        <f>IFERROR(IF(SUMIFS('Rates &amp; Source Data'!$BM$106:$BM$156,'Rates &amp; Source Data'!$C$106:$C$156,$A4,'Rates &amp; Source Data'!$A$106:$A$156,$B4)&lt;&gt;0,SUMIFS('Rates &amp; Source Data'!$BM$106:$BM$156,'Rates &amp; Source Data'!$C$106:$C$156,$A4,'Rates &amp; Source Data'!$A$106:$A$156,$B4),$K4),$K4)</f>
        <v/>
      </c>
      <c r="F4" s="105">
        <f>E4</f>
        <v/>
      </c>
      <c r="G4" s="106" t="n">
        <v>0.3108242685335402</v>
      </c>
      <c r="H4" s="106" t="n">
        <v>0.3108242685335402</v>
      </c>
      <c r="I4" s="8" t="inlineStr">
        <is>
          <t>Ready</t>
        </is>
      </c>
      <c r="J4" s="97" t="n">
        <v>11190.412</v>
      </c>
      <c r="K4" s="97" t="n">
        <v>8813.11131</v>
      </c>
      <c r="L4" s="107" t="n">
        <v>8813.11131</v>
      </c>
    </row>
    <row r="5">
      <c r="A5" s="2" t="n">
        <v>4001127731</v>
      </c>
      <c r="B5" s="8">
        <f>_xlfn.XLOOKUP(A5,'Budget FY26-28'!A:A,'Site Register'!M:M)</f>
        <v/>
      </c>
      <c r="C5" s="8" t="inlineStr">
        <is>
          <t>kWh</t>
        </is>
      </c>
      <c r="D5" s="95" t="n">
        <v>44278.31</v>
      </c>
      <c r="E5" s="105">
        <f>SUMIFS('Rates &amp; Source Data'!$AO$33:$AO$100,'Rates &amp; Source Data'!$A$33:$A$100,$A5)</f>
        <v/>
      </c>
      <c r="F5" s="105">
        <f>SUMIFS('Rates &amp; Source Data'!$AR$33:$AR$100,'Rates &amp; Source Data'!$A$33:$A$100,$A5)</f>
        <v/>
      </c>
      <c r="G5" s="106" t="n">
        <v>0.1210510518594147</v>
      </c>
      <c r="H5" s="106" t="n">
        <v>0.119987683524607</v>
      </c>
      <c r="I5" s="8" t="inlineStr">
        <is>
          <t>Ready</t>
        </is>
      </c>
      <c r="J5" s="97" t="n">
        <v>22410.43618212265</v>
      </c>
      <c r="K5" s="97" t="n">
        <v>5359.93600005724</v>
      </c>
      <c r="L5" s="107" t="n">
        <v>5312.851847284441</v>
      </c>
    </row>
    <row r="6">
      <c r="A6" s="2" t="n">
        <v>4001128707</v>
      </c>
      <c r="B6" s="8">
        <f>_xlfn.XLOOKUP(A6,'Budget FY26-28'!A:A,'Site Register'!M:M)</f>
        <v/>
      </c>
      <c r="C6" s="8" t="inlineStr">
        <is>
          <t>kWh</t>
        </is>
      </c>
      <c r="D6" s="95" t="n">
        <v>0</v>
      </c>
      <c r="E6" s="105">
        <f>IFERROR(IF(SUMIFS('Rates &amp; Source Data'!$BM$106:$BM$156,'Rates &amp; Source Data'!$C$106:$C$156,$A6,'Rates &amp; Source Data'!$A$106:$A$156,$B6)&lt;&gt;0,SUMIFS('Rates &amp; Source Data'!$BM$106:$BM$156,'Rates &amp; Source Data'!$C$106:$C$156,$A6,'Rates &amp; Source Data'!$A$106:$A$156,$B6),$K6),$K6)</f>
        <v/>
      </c>
      <c r="F6" s="105">
        <f>E6</f>
        <v/>
      </c>
      <c r="G6" s="106" t="n"/>
      <c r="H6" s="106" t="n"/>
      <c r="I6" s="8" t="inlineStr">
        <is>
          <t>Review required</t>
        </is>
      </c>
      <c r="J6" s="97" t="n">
        <v>543.4849999999999</v>
      </c>
      <c r="K6" s="97" t="n">
        <v>1009.5243</v>
      </c>
      <c r="L6" s="107" t="n">
        <v>1009.5243</v>
      </c>
    </row>
    <row r="7">
      <c r="A7" s="2" t="n">
        <v>4001158058</v>
      </c>
      <c r="B7" s="8">
        <f>_xlfn.XLOOKUP(A7,'Budget FY26-28'!A:A,'Site Register'!M:M)</f>
        <v/>
      </c>
      <c r="C7" s="8" t="inlineStr">
        <is>
          <t>kWh</t>
        </is>
      </c>
      <c r="D7" s="95" t="n">
        <v>0</v>
      </c>
      <c r="E7" s="105">
        <f>SUMIFS('Rates &amp; Source Data'!$AO$33:$AO$100,'Rates &amp; Source Data'!$A$33:$A$100,$A7)</f>
        <v/>
      </c>
      <c r="F7" s="105">
        <f>SUMIFS('Rates &amp; Source Data'!$AR$33:$AR$100,'Rates &amp; Source Data'!$A$33:$A$100,$A7)</f>
        <v/>
      </c>
      <c r="G7" s="106" t="n"/>
      <c r="H7" s="106" t="n"/>
      <c r="I7" s="8" t="inlineStr">
        <is>
          <t>Review required</t>
        </is>
      </c>
      <c r="J7" s="97" t="n">
        <v>991</v>
      </c>
      <c r="K7" s="97" t="n">
        <v>550</v>
      </c>
      <c r="L7" s="107" t="n">
        <v>550</v>
      </c>
    </row>
    <row r="8">
      <c r="A8" s="2" t="n">
        <v>4001174306</v>
      </c>
      <c r="B8" s="8">
        <f>_xlfn.XLOOKUP(A8,'Budget FY26-28'!A:A,'Site Register'!M:M)</f>
        <v/>
      </c>
      <c r="C8" s="8" t="inlineStr">
        <is>
          <t>kWh</t>
        </is>
      </c>
      <c r="D8" s="95" t="n">
        <v>254401</v>
      </c>
      <c r="E8" s="105">
        <f>IFERROR(IF(SUMIFS('Rates &amp; Source Data'!$BM$106:$BM$156,'Rates &amp; Source Data'!$C$106:$C$156,$A8,'Rates &amp; Source Data'!$A$106:$A$156,$B8)&lt;&gt;0,SUMIFS('Rates &amp; Source Data'!$BM$106:$BM$156,'Rates &amp; Source Data'!$C$106:$C$156,$A8,'Rates &amp; Source Data'!$A$106:$A$156,$B8),$K8),$K8)</f>
        <v/>
      </c>
      <c r="F8" s="105">
        <f>E8</f>
        <v/>
      </c>
      <c r="G8" s="106" t="n">
        <v>0.2791949009732667</v>
      </c>
      <c r="H8" s="106" t="n">
        <v>0.2791949009732667</v>
      </c>
      <c r="I8" s="8" t="inlineStr">
        <is>
          <t>Ready</t>
        </is>
      </c>
      <c r="J8" s="97" t="n">
        <v>96071.06049999999</v>
      </c>
      <c r="K8" s="97" t="n">
        <v>71027.4620025</v>
      </c>
      <c r="L8" s="107" t="n">
        <v>71027.4620025</v>
      </c>
    </row>
    <row r="9">
      <c r="A9" s="2" t="n">
        <v>4001198085</v>
      </c>
      <c r="B9" s="8">
        <f>_xlfn.XLOOKUP(A9,'Budget FY26-28'!A:A,'Site Register'!M:M)</f>
        <v/>
      </c>
      <c r="C9" s="8" t="inlineStr">
        <is>
          <t>kWh</t>
        </is>
      </c>
      <c r="D9" s="95" t="n">
        <v>399092.86</v>
      </c>
      <c r="E9" s="105">
        <f>SUMIFS('Rates &amp; Source Data'!$AO$33:$AO$100,'Rates &amp; Source Data'!$A$33:$A$100,$A9)</f>
        <v/>
      </c>
      <c r="F9" s="105">
        <f>SUMIFS('Rates &amp; Source Data'!$AR$33:$AR$100,'Rates &amp; Source Data'!$A$33:$A$100,$A9)</f>
        <v/>
      </c>
      <c r="G9" s="106" t="n">
        <v>0.1156350668172749</v>
      </c>
      <c r="H9" s="106" t="n">
        <v>0.1136365501449858</v>
      </c>
      <c r="I9" s="8" t="inlineStr">
        <is>
          <t>Ready</t>
        </is>
      </c>
      <c r="J9" s="97" t="n">
        <v>130890.7758780086</v>
      </c>
      <c r="K9" s="97" t="n">
        <v>46149.12953239733</v>
      </c>
      <c r="L9" s="107" t="n">
        <v>45351.53579789581</v>
      </c>
    </row>
    <row r="10">
      <c r="A10" s="2" t="n">
        <v>4001200751</v>
      </c>
      <c r="B10" s="8">
        <f>_xlfn.XLOOKUP(A10,'Budget FY26-28'!A:A,'Site Register'!M:M)</f>
        <v/>
      </c>
      <c r="C10" s="8" t="inlineStr">
        <is>
          <t>kWh</t>
        </is>
      </c>
      <c r="D10" s="95" t="n">
        <v>10268531.8</v>
      </c>
      <c r="E10" s="105">
        <f>SUMIFS('Rates &amp; Source Data'!$AO$33:$AO$100,'Rates &amp; Source Data'!$A$33:$A$100,$A10)</f>
        <v/>
      </c>
      <c r="F10" s="105">
        <f>SUMIFS('Rates &amp; Source Data'!$AR$33:$AR$100,'Rates &amp; Source Data'!$A$33:$A$100,$A10)</f>
        <v/>
      </c>
      <c r="G10" s="106" t="n">
        <v>0.1054405642448975</v>
      </c>
      <c r="H10" s="106" t="n">
        <v>0.1044921122305289</v>
      </c>
      <c r="I10" s="8" t="inlineStr">
        <is>
          <t>Ready</t>
        </is>
      </c>
      <c r="J10" s="97" t="n">
        <v>2157078.057823047</v>
      </c>
      <c r="K10" s="97" t="n">
        <v>1082719.786958673</v>
      </c>
      <c r="L10" s="107" t="n">
        <v>1072980.577288355</v>
      </c>
    </row>
    <row r="11">
      <c r="A11" s="2" t="n">
        <v>4001231357</v>
      </c>
      <c r="B11" s="8">
        <f>_xlfn.XLOOKUP(A11,'Budget FY26-28'!A:A,'Site Register'!M:M)</f>
        <v/>
      </c>
      <c r="C11" s="8" t="inlineStr">
        <is>
          <t>kWh</t>
        </is>
      </c>
      <c r="D11" s="95" t="n">
        <v>30776</v>
      </c>
      <c r="E11" s="105">
        <f>IFERROR(IF(SUMIFS('Rates &amp; Source Data'!$BM$106:$BM$156,'Rates &amp; Source Data'!$C$106:$C$156,$A11,'Rates &amp; Source Data'!$A$106:$A$156,$B11)&lt;&gt;0,SUMIFS('Rates &amp; Source Data'!$BM$106:$BM$156,'Rates &amp; Source Data'!$C$106:$C$156,$A11,'Rates &amp; Source Data'!$A$106:$A$156,$B11),$K11),$K11)</f>
        <v/>
      </c>
      <c r="F11" s="105">
        <f>E11</f>
        <v/>
      </c>
      <c r="G11" s="106" t="n">
        <v>0.40417850177613</v>
      </c>
      <c r="H11" s="106" t="n">
        <v>0.40417850177613</v>
      </c>
      <c r="I11" s="8" t="inlineStr">
        <is>
          <t>Ready</t>
        </is>
      </c>
      <c r="J11" s="97" t="n">
        <v>10863.7024</v>
      </c>
      <c r="K11" s="97" t="n">
        <v>12438.99757066218</v>
      </c>
      <c r="L11" s="107" t="n">
        <v>12438.99757066218</v>
      </c>
    </row>
    <row r="12">
      <c r="A12" s="2" t="n">
        <v>4001277522</v>
      </c>
      <c r="B12" s="8">
        <f>_xlfn.XLOOKUP(A12,'Budget FY26-28'!A:A,'Site Register'!M:M)</f>
        <v/>
      </c>
      <c r="C12" s="8" t="inlineStr">
        <is>
          <t>kWh</t>
        </is>
      </c>
      <c r="D12" s="95" t="n">
        <v>9299</v>
      </c>
      <c r="E12" s="105">
        <f>IFERROR(IF(SUMIFS('Rates &amp; Source Data'!$BM$106:$BM$156,'Rates &amp; Source Data'!$C$106:$C$156,$A12,'Rates &amp; Source Data'!$A$106:$A$156,$B12)&lt;&gt;0,SUMIFS('Rates &amp; Source Data'!$BM$106:$BM$156,'Rates &amp; Source Data'!$C$106:$C$156,$A12,'Rates &amp; Source Data'!$A$106:$A$156,$B12),$K12),$K12)</f>
        <v/>
      </c>
      <c r="F12" s="105">
        <f>E12</f>
        <v/>
      </c>
      <c r="G12" s="106" t="n">
        <v>0.3837672112592752</v>
      </c>
      <c r="H12" s="106" t="n">
        <v>0.3837672112592752</v>
      </c>
      <c r="I12" s="8" t="inlineStr">
        <is>
          <t>Ready</t>
        </is>
      </c>
      <c r="J12" s="97" t="n">
        <v>4035.259499999999</v>
      </c>
      <c r="K12" s="97" t="n">
        <v>3568.6512975</v>
      </c>
      <c r="L12" s="107" t="n">
        <v>3568.6512975</v>
      </c>
    </row>
    <row r="13">
      <c r="A13" s="2" t="n">
        <v>4001287259</v>
      </c>
      <c r="B13" s="8">
        <f>_xlfn.XLOOKUP(A13,'Budget FY26-28'!A:A,'Site Register'!M:M)</f>
        <v/>
      </c>
      <c r="C13" s="8" t="inlineStr">
        <is>
          <t>kWh</t>
        </is>
      </c>
      <c r="D13" s="95" t="n">
        <v>171810.509</v>
      </c>
      <c r="E13" s="105">
        <f>SUMIFS('Rates &amp; Source Data'!$AO$33:$AO$100,'Rates &amp; Source Data'!$A$33:$A$100,$A13)</f>
        <v/>
      </c>
      <c r="F13" s="105">
        <f>SUMIFS('Rates &amp; Source Data'!$AR$33:$AR$100,'Rates &amp; Source Data'!$A$33:$A$100,$A13)</f>
        <v/>
      </c>
      <c r="G13" s="106" t="n">
        <v>0.1111670034120244</v>
      </c>
      <c r="H13" s="106" t="n">
        <v>0.1102830416305683</v>
      </c>
      <c r="I13" s="8" t="inlineStr">
        <is>
          <t>Ready</t>
        </is>
      </c>
      <c r="J13" s="97" t="n">
        <v>45112.97455725884</v>
      </c>
      <c r="K13" s="97" t="n">
        <v>19099.65944022464</v>
      </c>
      <c r="L13" s="107" t="n">
        <v>18947.78551661613</v>
      </c>
    </row>
    <row r="14">
      <c r="A14" s="2" t="n">
        <v>4103512903</v>
      </c>
      <c r="B14" s="8">
        <f>_xlfn.XLOOKUP(A14,'Budget FY26-28'!A:A,'Site Register'!M:M)</f>
        <v/>
      </c>
      <c r="C14" s="8" t="inlineStr">
        <is>
          <t>kWh</t>
        </is>
      </c>
      <c r="D14" s="95" t="n">
        <v>15039</v>
      </c>
      <c r="E14" s="105">
        <f>IFERROR(IF(SUMIFS('Rates &amp; Source Data'!$BM$106:$BM$156,'Rates &amp; Source Data'!$C$106:$C$156,$A14,'Rates &amp; Source Data'!$A$106:$A$156,$B14)&lt;&gt;0,SUMIFS('Rates &amp; Source Data'!$BM$106:$BM$156,'Rates &amp; Source Data'!$C$106:$C$156,$A14,'Rates &amp; Source Data'!$A$106:$A$156,$B14),$K14),$K14)</f>
        <v/>
      </c>
      <c r="F14" s="105">
        <f>E14</f>
        <v/>
      </c>
      <c r="G14" s="106" t="n">
        <v>0.253434056951925</v>
      </c>
      <c r="H14" s="106" t="n">
        <v>0.253434056951925</v>
      </c>
      <c r="I14" s="8" t="inlineStr">
        <is>
          <t>Ready</t>
        </is>
      </c>
      <c r="J14" s="97" t="n">
        <v>6147.892699999999</v>
      </c>
      <c r="K14" s="97" t="n">
        <v>3811.3947825</v>
      </c>
      <c r="L14" s="107" t="n">
        <v>3811.3947825</v>
      </c>
    </row>
    <row r="15">
      <c r="A15" s="2" t="n">
        <v>4103689689</v>
      </c>
      <c r="B15" s="8">
        <f>_xlfn.XLOOKUP(A15,'Budget FY26-28'!A:A,'Site Register'!M:M)</f>
        <v/>
      </c>
      <c r="C15" s="8" t="inlineStr">
        <is>
          <t>kWh</t>
        </is>
      </c>
      <c r="D15" s="95" t="n">
        <v>143552.12</v>
      </c>
      <c r="E15" s="105">
        <f>SUMIFS('Rates &amp; Source Data'!$AO$33:$AO$100,'Rates &amp; Source Data'!$A$33:$A$100,$A15)</f>
        <v/>
      </c>
      <c r="F15" s="105">
        <f>SUMIFS('Rates &amp; Source Data'!$AR$33:$AR$100,'Rates &amp; Source Data'!$A$33:$A$100,$A15)</f>
        <v/>
      </c>
      <c r="G15" s="106" t="n">
        <v>0.1133315984046051</v>
      </c>
      <c r="H15" s="106" t="n">
        <v>0.1116992363757275</v>
      </c>
      <c r="I15" s="8" t="inlineStr">
        <is>
          <t>Ready</t>
        </is>
      </c>
      <c r="J15" s="97" t="n">
        <v>40468.99605414711</v>
      </c>
      <c r="K15" s="97" t="n">
        <v>16268.99121396968</v>
      </c>
      <c r="L15" s="107" t="n">
        <v>16034.6621841168</v>
      </c>
    </row>
    <row r="16">
      <c r="A16" s="2" t="n">
        <v>4103705443</v>
      </c>
      <c r="B16" s="8">
        <f>_xlfn.XLOOKUP(A16,'Budget FY26-28'!A:A,'Site Register'!M:M)</f>
        <v/>
      </c>
      <c r="C16" s="8" t="inlineStr">
        <is>
          <t>kWh</t>
        </is>
      </c>
      <c r="D16" s="95" t="n">
        <v>106397.96</v>
      </c>
      <c r="E16" s="105">
        <f>SUMIFS('Rates &amp; Source Data'!$AO$33:$AO$100,'Rates &amp; Source Data'!$A$33:$A$100,$A16)</f>
        <v/>
      </c>
      <c r="F16" s="105">
        <f>SUMIFS('Rates &amp; Source Data'!$AR$33:$AR$100,'Rates &amp; Source Data'!$A$33:$A$100,$A16)</f>
        <v/>
      </c>
      <c r="G16" s="106" t="n">
        <v>0.1141632825960506</v>
      </c>
      <c r="H16" s="106" t="n">
        <v>0.1122316616456026</v>
      </c>
      <c r="I16" s="8" t="inlineStr">
        <is>
          <t>Ready</t>
        </is>
      </c>
      <c r="J16" s="97" t="n">
        <v>29888.74791502231</v>
      </c>
      <c r="K16" s="97" t="n">
        <v>12146.74037512329</v>
      </c>
      <c r="L16" s="107" t="n">
        <v>11941.21984650236</v>
      </c>
    </row>
    <row r="17">
      <c r="A17" s="2" t="n">
        <v>4103711576</v>
      </c>
      <c r="B17" s="8">
        <f>_xlfn.XLOOKUP(A17,'Budget FY26-28'!A:A,'Site Register'!M:M)</f>
        <v/>
      </c>
      <c r="C17" s="8" t="inlineStr">
        <is>
          <t>kWh</t>
        </is>
      </c>
      <c r="D17" s="95" t="n">
        <v>2405011.6</v>
      </c>
      <c r="E17" s="105">
        <f>SUMIFS('Rates &amp; Source Data'!$AO$33:$AO$100,'Rates &amp; Source Data'!$A$33:$A$100,$A17)</f>
        <v/>
      </c>
      <c r="F17" s="105">
        <f>SUMIFS('Rates &amp; Source Data'!$AR$33:$AR$100,'Rates &amp; Source Data'!$A$33:$A$100,$A17)</f>
        <v/>
      </c>
      <c r="G17" s="106" t="n">
        <v>0.1083435993997143</v>
      </c>
      <c r="H17" s="106" t="n">
        <v>0.1073126855093611</v>
      </c>
      <c r="I17" s="8" t="inlineStr">
        <is>
          <t>Ready</t>
        </is>
      </c>
      <c r="J17" s="97" t="n">
        <v>469889.7418516564</v>
      </c>
      <c r="K17" s="97" t="n">
        <v>260567.613342066</v>
      </c>
      <c r="L17" s="107" t="n">
        <v>258088.2534771652</v>
      </c>
    </row>
    <row r="18">
      <c r="A18" s="2" t="n">
        <v>4103713125</v>
      </c>
      <c r="B18" s="8">
        <f>_xlfn.XLOOKUP(A18,'Budget FY26-28'!A:A,'Site Register'!M:M)</f>
        <v/>
      </c>
      <c r="C18" s="8" t="inlineStr">
        <is>
          <t>kWh</t>
        </is>
      </c>
      <c r="D18" s="95" t="n">
        <v>1251891.6</v>
      </c>
      <c r="E18" s="105">
        <f>SUMIFS('Rates &amp; Source Data'!$AO$33:$AO$100,'Rates &amp; Source Data'!$A$33:$A$100,$A18)</f>
        <v/>
      </c>
      <c r="F18" s="105">
        <f>SUMIFS('Rates &amp; Source Data'!$AR$33:$AR$100,'Rates &amp; Source Data'!$A$33:$A$100,$A18)</f>
        <v/>
      </c>
      <c r="G18" s="106" t="n">
        <v>0.108560709279511</v>
      </c>
      <c r="H18" s="106" t="n">
        <v>0.1075495873318925</v>
      </c>
      <c r="I18" s="8" t="inlineStr">
        <is>
          <t>Ready</t>
        </is>
      </c>
      <c r="J18" s="97" t="n">
        <v>287020.4548383298</v>
      </c>
      <c r="K18" s="97" t="n">
        <v>135906.2400370619</v>
      </c>
      <c r="L18" s="107" t="n">
        <v>134640.4249642627</v>
      </c>
    </row>
    <row r="19">
      <c r="A19" s="2" t="n">
        <v>4103737079</v>
      </c>
      <c r="B19" s="8">
        <f>_xlfn.XLOOKUP(A19,'Budget FY26-28'!A:A,'Site Register'!M:M)</f>
        <v/>
      </c>
      <c r="C19" s="8" t="inlineStr">
        <is>
          <t>kWh</t>
        </is>
      </c>
      <c r="D19" s="95" t="n">
        <v>19241.4</v>
      </c>
      <c r="E19" s="105">
        <f>SUMIFS('Rates &amp; Source Data'!$AO$33:$AO$100,'Rates &amp; Source Data'!$A$33:$A$100,$A19)</f>
        <v/>
      </c>
      <c r="F19" s="105">
        <f>SUMIFS('Rates &amp; Source Data'!$AR$33:$AR$100,'Rates &amp; Source Data'!$A$33:$A$100,$A19)</f>
        <v/>
      </c>
      <c r="G19" s="106" t="n">
        <v>0.1372490757811303</v>
      </c>
      <c r="H19" s="106" t="n">
        <v>0.1362936621673849</v>
      </c>
      <c r="I19" s="8" t="inlineStr">
        <is>
          <t>Ready</t>
        </is>
      </c>
      <c r="J19" s="97" t="n">
        <v>10765.56170965595</v>
      </c>
      <c r="K19" s="97" t="n">
        <v>2640.86436673504</v>
      </c>
      <c r="L19" s="107" t="n">
        <v>2622.48087122752</v>
      </c>
    </row>
    <row r="20">
      <c r="A20" s="2" t="n">
        <v>4103737729</v>
      </c>
      <c r="B20" s="8">
        <f>_xlfn.XLOOKUP(A20,'Budget FY26-28'!A:A,'Site Register'!M:M)</f>
        <v/>
      </c>
      <c r="C20" s="8" t="inlineStr">
        <is>
          <t>kWh</t>
        </is>
      </c>
      <c r="D20" s="95" t="n">
        <v>13618.63</v>
      </c>
      <c r="E20" s="105">
        <f>SUMIFS('Rates &amp; Source Data'!$AO$33:$AO$100,'Rates &amp; Source Data'!$A$33:$A$100,$A20)</f>
        <v/>
      </c>
      <c r="F20" s="105">
        <f>SUMIFS('Rates &amp; Source Data'!$AR$33:$AR$100,'Rates &amp; Source Data'!$A$33:$A$100,$A20)</f>
        <v/>
      </c>
      <c r="G20" s="106" t="n">
        <v>0.1502857503513217</v>
      </c>
      <c r="H20" s="106" t="n">
        <v>0.1491144524145078</v>
      </c>
      <c r="I20" s="8" t="inlineStr">
        <is>
          <t>Ready</t>
        </is>
      </c>
      <c r="J20" s="97" t="n">
        <v>4135.78210967385</v>
      </c>
      <c r="K20" s="97" t="n">
        <v>2046.68602830702</v>
      </c>
      <c r="L20" s="107" t="n">
        <v>2030.734555085789</v>
      </c>
    </row>
    <row r="21">
      <c r="A21" s="2" t="n">
        <v>4103742938</v>
      </c>
      <c r="B21" s="8">
        <f>_xlfn.XLOOKUP(A21,'Budget FY26-28'!A:A,'Site Register'!M:M)</f>
        <v/>
      </c>
      <c r="C21" s="8" t="inlineStr">
        <is>
          <t>kWh</t>
        </is>
      </c>
      <c r="D21" s="95" t="n">
        <v>105623.45</v>
      </c>
      <c r="E21" s="105">
        <f>SUMIFS('Rates &amp; Source Data'!$AO$33:$AO$100,'Rates &amp; Source Data'!$A$33:$A$100,$A21)</f>
        <v/>
      </c>
      <c r="F21" s="105">
        <f>SUMIFS('Rates &amp; Source Data'!$AR$33:$AR$100,'Rates &amp; Source Data'!$A$33:$A$100,$A21)</f>
        <v/>
      </c>
      <c r="G21" s="106" t="n">
        <v>0.1137102891298873</v>
      </c>
      <c r="H21" s="106" t="n">
        <v>0.1122595596724117</v>
      </c>
      <c r="I21" s="8" t="inlineStr">
        <is>
          <t>Ready</t>
        </is>
      </c>
      <c r="J21" s="97" t="n">
        <v>51698.74075535116</v>
      </c>
      <c r="K21" s="97" t="n">
        <v>12010.4730383962</v>
      </c>
      <c r="L21" s="107" t="n">
        <v>11857.241988081</v>
      </c>
    </row>
    <row r="22">
      <c r="A22" s="2" t="n">
        <v>4103742939</v>
      </c>
      <c r="B22" s="8">
        <f>_xlfn.XLOOKUP(A22,'Budget FY26-28'!A:A,'Site Register'!M:M)</f>
        <v/>
      </c>
      <c r="C22" s="8" t="inlineStr">
        <is>
          <t>kWh</t>
        </is>
      </c>
      <c r="D22" s="95" t="n">
        <v>81857.79999999999</v>
      </c>
      <c r="E22" s="105">
        <f>SUMIFS('Rates &amp; Source Data'!$AO$33:$AO$100,'Rates &amp; Source Data'!$A$33:$A$100,$A22)</f>
        <v/>
      </c>
      <c r="F22" s="105">
        <f>SUMIFS('Rates &amp; Source Data'!$AR$33:$AR$100,'Rates &amp; Source Data'!$A$33:$A$100,$A22)</f>
        <v/>
      </c>
      <c r="G22" s="106" t="n">
        <v>0.1154103554864</v>
      </c>
      <c r="H22" s="106" t="n">
        <v>0.1145361128970375</v>
      </c>
      <c r="I22" s="8" t="inlineStr">
        <is>
          <t>Ready</t>
        </is>
      </c>
      <c r="J22" s="97" t="n">
        <v>39496.38695842291</v>
      </c>
      <c r="K22" s="97" t="n">
        <v>9447.23779733463</v>
      </c>
      <c r="L22" s="107" t="n">
        <v>9375.674222303111</v>
      </c>
    </row>
    <row r="23">
      <c r="A23" s="2" t="n">
        <v>4103742940</v>
      </c>
      <c r="B23" s="8">
        <f>_xlfn.XLOOKUP(A23,'Budget FY26-28'!A:A,'Site Register'!M:M)</f>
        <v/>
      </c>
      <c r="C23" s="8" t="inlineStr">
        <is>
          <t>kWh</t>
        </is>
      </c>
      <c r="D23" s="95" t="n">
        <v>90701.86</v>
      </c>
      <c r="E23" s="105">
        <f>SUMIFS('Rates &amp; Source Data'!$AO$33:$AO$100,'Rates &amp; Source Data'!$A$33:$A$100,$A23)</f>
        <v/>
      </c>
      <c r="F23" s="105">
        <f>SUMIFS('Rates &amp; Source Data'!$AR$33:$AR$100,'Rates &amp; Source Data'!$A$33:$A$100,$A23)</f>
        <v/>
      </c>
      <c r="G23" s="106" t="n">
        <v>0.1144823929428181</v>
      </c>
      <c r="H23" s="106" t="n">
        <v>0.1127728006495496</v>
      </c>
      <c r="I23" s="8" t="inlineStr">
        <is>
          <t>Ready</t>
        </is>
      </c>
      <c r="J23" s="97" t="n">
        <v>45158.30264697525</v>
      </c>
      <c r="K23" s="97" t="n">
        <v>10383.76597716448</v>
      </c>
      <c r="L23" s="107" t="n">
        <v>10228.70277632336</v>
      </c>
    </row>
    <row r="24">
      <c r="A24" s="2" t="n">
        <v>4103759848</v>
      </c>
      <c r="B24" s="8">
        <f>_xlfn.XLOOKUP(A24,'Budget FY26-28'!A:A,'Site Register'!M:M)</f>
        <v/>
      </c>
      <c r="C24" s="8" t="inlineStr">
        <is>
          <t>kWh</t>
        </is>
      </c>
      <c r="D24" s="95" t="n">
        <v>102767.91</v>
      </c>
      <c r="E24" s="105">
        <f>SUMIFS('Rates &amp; Source Data'!$AO$33:$AO$100,'Rates &amp; Source Data'!$A$33:$A$100,$A24)</f>
        <v/>
      </c>
      <c r="F24" s="105">
        <f>SUMIFS('Rates &amp; Source Data'!$AR$33:$AR$100,'Rates &amp; Source Data'!$A$33:$A$100,$A24)</f>
        <v/>
      </c>
      <c r="G24" s="106" t="n">
        <v>0.1163475394964308</v>
      </c>
      <c r="H24" s="106" t="n">
        <v>0.1146875922303824</v>
      </c>
      <c r="I24" s="8" t="inlineStr">
        <is>
          <t>Ready</t>
        </is>
      </c>
      <c r="J24" s="97" t="n">
        <v>25065.34555119808</v>
      </c>
      <c r="K24" s="97" t="n">
        <v>11956.79346769065</v>
      </c>
      <c r="L24" s="107" t="n">
        <v>11786.20415644864</v>
      </c>
    </row>
    <row r="25">
      <c r="A25" s="2" t="n">
        <v>4103759849</v>
      </c>
      <c r="B25" s="8">
        <f>_xlfn.XLOOKUP(A25,'Budget FY26-28'!A:A,'Site Register'!M:M)</f>
        <v/>
      </c>
      <c r="C25" s="8" t="inlineStr">
        <is>
          <t>kWh</t>
        </is>
      </c>
      <c r="D25" s="95" t="n">
        <v>94304.33000000002</v>
      </c>
      <c r="E25" s="105">
        <f>SUMIFS('Rates &amp; Source Data'!$AO$33:$AO$100,'Rates &amp; Source Data'!$A$33:$A$100,$A25)</f>
        <v/>
      </c>
      <c r="F25" s="105">
        <f>SUMIFS('Rates &amp; Source Data'!$AR$33:$AR$100,'Rates &amp; Source Data'!$A$33:$A$100,$A25)</f>
        <v/>
      </c>
      <c r="G25" s="106" t="n">
        <v>0.1142213104458118</v>
      </c>
      <c r="H25" s="106" t="n">
        <v>0.1124215695322176</v>
      </c>
      <c r="I25" s="8" t="inlineStr">
        <is>
          <t>Ready</t>
        </is>
      </c>
      <c r="J25" s="97" t="n">
        <v>47056.11365515527</v>
      </c>
      <c r="K25" s="97" t="n">
        <v>10771.56415331428</v>
      </c>
      <c r="L25" s="107" t="n">
        <v>10601.8407922842</v>
      </c>
    </row>
    <row r="26">
      <c r="A26" s="2" t="n">
        <v>4103766552</v>
      </c>
      <c r="B26" s="8">
        <f>_xlfn.XLOOKUP(A26,'Budget FY26-28'!A:A,'Site Register'!M:M)</f>
        <v/>
      </c>
      <c r="C26" s="8" t="inlineStr">
        <is>
          <t>kWh</t>
        </is>
      </c>
      <c r="D26" s="95" t="n">
        <v>224019.81</v>
      </c>
      <c r="E26" s="105">
        <f>SUMIFS('Rates &amp; Source Data'!$AO$33:$AO$100,'Rates &amp; Source Data'!$A$33:$A$100,$A26)</f>
        <v/>
      </c>
      <c r="F26" s="105">
        <f>SUMIFS('Rates &amp; Source Data'!$AR$33:$AR$100,'Rates &amp; Source Data'!$A$33:$A$100,$A26)</f>
        <v/>
      </c>
      <c r="G26" s="106" t="n">
        <v>0.1124484317422836</v>
      </c>
      <c r="H26" s="106" t="n">
        <v>0.1108004336880497</v>
      </c>
      <c r="I26" s="8" t="inlineStr">
        <is>
          <t>Ready</t>
        </is>
      </c>
      <c r="J26" s="97" t="n">
        <v>59982.95906888768</v>
      </c>
      <c r="K26" s="97" t="n">
        <v>25190.67631370433</v>
      </c>
      <c r="L26" s="107" t="n">
        <v>24821.4921027145</v>
      </c>
    </row>
    <row r="27">
      <c r="A27" s="2" t="n">
        <v>4103803680</v>
      </c>
      <c r="B27" s="8">
        <f>_xlfn.XLOOKUP(A27,'Budget FY26-28'!A:A,'Site Register'!M:M)</f>
        <v/>
      </c>
      <c r="C27" s="8" t="inlineStr">
        <is>
          <t>kWh</t>
        </is>
      </c>
      <c r="D27" s="95" t="n">
        <v>346471.81</v>
      </c>
      <c r="E27" s="105">
        <f>SUMIFS('Rates &amp; Source Data'!$AO$33:$AO$100,'Rates &amp; Source Data'!$A$33:$A$100,$A27)</f>
        <v/>
      </c>
      <c r="F27" s="105">
        <f>SUMIFS('Rates &amp; Source Data'!$AR$33:$AR$100,'Rates &amp; Source Data'!$A$33:$A$100,$A27)</f>
        <v/>
      </c>
      <c r="G27" s="106" t="n">
        <v>0.1111896227472673</v>
      </c>
      <c r="H27" s="106" t="n">
        <v>0.1098694404408031</v>
      </c>
      <c r="I27" s="8" t="inlineStr">
        <is>
          <t>Ready</t>
        </is>
      </c>
      <c r="J27" s="97" t="n">
        <v>78425.83547291257</v>
      </c>
      <c r="K27" s="97" t="n">
        <v>38524.06984646287</v>
      </c>
      <c r="L27" s="107" t="n">
        <v>38066.66389321226</v>
      </c>
    </row>
    <row r="28">
      <c r="A28" s="2" t="n">
        <v>4103927804</v>
      </c>
      <c r="B28" s="8">
        <f>_xlfn.XLOOKUP(A28,'Budget FY26-28'!A:A,'Site Register'!M:M)</f>
        <v/>
      </c>
      <c r="C28" s="8" t="inlineStr">
        <is>
          <t>kWh</t>
        </is>
      </c>
      <c r="D28" s="95" t="n">
        <v>3094734.32</v>
      </c>
      <c r="E28" s="105">
        <f>SUMIFS('Rates &amp; Source Data'!$AO$33:$AO$100,'Rates &amp; Source Data'!$A$33:$A$100,$A28)</f>
        <v/>
      </c>
      <c r="F28" s="105">
        <f>SUMIFS('Rates &amp; Source Data'!$AR$33:$AR$100,'Rates &amp; Source Data'!$A$33:$A$100,$A28)</f>
        <v/>
      </c>
      <c r="G28" s="106" t="n">
        <v>0.1103688836071549</v>
      </c>
      <c r="H28" s="106" t="n">
        <v>0.109179170990122</v>
      </c>
      <c r="I28" s="8" t="inlineStr">
        <is>
          <t>Ready</t>
        </is>
      </c>
      <c r="J28" s="97" t="n">
        <v>796061.3654111597</v>
      </c>
      <c r="K28" s="97" t="n">
        <v>341562.3719591477</v>
      </c>
      <c r="L28" s="107" t="n">
        <v>337880.527492279</v>
      </c>
    </row>
    <row r="29">
      <c r="A29" s="2" t="n">
        <v>4103927806</v>
      </c>
      <c r="B29" s="8">
        <f>_xlfn.XLOOKUP(A29,'Budget FY26-28'!A:A,'Site Register'!M:M)</f>
        <v/>
      </c>
      <c r="C29" s="8" t="inlineStr">
        <is>
          <t>kWh</t>
        </is>
      </c>
      <c r="D29" s="95" t="n">
        <v>4948634.311999999</v>
      </c>
      <c r="E29" s="105">
        <f>SUMIFS('Rates &amp; Source Data'!$AO$33:$AO$100,'Rates &amp; Source Data'!$A$33:$A$100,$A29)</f>
        <v/>
      </c>
      <c r="F29" s="105">
        <f>SUMIFS('Rates &amp; Source Data'!$AR$33:$AR$100,'Rates &amp; Source Data'!$A$33:$A$100,$A29)</f>
        <v/>
      </c>
      <c r="G29" s="106" t="n">
        <v>0.1102060985986742</v>
      </c>
      <c r="H29" s="106" t="n">
        <v>0.1089256724627597</v>
      </c>
      <c r="I29" s="8" t="inlineStr">
        <is>
          <t>Ready</t>
        </is>
      </c>
      <c r="J29" s="97" t="n">
        <v>1196629.839789491</v>
      </c>
      <c r="K29" s="97" t="n">
        <v>545369.6809170539</v>
      </c>
      <c r="L29" s="107" t="n">
        <v>539033.320206886</v>
      </c>
    </row>
    <row r="30">
      <c r="A30" s="2" t="n">
        <v>4103927808</v>
      </c>
      <c r="B30" s="8">
        <f>_xlfn.XLOOKUP(A30,'Budget FY26-28'!A:A,'Site Register'!M:M)</f>
        <v/>
      </c>
      <c r="C30" s="8" t="inlineStr">
        <is>
          <t>kWh</t>
        </is>
      </c>
      <c r="D30" s="95" t="n">
        <v>2401931.455</v>
      </c>
      <c r="E30" s="105">
        <f>SUMIFS('Rates &amp; Source Data'!$AO$33:$AO$100,'Rates &amp; Source Data'!$A$33:$A$100,$A30)</f>
        <v/>
      </c>
      <c r="F30" s="105">
        <f>SUMIFS('Rates &amp; Source Data'!$AR$33:$AR$100,'Rates &amp; Source Data'!$A$33:$A$100,$A30)</f>
        <v/>
      </c>
      <c r="G30" s="106" t="n">
        <v>0.1104724829870637</v>
      </c>
      <c r="H30" s="106" t="n">
        <v>0.1092860683035328</v>
      </c>
      <c r="I30" s="8" t="inlineStr">
        <is>
          <t>Ready</t>
        </is>
      </c>
      <c r="J30" s="97" t="n">
        <v>635252.893451252</v>
      </c>
      <c r="K30" s="97" t="n">
        <v>265347.3317985807</v>
      </c>
      <c r="L30" s="107" t="n">
        <v>262497.6450515339</v>
      </c>
    </row>
    <row r="31">
      <c r="A31" s="2" t="n">
        <v>4103927809</v>
      </c>
      <c r="B31" s="8">
        <f>_xlfn.XLOOKUP(A31,'Budget FY26-28'!A:A,'Site Register'!M:M)</f>
        <v/>
      </c>
      <c r="C31" s="8" t="inlineStr">
        <is>
          <t>kWh</t>
        </is>
      </c>
      <c r="D31" s="95" t="n">
        <v>2847633.482000001</v>
      </c>
      <c r="E31" s="105">
        <f>SUMIFS('Rates &amp; Source Data'!$AO$33:$AO$100,'Rates &amp; Source Data'!$A$33:$A$100,$A31)</f>
        <v/>
      </c>
      <c r="F31" s="105">
        <f>SUMIFS('Rates &amp; Source Data'!$AR$33:$AR$100,'Rates &amp; Source Data'!$A$33:$A$100,$A31)</f>
        <v/>
      </c>
      <c r="G31" s="106" t="n">
        <v>0.1104440418502158</v>
      </c>
      <c r="H31" s="106" t="n">
        <v>0.1093900195395167</v>
      </c>
      <c r="I31" s="8" t="inlineStr">
        <is>
          <t>Ready</t>
        </is>
      </c>
      <c r="J31" s="97" t="n">
        <v>633054.435238724</v>
      </c>
      <c r="K31" s="97" t="n">
        <v>314504.1514600837</v>
      </c>
      <c r="L31" s="107" t="n">
        <v>311502.6822373621</v>
      </c>
    </row>
    <row r="32">
      <c r="A32" s="2" t="n">
        <v>4104030101</v>
      </c>
      <c r="B32" s="8">
        <f>_xlfn.XLOOKUP(A32,'Budget FY26-28'!A:A,'Site Register'!M:M)</f>
        <v/>
      </c>
      <c r="C32" s="8" t="inlineStr">
        <is>
          <t>kWh</t>
        </is>
      </c>
      <c r="D32" s="95" t="n">
        <v>687204.96</v>
      </c>
      <c r="E32" s="105">
        <f>SUMIFS('Rates &amp; Source Data'!$AO$33:$AO$100,'Rates &amp; Source Data'!$A$33:$A$100,$A32)</f>
        <v/>
      </c>
      <c r="F32" s="105">
        <f>SUMIFS('Rates &amp; Source Data'!$AR$33:$AR$100,'Rates &amp; Source Data'!$A$33:$A$100,$A32)</f>
        <v/>
      </c>
      <c r="G32" s="106" t="n">
        <v>0.1098774185654395</v>
      </c>
      <c r="H32" s="106" t="n">
        <v>0.1089323011478631</v>
      </c>
      <c r="I32" s="8" t="inlineStr">
        <is>
          <t>Ready</t>
        </is>
      </c>
      <c r="J32" s="97" t="n">
        <v>173885.2825331212</v>
      </c>
      <c r="K32" s="97" t="n">
        <v>75508.30703016614</v>
      </c>
      <c r="L32" s="107" t="n">
        <v>74858.81765302521</v>
      </c>
    </row>
    <row r="33">
      <c r="A33" s="2" t="n">
        <v>4104037195</v>
      </c>
      <c r="B33" s="8">
        <f>_xlfn.XLOOKUP(A33,'Budget FY26-28'!A:A,'Site Register'!M:M)</f>
        <v/>
      </c>
      <c r="C33" s="8" t="inlineStr">
        <is>
          <t>kWh</t>
        </is>
      </c>
      <c r="D33" s="95" t="n">
        <v>2938</v>
      </c>
      <c r="E33" s="105">
        <f>IFERROR(IF(SUMIFS('Rates &amp; Source Data'!$BM$106:$BM$156,'Rates &amp; Source Data'!$C$106:$C$156,$A33,'Rates &amp; Source Data'!$A$106:$A$156,$B33)&lt;&gt;0,SUMIFS('Rates &amp; Source Data'!$BM$106:$BM$156,'Rates &amp; Source Data'!$C$106:$C$156,$A33,'Rates &amp; Source Data'!$A$106:$A$156,$B33),$K33),$K33)</f>
        <v/>
      </c>
      <c r="F33" s="105">
        <f>E33</f>
        <v/>
      </c>
      <c r="G33" s="106" t="n">
        <v>0.459485406228727</v>
      </c>
      <c r="H33" s="106" t="n">
        <v>0.459485406228727</v>
      </c>
      <c r="I33" s="8" t="inlineStr">
        <is>
          <t>Ready</t>
        </is>
      </c>
      <c r="J33" s="97" t="n">
        <v>1952.516858888889</v>
      </c>
      <c r="K33" s="97" t="n">
        <v>1349.9681235</v>
      </c>
      <c r="L33" s="107" t="n">
        <v>1349.9681235</v>
      </c>
    </row>
    <row r="34">
      <c r="A34" s="2" t="n">
        <v>4204072845</v>
      </c>
      <c r="B34" s="8">
        <f>_xlfn.XLOOKUP(A34,'Budget FY26-28'!A:A,'Site Register'!M:M)</f>
        <v/>
      </c>
      <c r="C34" s="8" t="inlineStr">
        <is>
          <t>kWh</t>
        </is>
      </c>
      <c r="D34" s="95" t="n">
        <v>377879.64</v>
      </c>
      <c r="E34" s="105">
        <f>SUMIFS('Rates &amp; Source Data'!$AO$33:$AO$100,'Rates &amp; Source Data'!$A$33:$A$100,$A34)</f>
        <v/>
      </c>
      <c r="F34" s="105">
        <f>SUMIFS('Rates &amp; Source Data'!$AR$33:$AR$100,'Rates &amp; Source Data'!$A$33:$A$100,$A34)</f>
        <v/>
      </c>
      <c r="G34" s="106" t="n">
        <v>0.112081577591855</v>
      </c>
      <c r="H34" s="106" t="n">
        <v>0.1111239571568486</v>
      </c>
      <c r="I34" s="8" t="inlineStr">
        <is>
          <t>Ready</t>
        </is>
      </c>
      <c r="J34" s="97" t="n">
        <v>133353.8797245432</v>
      </c>
      <c r="K34" s="97" t="n">
        <v>42353.34619104223</v>
      </c>
      <c r="L34" s="107" t="n">
        <v>41991.48092580538</v>
      </c>
    </row>
    <row r="35">
      <c r="A35" s="2" t="n">
        <v>4204234430</v>
      </c>
      <c r="B35" s="8">
        <f>_xlfn.XLOOKUP(A35,'Budget FY26-28'!A:A,'Site Register'!M:M)</f>
        <v/>
      </c>
      <c r="C35" s="8" t="inlineStr">
        <is>
          <t>kWh</t>
        </is>
      </c>
      <c r="D35" s="95" t="n">
        <v>16709</v>
      </c>
      <c r="E35" s="105">
        <f>IFERROR(IF(SUMIFS('Rates &amp; Source Data'!$BM$106:$BM$156,'Rates &amp; Source Data'!$C$106:$C$156,$A35,'Rates &amp; Source Data'!$A$106:$A$156,$B35)&lt;&gt;0,SUMIFS('Rates &amp; Source Data'!$BM$106:$BM$156,'Rates &amp; Source Data'!$C$106:$C$156,$A35,'Rates &amp; Source Data'!$A$106:$A$156,$B35),$K35),$K35)</f>
        <v/>
      </c>
      <c r="F35" s="105">
        <f>E35</f>
        <v/>
      </c>
      <c r="G35" s="106" t="n">
        <v>0.3687604309055</v>
      </c>
      <c r="H35" s="106" t="n">
        <v>0.3687604309055</v>
      </c>
      <c r="I35" s="8" t="inlineStr">
        <is>
          <t>Ready</t>
        </is>
      </c>
      <c r="J35" s="97" t="n">
        <v>6244.0996</v>
      </c>
      <c r="K35" s="97" t="n">
        <v>6161.618039999999</v>
      </c>
      <c r="L35" s="107" t="n">
        <v>6161.618039999999</v>
      </c>
    </row>
    <row r="36">
      <c r="A36" s="2" t="n">
        <v>4310027807</v>
      </c>
      <c r="B36" s="8">
        <f>_xlfn.XLOOKUP(A36,'Budget FY26-28'!A:A,'Site Register'!M:M)</f>
        <v/>
      </c>
      <c r="C36" s="8" t="inlineStr">
        <is>
          <t>kWh</t>
        </is>
      </c>
      <c r="D36" s="95" t="n">
        <v>65379</v>
      </c>
      <c r="E36" s="105">
        <f>IFERROR(IF(SUMIFS('Rates &amp; Source Data'!$BM$106:$BM$156,'Rates &amp; Source Data'!$C$106:$C$156,$A36,'Rates &amp; Source Data'!$A$106:$A$156,$B36)&lt;&gt;0,SUMIFS('Rates &amp; Source Data'!$BM$106:$BM$156,'Rates &amp; Source Data'!$C$106:$C$156,$A36,'Rates &amp; Source Data'!$A$106:$A$156,$B36),$K36),$K36)</f>
        <v/>
      </c>
      <c r="F36" s="105">
        <f>E36</f>
        <v/>
      </c>
      <c r="G36" s="106" t="n">
        <v>0.2446501524572111</v>
      </c>
      <c r="H36" s="106" t="n">
        <v>0.2446501524572111</v>
      </c>
      <c r="I36" s="8" t="inlineStr">
        <is>
          <t>Ready</t>
        </is>
      </c>
      <c r="J36" s="97" t="n">
        <v>27601.38098656</v>
      </c>
      <c r="K36" s="97" t="n">
        <v>15994.9823175</v>
      </c>
      <c r="L36" s="107" t="n">
        <v>15994.9823175</v>
      </c>
    </row>
    <row r="37">
      <c r="A37" s="2" t="n">
        <v>4310934278</v>
      </c>
      <c r="B37" s="8">
        <f>_xlfn.XLOOKUP(A37,'Budget FY26-28'!A:A,'Site Register'!M:M)</f>
        <v/>
      </c>
      <c r="C37" s="8" t="inlineStr">
        <is>
          <t>kWh</t>
        </is>
      </c>
      <c r="D37" s="95" t="n">
        <v>210805.16</v>
      </c>
      <c r="E37" s="105">
        <f>SUMIFS('Rates &amp; Source Data'!$AO$33:$AO$100,'Rates &amp; Source Data'!$A$33:$A$100,$A37)</f>
        <v/>
      </c>
      <c r="F37" s="105">
        <f>SUMIFS('Rates &amp; Source Data'!$AR$33:$AR$100,'Rates &amp; Source Data'!$A$33:$A$100,$A37)</f>
        <v/>
      </c>
      <c r="G37" s="106" t="n">
        <v>0.1145041556140339</v>
      </c>
      <c r="H37" s="106" t="n">
        <v>0.112831110367125</v>
      </c>
      <c r="I37" s="8" t="inlineStr">
        <is>
          <t>Ready</t>
        </is>
      </c>
      <c r="J37" s="97" t="n">
        <v>53110.24404133868</v>
      </c>
      <c r="K37" s="97" t="n">
        <v>24138.06684488132</v>
      </c>
      <c r="L37" s="107" t="n">
        <v>23785.38027391945</v>
      </c>
    </row>
    <row r="38">
      <c r="A38" s="2" t="n">
        <v>4310938258</v>
      </c>
      <c r="B38" s="8">
        <f>_xlfn.XLOOKUP(A38,'Budget FY26-28'!A:A,'Site Register'!M:M)</f>
        <v/>
      </c>
      <c r="C38" s="8" t="inlineStr">
        <is>
          <t>kWh</t>
        </is>
      </c>
      <c r="D38" s="95" t="n">
        <v>147736.15</v>
      </c>
      <c r="E38" s="105">
        <f>SUMIFS('Rates &amp; Source Data'!$AO$33:$AO$100,'Rates &amp; Source Data'!$A$33:$A$100,$A38)</f>
        <v/>
      </c>
      <c r="F38" s="105">
        <f>SUMIFS('Rates &amp; Source Data'!$AR$33:$AR$100,'Rates &amp; Source Data'!$A$33:$A$100,$A38)</f>
        <v/>
      </c>
      <c r="G38" s="106" t="n">
        <v>0.1154492395749716</v>
      </c>
      <c r="H38" s="106" t="n">
        <v>0.1132595674821783</v>
      </c>
      <c r="I38" s="8" t="inlineStr">
        <is>
          <t>Ready</t>
        </is>
      </c>
      <c r="J38" s="97" t="n">
        <v>39610.50439043738</v>
      </c>
      <c r="K38" s="97" t="n">
        <v>17056.02617523394</v>
      </c>
      <c r="L38" s="107" t="n">
        <v>16732.53245048222</v>
      </c>
    </row>
    <row r="39">
      <c r="A39" s="2" t="n">
        <v>4310955386</v>
      </c>
      <c r="B39" s="8">
        <f>_xlfn.XLOOKUP(A39,'Budget FY26-28'!A:A,'Site Register'!M:M)</f>
        <v/>
      </c>
      <c r="C39" s="8" t="inlineStr">
        <is>
          <t>kWh</t>
        </is>
      </c>
      <c r="D39" s="95" t="n">
        <v>110678.1</v>
      </c>
      <c r="E39" s="105">
        <f>SUMIFS('Rates &amp; Source Data'!$AO$33:$AO$100,'Rates &amp; Source Data'!$A$33:$A$100,$A39)</f>
        <v/>
      </c>
      <c r="F39" s="105">
        <f>SUMIFS('Rates &amp; Source Data'!$AR$33:$AR$100,'Rates &amp; Source Data'!$A$33:$A$100,$A39)</f>
        <v/>
      </c>
      <c r="G39" s="106" t="n">
        <v>0.1156340464660426</v>
      </c>
      <c r="H39" s="106" t="n">
        <v>0.1138326667435475</v>
      </c>
      <c r="I39" s="8" t="inlineStr">
        <is>
          <t>Ready</t>
        </is>
      </c>
      <c r="J39" s="97" t="n">
        <v>28894.89720181881</v>
      </c>
      <c r="K39" s="97" t="n">
        <v>12798.15655817331</v>
      </c>
      <c r="L39" s="107" t="n">
        <v>12598.78327310902</v>
      </c>
    </row>
    <row r="40">
      <c r="A40" s="2" t="n">
        <v>4310957406</v>
      </c>
      <c r="B40" s="8">
        <f>_xlfn.XLOOKUP(A40,'Budget FY26-28'!A:A,'Site Register'!M:M)</f>
        <v/>
      </c>
      <c r="C40" s="8" t="inlineStr">
        <is>
          <t>kWh</t>
        </is>
      </c>
      <c r="D40" s="95" t="n">
        <v>26836.14</v>
      </c>
      <c r="E40" s="105">
        <f>SUMIFS('Rates &amp; Source Data'!$AO$33:$AO$100,'Rates &amp; Source Data'!$A$33:$A$100,$A40)</f>
        <v/>
      </c>
      <c r="F40" s="105">
        <f>SUMIFS('Rates &amp; Source Data'!$AR$33:$AR$100,'Rates &amp; Source Data'!$A$33:$A$100,$A40)</f>
        <v/>
      </c>
      <c r="G40" s="106" t="n">
        <v>0.1288891625594054</v>
      </c>
      <c r="H40" s="106" t="n">
        <v>0.1271055985515265</v>
      </c>
      <c r="I40" s="8" t="inlineStr">
        <is>
          <t>Ready</t>
        </is>
      </c>
      <c r="J40" s="97" t="n">
        <v>14736.43178941493</v>
      </c>
      <c r="K40" s="97" t="n">
        <v>3458.88761092696</v>
      </c>
      <c r="L40" s="107" t="n">
        <v>3411.023637512561</v>
      </c>
    </row>
    <row r="41">
      <c r="A41" s="2" t="n">
        <v>4310984436</v>
      </c>
      <c r="B41" s="8">
        <f>_xlfn.XLOOKUP(A41,'Budget FY26-28'!A:A,'Site Register'!M:M)</f>
        <v/>
      </c>
      <c r="C41" s="8" t="inlineStr">
        <is>
          <t>kWh</t>
        </is>
      </c>
      <c r="D41" s="95" t="n">
        <v>238859.85</v>
      </c>
      <c r="E41" s="105">
        <f>SUMIFS('Rates &amp; Source Data'!$AO$33:$AO$100,'Rates &amp; Source Data'!$A$33:$A$100,$A41)</f>
        <v/>
      </c>
      <c r="F41" s="105">
        <f>SUMIFS('Rates &amp; Source Data'!$AR$33:$AR$100,'Rates &amp; Source Data'!$A$33:$A$100,$A41)</f>
        <v/>
      </c>
      <c r="G41" s="106" t="n">
        <v>0.114022744476217</v>
      </c>
      <c r="H41" s="106" t="n">
        <v>0.1121871924734892</v>
      </c>
      <c r="I41" s="8" t="inlineStr">
        <is>
          <t>Ready</t>
        </is>
      </c>
      <c r="J41" s="97" t="n">
        <v>63794.02056880062</v>
      </c>
      <c r="K41" s="97" t="n">
        <v>27235.45564217751</v>
      </c>
      <c r="L41" s="107" t="n">
        <v>26797.01596613876</v>
      </c>
    </row>
    <row r="42">
      <c r="A42" s="2" t="n">
        <v>4311006154</v>
      </c>
      <c r="B42" s="8">
        <f>_xlfn.XLOOKUP(A42,'Budget FY26-28'!A:A,'Site Register'!M:M)</f>
        <v/>
      </c>
      <c r="C42" s="8" t="inlineStr">
        <is>
          <t>kWh</t>
        </is>
      </c>
      <c r="D42" s="95" t="n">
        <v>141294.49</v>
      </c>
      <c r="E42" s="105">
        <f>SUMIFS('Rates &amp; Source Data'!$AO$33:$AO$100,'Rates &amp; Source Data'!$A$33:$A$100,$A42)</f>
        <v/>
      </c>
      <c r="F42" s="105">
        <f>SUMIFS('Rates &amp; Source Data'!$AR$33:$AR$100,'Rates &amp; Source Data'!$A$33:$A$100,$A42)</f>
        <v/>
      </c>
      <c r="G42" s="106" t="n">
        <v>0.1147263986098196</v>
      </c>
      <c r="H42" s="106" t="n">
        <v>0.1124786864224118</v>
      </c>
      <c r="I42" s="8" t="inlineStr">
        <is>
          <t>Ready</t>
        </is>
      </c>
      <c r="J42" s="97" t="n">
        <v>38147.55523504885</v>
      </c>
      <c r="K42" s="97" t="n">
        <v>16210.20798111116</v>
      </c>
      <c r="L42" s="107" t="n">
        <v>15892.6186339246</v>
      </c>
    </row>
    <row r="43">
      <c r="A43" s="2" t="n">
        <v>4311006155</v>
      </c>
      <c r="B43" s="8">
        <f>_xlfn.XLOOKUP(A43,'Budget FY26-28'!A:A,'Site Register'!M:M)</f>
        <v/>
      </c>
      <c r="C43" s="8" t="inlineStr">
        <is>
          <t>kWh</t>
        </is>
      </c>
      <c r="D43" s="95" t="n">
        <v>125233.95</v>
      </c>
      <c r="E43" s="105">
        <f>SUMIFS('Rates &amp; Source Data'!$AO$33:$AO$100,'Rates &amp; Source Data'!$A$33:$A$100,$A43)</f>
        <v/>
      </c>
      <c r="F43" s="105">
        <f>SUMIFS('Rates &amp; Source Data'!$AR$33:$AR$100,'Rates &amp; Source Data'!$A$33:$A$100,$A43)</f>
        <v/>
      </c>
      <c r="G43" s="106" t="n">
        <v>0.1160702665641774</v>
      </c>
      <c r="H43" s="106" t="n">
        <v>0.1141071759787641</v>
      </c>
      <c r="I43" s="8" t="inlineStr">
        <is>
          <t>Ready</t>
        </is>
      </c>
      <c r="J43" s="97" t="n">
        <v>33924.46577508649</v>
      </c>
      <c r="K43" s="97" t="n">
        <v>14535.93795938487</v>
      </c>
      <c r="L43" s="107" t="n">
        <v>14290.09237116575</v>
      </c>
    </row>
    <row r="44">
      <c r="A44" s="2" t="n">
        <v>4311006315</v>
      </c>
      <c r="B44" s="8">
        <f>_xlfn.XLOOKUP(A44,'Budget FY26-28'!A:A,'Site Register'!M:M)</f>
        <v/>
      </c>
      <c r="C44" s="8" t="inlineStr">
        <is>
          <t>kWh</t>
        </is>
      </c>
      <c r="D44" s="95" t="n">
        <v>631132.89</v>
      </c>
      <c r="E44" s="105">
        <f>SUMIFS('Rates &amp; Source Data'!$AO$33:$AO$100,'Rates &amp; Source Data'!$A$33:$A$100,$A44)</f>
        <v/>
      </c>
      <c r="F44" s="105">
        <f>SUMIFS('Rates &amp; Source Data'!$AR$33:$AR$100,'Rates &amp; Source Data'!$A$33:$A$100,$A44)</f>
        <v/>
      </c>
      <c r="G44" s="106" t="n">
        <v>0.1129660572885164</v>
      </c>
      <c r="H44" s="106" t="n">
        <v>0.1119038617792105</v>
      </c>
      <c r="I44" s="8" t="inlineStr">
        <is>
          <t>Ready</t>
        </is>
      </c>
      <c r="J44" s="97" t="n">
        <v>139059.1220600353</v>
      </c>
      <c r="K44" s="97" t="n">
        <v>71296.59420840694</v>
      </c>
      <c r="L44" s="107" t="n">
        <v>70626.20768687363</v>
      </c>
    </row>
    <row r="45">
      <c r="A45" s="2" t="n">
        <v>4311396021</v>
      </c>
      <c r="B45" s="8">
        <f>_xlfn.XLOOKUP(A45,'Budget FY26-28'!A:A,'Site Register'!M:M)</f>
        <v/>
      </c>
      <c r="C45" s="8" t="inlineStr">
        <is>
          <t>kWh</t>
        </is>
      </c>
      <c r="D45" s="95" t="n">
        <v>1537138.97</v>
      </c>
      <c r="E45" s="105">
        <f>SUMIFS('Rates &amp; Source Data'!$AO$33:$AO$100,'Rates &amp; Source Data'!$A$33:$A$100,$A45)</f>
        <v/>
      </c>
      <c r="F45" s="105">
        <f>SUMIFS('Rates &amp; Source Data'!$AR$33:$AR$100,'Rates &amp; Source Data'!$A$33:$A$100,$A45)</f>
        <v/>
      </c>
      <c r="G45" s="106" t="n">
        <v>0.1124469964402599</v>
      </c>
      <c r="H45" s="106" t="n">
        <v>0.1113682062689497</v>
      </c>
      <c r="I45" s="8" t="inlineStr">
        <is>
          <t>Ready</t>
        </is>
      </c>
      <c r="J45" s="97" t="n">
        <v>364715.6803091933</v>
      </c>
      <c r="K45" s="97" t="n">
        <v>172846.6602877748</v>
      </c>
      <c r="L45" s="107" t="n">
        <v>171188.4098750009</v>
      </c>
    </row>
    <row r="46">
      <c r="A46" s="2" t="n">
        <v>4311396022</v>
      </c>
      <c r="B46" s="8">
        <f>_xlfn.XLOOKUP(A46,'Budget FY26-28'!A:A,'Site Register'!M:M)</f>
        <v/>
      </c>
      <c r="C46" s="8" t="inlineStr">
        <is>
          <t>kWh</t>
        </is>
      </c>
      <c r="D46" s="95" t="n">
        <v>553695.01</v>
      </c>
      <c r="E46" s="105">
        <f>SUMIFS('Rates &amp; Source Data'!$AO$33:$AO$100,'Rates &amp; Source Data'!$A$33:$A$100,$A46)</f>
        <v/>
      </c>
      <c r="F46" s="105">
        <f>SUMIFS('Rates &amp; Source Data'!$AR$33:$AR$100,'Rates &amp; Source Data'!$A$33:$A$100,$A46)</f>
        <v/>
      </c>
      <c r="G46" s="106" t="n">
        <v>0.1130485059930677</v>
      </c>
      <c r="H46" s="106" t="n">
        <v>0.1118655805877806</v>
      </c>
      <c r="I46" s="8" t="inlineStr">
        <is>
          <t>Ready</t>
        </is>
      </c>
      <c r="J46" s="97" t="n">
        <v>135558.0783995747</v>
      </c>
      <c r="K46" s="97" t="n">
        <v>62594.39365631668</v>
      </c>
      <c r="L46" s="107" t="n">
        <v>61939.41376220697</v>
      </c>
    </row>
    <row r="47">
      <c r="A47" s="2" t="n">
        <v>4311422527</v>
      </c>
      <c r="B47" s="8">
        <f>_xlfn.XLOOKUP(A47,'Budget FY26-28'!A:A,'Site Register'!M:M)</f>
        <v/>
      </c>
      <c r="C47" s="8" t="inlineStr">
        <is>
          <t>kWh</t>
        </is>
      </c>
      <c r="D47" s="95" t="n">
        <v>33060</v>
      </c>
      <c r="E47" s="105">
        <f>IFERROR(IF(SUMIFS('Rates &amp; Source Data'!$BM$106:$BM$156,'Rates &amp; Source Data'!$C$106:$C$156,$A47,'Rates &amp; Source Data'!$A$106:$A$156,$B47)&lt;&gt;0,SUMIFS('Rates &amp; Source Data'!$BM$106:$BM$156,'Rates &amp; Source Data'!$C$106:$C$156,$A47,'Rates &amp; Source Data'!$A$106:$A$156,$B47),$K47),$K47)</f>
        <v/>
      </c>
      <c r="F47" s="105">
        <f>E47</f>
        <v/>
      </c>
      <c r="G47" s="106" t="n">
        <v>0.2537345213248639</v>
      </c>
      <c r="H47" s="106" t="n">
        <v>0.2537345213248639</v>
      </c>
      <c r="I47" s="8" t="inlineStr">
        <is>
          <t>Ready</t>
        </is>
      </c>
      <c r="J47" s="97" t="n">
        <v>10152.6545</v>
      </c>
      <c r="K47" s="97" t="n">
        <v>8388.463275</v>
      </c>
      <c r="L47" s="107" t="n">
        <v>8388.463275</v>
      </c>
    </row>
    <row r="48">
      <c r="A48" s="2" t="n">
        <v>4407159044</v>
      </c>
      <c r="B48" s="8">
        <f>_xlfn.XLOOKUP(A48,'Budget FY26-28'!A:A,'Site Register'!M:M)</f>
        <v/>
      </c>
      <c r="C48" s="8" t="inlineStr">
        <is>
          <t>kWh</t>
        </is>
      </c>
      <c r="D48" s="95" t="n">
        <v>33872</v>
      </c>
      <c r="E48" s="105">
        <f>IFERROR(IF(SUMIFS('Rates &amp; Source Data'!$BM$106:$BM$156,'Rates &amp; Source Data'!$C$106:$C$156,$A48,'Rates &amp; Source Data'!$A$106:$A$156,$B48)&lt;&gt;0,SUMIFS('Rates &amp; Source Data'!$BM$106:$BM$156,'Rates &amp; Source Data'!$C$106:$C$156,$A48,'Rates &amp; Source Data'!$A$106:$A$156,$B48),$K48),$K48)</f>
        <v/>
      </c>
      <c r="F48" s="105">
        <f>E48</f>
        <v/>
      </c>
      <c r="G48" s="106" t="n">
        <v>0.3050252909482759</v>
      </c>
      <c r="H48" s="106" t="n">
        <v>0.3050252909482759</v>
      </c>
      <c r="I48" s="8" t="inlineStr">
        <is>
          <t>Ready</t>
        </is>
      </c>
      <c r="J48" s="97" t="n">
        <v>13262.421</v>
      </c>
      <c r="K48" s="97" t="n">
        <v>10331.816655</v>
      </c>
      <c r="L48" s="107" t="n">
        <v>10331.816655</v>
      </c>
    </row>
    <row r="49">
      <c r="A49" s="2" t="n">
        <v>4407159054</v>
      </c>
      <c r="B49" s="8">
        <f>_xlfn.XLOOKUP(A49,'Budget FY26-28'!A:A,'Site Register'!M:M)</f>
        <v/>
      </c>
      <c r="C49" s="8" t="inlineStr">
        <is>
          <t>kWh</t>
        </is>
      </c>
      <c r="D49" s="95" t="n">
        <v>379736.789</v>
      </c>
      <c r="E49" s="105">
        <f>SUMIFS('Rates &amp; Source Data'!$AO$33:$AO$100,'Rates &amp; Source Data'!$A$33:$A$100,$A49)</f>
        <v/>
      </c>
      <c r="F49" s="105">
        <f>SUMIFS('Rates &amp; Source Data'!$AR$33:$AR$100,'Rates &amp; Source Data'!$A$33:$A$100,$A49)</f>
        <v/>
      </c>
      <c r="G49" s="106" t="n">
        <v>0.108254012255482</v>
      </c>
      <c r="H49" s="106" t="n">
        <v>0.1074776168910709</v>
      </c>
      <c r="I49" s="8" t="inlineStr">
        <is>
          <t>Ready</t>
        </is>
      </c>
      <c r="J49" s="97" t="n">
        <v>90063.38809839172</v>
      </c>
      <c r="K49" s="97" t="n">
        <v>41108.03101026339</v>
      </c>
      <c r="L49" s="107" t="n">
        <v>40813.20512758743</v>
      </c>
    </row>
    <row r="50">
      <c r="A50" s="2" t="inlineStr">
        <is>
          <t>NAAA00AC25</t>
        </is>
      </c>
      <c r="B50" s="8">
        <f>_xlfn.XLOOKUP(A50,'Budget FY26-28'!A:A,'Site Register'!M:M)</f>
        <v/>
      </c>
      <c r="C50" s="8" t="inlineStr">
        <is>
          <t>kWh</t>
        </is>
      </c>
      <c r="D50" s="95" t="n">
        <v>468259.76</v>
      </c>
      <c r="E50" s="105">
        <f>SUMIFS('Rates &amp; Source Data'!$AO$33:$AO$100,'Rates &amp; Source Data'!$A$33:$A$100,$A50)</f>
        <v/>
      </c>
      <c r="F50" s="105">
        <f>SUMIFS('Rates &amp; Source Data'!$AR$33:$AR$100,'Rates &amp; Source Data'!$A$33:$A$100,$A50)</f>
        <v/>
      </c>
      <c r="G50" s="106" t="n">
        <v>0.1157341801253106</v>
      </c>
      <c r="H50" s="106" t="n">
        <v>0.1146624441916516</v>
      </c>
      <c r="I50" s="8" t="inlineStr">
        <is>
          <t>Ready</t>
        </is>
      </c>
      <c r="J50" s="97" t="n">
        <v>166086.31236132</v>
      </c>
      <c r="K50" s="97" t="n">
        <v>54193.6594092747</v>
      </c>
      <c r="L50" s="107" t="n">
        <v>53691.80859819619</v>
      </c>
    </row>
    <row r="51">
      <c r="A51" s="2" t="n">
        <v>2500033707</v>
      </c>
      <c r="B51" s="8">
        <f>_xlfn.XLOOKUP(A51,'Budget FY26-28'!A:A,'Site Register'!M:M)</f>
        <v/>
      </c>
      <c r="C51" s="8" t="inlineStr">
        <is>
          <t>kWh</t>
        </is>
      </c>
      <c r="D51" s="95" t="n">
        <v>0</v>
      </c>
      <c r="E51" s="105" t="n"/>
      <c r="F51" s="105" t="n"/>
      <c r="G51" s="106" t="n"/>
      <c r="H51" s="106" t="n"/>
      <c r="I51" s="8" t="inlineStr">
        <is>
          <t>Review required</t>
        </is>
      </c>
      <c r="J51" s="97" t="n"/>
      <c r="K51" s="97" t="n"/>
      <c r="L51" s="107" t="n"/>
    </row>
    <row r="52">
      <c r="A52" s="2" t="n">
        <v>2500044629</v>
      </c>
      <c r="B52" s="8">
        <f>_xlfn.XLOOKUP(A52,'Budget FY26-28'!A:A,'Site Register'!M:M)</f>
        <v/>
      </c>
      <c r="C52" s="8" t="inlineStr">
        <is>
          <t>kWh</t>
        </is>
      </c>
      <c r="D52" s="95" t="n">
        <v>0</v>
      </c>
      <c r="E52" s="105" t="n"/>
      <c r="F52" s="105" t="n"/>
      <c r="G52" s="106" t="n"/>
      <c r="H52" s="106" t="n"/>
      <c r="I52" s="8" t="inlineStr">
        <is>
          <t>Review required</t>
        </is>
      </c>
      <c r="J52" s="97" t="n"/>
      <c r="K52" s="97" t="n"/>
      <c r="L52" s="107" t="n"/>
    </row>
    <row r="53">
      <c r="A53" s="2" t="n">
        <v>2500054287</v>
      </c>
      <c r="B53" s="8">
        <f>_xlfn.XLOOKUP(A53,'Budget FY26-28'!A:A,'Site Register'!M:M)</f>
        <v/>
      </c>
      <c r="C53" s="8" t="inlineStr">
        <is>
          <t>kWh</t>
        </is>
      </c>
      <c r="D53" s="95" t="n">
        <v>2347683.89</v>
      </c>
      <c r="E53" s="105">
        <f>SUMIFS('Rates &amp; Source Data'!$M$1489:$M$1489,'Rates &amp; Source Data'!$A$1489:$A$1489,$A53)</f>
        <v/>
      </c>
      <c r="F53" s="105">
        <f>""</f>
        <v/>
      </c>
      <c r="G53" s="106" t="n"/>
      <c r="H53" s="106" t="n"/>
      <c r="I53" s="8" t="inlineStr">
        <is>
          <t>Ready</t>
        </is>
      </c>
      <c r="J53" s="97">
        <f>SUMIFS('Rates &amp; Source Data'!$B$1494:$B$1494,'Rates &amp; Source Data'!$A$1494:$A$1494,$A53)</f>
        <v/>
      </c>
      <c r="K53" s="97" t="n">
        <v>783031.2704010999</v>
      </c>
      <c r="L53" s="107" t="n"/>
    </row>
    <row r="54">
      <c r="A54" s="2" t="n">
        <v>3030075637</v>
      </c>
      <c r="B54" s="8">
        <f>_xlfn.XLOOKUP(A54,'Budget FY26-28'!A:A,'Site Register'!M:M)</f>
        <v/>
      </c>
      <c r="C54" s="8" t="inlineStr">
        <is>
          <t>kWh</t>
        </is>
      </c>
      <c r="D54" s="95" t="n">
        <v>66273.91</v>
      </c>
      <c r="E54" s="105">
        <f>SUMIFS('Rates &amp; Source Data'!$AO$33:$AO$100,'Rates &amp; Source Data'!$A$33:$A$100,$A54)</f>
        <v/>
      </c>
      <c r="F54" s="105">
        <f>SUMIFS('Rates &amp; Source Data'!$AR$33:$AR$100,'Rates &amp; Source Data'!$A$33:$A$100,$A54)</f>
        <v/>
      </c>
      <c r="G54" s="106" t="n">
        <v>0.09596071845527229</v>
      </c>
      <c r="H54" s="106" t="n">
        <v>0.09733263984611229</v>
      </c>
      <c r="I54" s="8" t="inlineStr">
        <is>
          <t>Ready</t>
        </is>
      </c>
      <c r="J54" s="97" t="n">
        <v>14719.75326926604</v>
      </c>
      <c r="K54" s="97" t="n">
        <v>6359.692018440055</v>
      </c>
      <c r="L54" s="107" t="n">
        <v>6450.61461322366</v>
      </c>
    </row>
    <row r="55">
      <c r="A55" s="2" t="n">
        <v>3038502933</v>
      </c>
      <c r="B55" s="8">
        <f>_xlfn.XLOOKUP(A55,'Budget FY26-28'!A:A,'Site Register'!M:M)</f>
        <v/>
      </c>
      <c r="C55" s="8" t="inlineStr">
        <is>
          <t>kWh</t>
        </is>
      </c>
      <c r="D55" s="95" t="n">
        <v>38380</v>
      </c>
      <c r="E55" s="105">
        <f>IFERROR(IF(SUMIFS('Rates &amp; Source Data'!$BM$106:$BM$156,'Rates &amp; Source Data'!$C$106:$C$156,$A55,'Rates &amp; Source Data'!$A$106:$A$156,$B55)&lt;&gt;0,SUMIFS('Rates &amp; Source Data'!$BM$106:$BM$156,'Rates &amp; Source Data'!$C$106:$C$156,$A55,'Rates &amp; Source Data'!$A$106:$A$156,$B55),$K55),$K55)</f>
        <v/>
      </c>
      <c r="F55" s="105">
        <f>E55</f>
        <v/>
      </c>
      <c r="G55" s="106" t="n">
        <v>0.2913436995310058</v>
      </c>
      <c r="H55" s="106" t="n">
        <v>0.2913436995310058</v>
      </c>
      <c r="I55" s="8" t="inlineStr">
        <is>
          <t>Ready</t>
        </is>
      </c>
      <c r="J55" s="97" t="n">
        <v>11292.44272727273</v>
      </c>
      <c r="K55" s="97" t="n">
        <v>11181.771188</v>
      </c>
      <c r="L55" s="107" t="n">
        <v>11181.771188</v>
      </c>
    </row>
    <row r="56">
      <c r="A56" s="2" t="n">
        <v>3039040879</v>
      </c>
      <c r="B56" s="8">
        <f>_xlfn.XLOOKUP(A56,'Budget FY26-28'!A:A,'Site Register'!M:M)</f>
        <v/>
      </c>
      <c r="C56" s="8" t="inlineStr">
        <is>
          <t>kWh</t>
        </is>
      </c>
      <c r="D56" s="95" t="n">
        <v>70195</v>
      </c>
      <c r="E56" s="105">
        <f>IFERROR(IF(SUMIFS('Rates &amp; Source Data'!$BM$106:$BM$156,'Rates &amp; Source Data'!$C$106:$C$156,$A56,'Rates &amp; Source Data'!$A$106:$A$156,$B56)&lt;&gt;0,SUMIFS('Rates &amp; Source Data'!$BM$106:$BM$156,'Rates &amp; Source Data'!$C$106:$C$156,$A56,'Rates &amp; Source Data'!$A$106:$A$156,$B56),$K56),$K56)</f>
        <v/>
      </c>
      <c r="F56" s="105">
        <f>E56</f>
        <v/>
      </c>
      <c r="G56" s="106" t="n">
        <v>0.2831089652111973</v>
      </c>
      <c r="H56" s="106" t="n">
        <v>0.2831089652111973</v>
      </c>
      <c r="I56" s="8" t="inlineStr">
        <is>
          <t>Ready</t>
        </is>
      </c>
      <c r="J56" s="97" t="n">
        <v>20653.28340909091</v>
      </c>
      <c r="K56" s="97" t="n">
        <v>19872.833813</v>
      </c>
      <c r="L56" s="107" t="n">
        <v>19872.833813</v>
      </c>
    </row>
    <row r="57">
      <c r="A57" s="2" t="n">
        <v>3041781236</v>
      </c>
      <c r="B57" s="8">
        <f>_xlfn.XLOOKUP(A57,'Budget FY26-28'!A:A,'Site Register'!M:M)</f>
        <v/>
      </c>
      <c r="C57" s="8" t="inlineStr">
        <is>
          <t>kWh</t>
        </is>
      </c>
      <c r="D57" s="95" t="n">
        <v>53331</v>
      </c>
      <c r="E57" s="105">
        <f>IFERROR(IF(SUMIFS('Rates &amp; Source Data'!$BM$106:$BM$156,'Rates &amp; Source Data'!$C$106:$C$156,$A57,'Rates &amp; Source Data'!$A$106:$A$156,$B57)&lt;&gt;0,SUMIFS('Rates &amp; Source Data'!$BM$106:$BM$156,'Rates &amp; Source Data'!$C$106:$C$156,$A57,'Rates &amp; Source Data'!$A$106:$A$156,$B57),$K57),$K57)</f>
        <v/>
      </c>
      <c r="F57" s="105">
        <f>E57</f>
        <v/>
      </c>
      <c r="G57" s="106" t="n">
        <v>0.2862502224409817</v>
      </c>
      <c r="H57" s="106" t="n">
        <v>0.2862502224409817</v>
      </c>
      <c r="I57" s="8" t="inlineStr">
        <is>
          <t>Ready</t>
        </is>
      </c>
      <c r="J57" s="97" t="n">
        <v>15057.049224</v>
      </c>
      <c r="K57" s="97" t="n">
        <v>15266.010613</v>
      </c>
      <c r="L57" s="107" t="n">
        <v>15266.010613</v>
      </c>
    </row>
    <row r="58">
      <c r="A58" s="2" t="n">
        <v>3051770385</v>
      </c>
      <c r="B58" s="8">
        <f>_xlfn.XLOOKUP(A58,'Budget FY26-28'!A:A,'Site Register'!M:M)</f>
        <v/>
      </c>
      <c r="C58" s="8" t="inlineStr">
        <is>
          <t>kWh</t>
        </is>
      </c>
      <c r="D58" s="95" t="n">
        <v>208479.476</v>
      </c>
      <c r="E58" s="105">
        <f>SUMIFS('Rates &amp; Source Data'!$AO$33:$AO$100,'Rates &amp; Source Data'!$A$33:$A$100,$A58)</f>
        <v/>
      </c>
      <c r="F58" s="105">
        <f>SUMIFS('Rates &amp; Source Data'!$AR$33:$AR$100,'Rates &amp; Source Data'!$A$33:$A$100,$A58)</f>
        <v/>
      </c>
      <c r="G58" s="106" t="n">
        <v>0.08963075165671099</v>
      </c>
      <c r="H58" s="106" t="n">
        <v>0.090991473157031</v>
      </c>
      <c r="I58" s="8" t="inlineStr">
        <is>
          <t>Ready</t>
        </is>
      </c>
      <c r="J58" s="97" t="n">
        <v>54065.65108221374</v>
      </c>
      <c r="K58" s="97" t="n">
        <v>18686.17213887724</v>
      </c>
      <c r="L58" s="107" t="n">
        <v>18969.85464424589</v>
      </c>
    </row>
    <row r="59">
      <c r="A59" s="2" t="n">
        <v>3053253239</v>
      </c>
      <c r="B59" s="8">
        <f>_xlfn.XLOOKUP(A59,'Budget FY26-28'!A:A,'Site Register'!M:M)</f>
        <v/>
      </c>
      <c r="C59" s="8" t="inlineStr">
        <is>
          <t>kWh</t>
        </is>
      </c>
      <c r="D59" s="95" t="n">
        <v>6208798</v>
      </c>
      <c r="E59" s="105">
        <f>SUMIFS('Rates &amp; Source Data'!$AO$33:$AO$100,'Rates &amp; Source Data'!$A$33:$A$100,$A59)</f>
        <v/>
      </c>
      <c r="F59" s="105">
        <f>SUMIFS('Rates &amp; Source Data'!$AR$33:$AR$100,'Rates &amp; Source Data'!$A$33:$A$100,$A59)</f>
        <v/>
      </c>
      <c r="G59" s="106" t="n">
        <v>0.08730034333590286</v>
      </c>
      <c r="H59" s="106" t="n">
        <v>0.08893289807790285</v>
      </c>
      <c r="I59" s="8" t="inlineStr">
        <is>
          <t>Ready</t>
        </is>
      </c>
      <c r="J59" s="97">
        <f>IF(COUNTIF('Rates &amp; Source Data'!$A$1737:$A$1738,$A59)=0,"",SUMIFS('Rates &amp; Source Data'!$B$1737:$B$1738,'Rates &amp; Source Data'!$A$1737:$A$1738,$A59))</f>
        <v/>
      </c>
      <c r="K59" s="97" t="n">
        <v>542030.1971032671</v>
      </c>
      <c r="L59" s="107" t="n">
        <v>552166.3997202871</v>
      </c>
    </row>
    <row r="60">
      <c r="A60" s="2" t="n">
        <v>3116382269</v>
      </c>
      <c r="B60" s="8">
        <f>_xlfn.XLOOKUP(A60,'Budget FY26-28'!A:A,'Site Register'!M:M)</f>
        <v/>
      </c>
      <c r="C60" s="8" t="inlineStr">
        <is>
          <t>kWh</t>
        </is>
      </c>
      <c r="D60" s="95" t="n">
        <v>8005232.9</v>
      </c>
      <c r="E60" s="105">
        <f>SUMIFS('Rates &amp; Source Data'!$AO$33:$AO$100,'Rates &amp; Source Data'!$A$33:$A$100,$A60)</f>
        <v/>
      </c>
      <c r="F60" s="105">
        <f>SUMIFS('Rates &amp; Source Data'!$AR$33:$AR$100,'Rates &amp; Source Data'!$A$33:$A$100,$A60)</f>
        <v/>
      </c>
      <c r="G60" s="106" t="n">
        <v>0.08252153518962499</v>
      </c>
      <c r="H60" s="106" t="n">
        <v>0.08381261304285638</v>
      </c>
      <c r="I60" s="8" t="inlineStr">
        <is>
          <t>Ready</t>
        </is>
      </c>
      <c r="J60" s="97" t="n">
        <v>1183999.448858398</v>
      </c>
      <c r="K60" s="97" t="n">
        <v>660604.1084584937</v>
      </c>
      <c r="L60" s="107" t="n">
        <v>670939.487365643</v>
      </c>
    </row>
    <row r="61">
      <c r="A61" s="2" t="n">
        <v>3116600011</v>
      </c>
      <c r="B61" s="8">
        <f>_xlfn.XLOOKUP(A61,'Budget FY26-28'!A:A,'Site Register'!M:M)</f>
        <v/>
      </c>
      <c r="C61" s="8" t="inlineStr">
        <is>
          <t>kWh</t>
        </is>
      </c>
      <c r="D61" s="95" t="n">
        <v>49553.7</v>
      </c>
      <c r="E61" s="105">
        <f>SUMIFS('Rates &amp; Source Data'!$AO$33:$AO$100,'Rates &amp; Source Data'!$A$33:$A$100,$A61)</f>
        <v/>
      </c>
      <c r="F61" s="105">
        <f>SUMIFS('Rates &amp; Source Data'!$AR$33:$AR$100,'Rates &amp; Source Data'!$A$33:$A$100,$A61)</f>
        <v/>
      </c>
      <c r="G61" s="106" t="n">
        <v>0.09626224988980729</v>
      </c>
      <c r="H61" s="106" t="n">
        <v>0.09759654791162808</v>
      </c>
      <c r="I61" s="8" t="inlineStr">
        <is>
          <t>Ready</t>
        </is>
      </c>
      <c r="J61" s="97" t="n">
        <v>10546.7293307546</v>
      </c>
      <c r="K61" s="97" t="n">
        <v>4770.150652364543</v>
      </c>
      <c r="L61" s="107" t="n">
        <v>4836.270056248444</v>
      </c>
    </row>
    <row r="62">
      <c r="A62" s="2" t="n">
        <v>3117134943</v>
      </c>
      <c r="B62" s="8">
        <f>_xlfn.XLOOKUP(A62,'Budget FY26-28'!A:A,'Site Register'!M:M)</f>
        <v/>
      </c>
      <c r="C62" s="8" t="inlineStr">
        <is>
          <t>kWh</t>
        </is>
      </c>
      <c r="D62" s="95" t="n">
        <v>189990.46</v>
      </c>
      <c r="E62" s="105">
        <f>SUMIFS('Rates &amp; Source Data'!$AO$33:$AO$100,'Rates &amp; Source Data'!$A$33:$A$100,$A62)</f>
        <v/>
      </c>
      <c r="F62" s="105">
        <f>SUMIFS('Rates &amp; Source Data'!$AR$33:$AR$100,'Rates &amp; Source Data'!$A$33:$A$100,$A62)</f>
        <v/>
      </c>
      <c r="G62" s="106" t="n">
        <v>0.08779600186885189</v>
      </c>
      <c r="H62" s="106" t="n">
        <v>0.08912591415411832</v>
      </c>
      <c r="I62" s="8" t="inlineStr">
        <is>
          <t>Ready</t>
        </is>
      </c>
      <c r="J62" s="97" t="n">
        <v>36988.78574536258</v>
      </c>
      <c r="K62" s="97" t="n">
        <v>16680.40278122403</v>
      </c>
      <c r="L62" s="107" t="n">
        <v>16933.07342806145</v>
      </c>
    </row>
    <row r="63">
      <c r="A63" s="2" t="n">
        <v>3120014382</v>
      </c>
      <c r="B63" s="8">
        <f>_xlfn.XLOOKUP(A63,'Budget FY26-28'!A:A,'Site Register'!M:M)</f>
        <v/>
      </c>
      <c r="C63" s="8" t="inlineStr">
        <is>
          <t>kWh</t>
        </is>
      </c>
      <c r="D63" s="95" t="n">
        <v>344623.504</v>
      </c>
      <c r="E63" s="105">
        <f>SUMIFS('Rates &amp; Source Data'!$AO$33:$AO$100,'Rates &amp; Source Data'!$A$33:$A$100,$A63)</f>
        <v/>
      </c>
      <c r="F63" s="105">
        <f>SUMIFS('Rates &amp; Source Data'!$AR$33:$AR$100,'Rates &amp; Source Data'!$A$33:$A$100,$A63)</f>
        <v/>
      </c>
      <c r="G63" s="106" t="n">
        <v>0.08674223885116079</v>
      </c>
      <c r="H63" s="106" t="n">
        <v>0.08807551710443941</v>
      </c>
      <c r="I63" s="8" t="inlineStr">
        <is>
          <t>Ready</t>
        </is>
      </c>
      <c r="J63" s="97" t="n">
        <v>61767.79985264584</v>
      </c>
      <c r="K63" s="97" t="n">
        <v>29893.41429769197</v>
      </c>
      <c r="L63" s="107" t="n">
        <v>30352.89332114384</v>
      </c>
    </row>
    <row r="64">
      <c r="A64" s="2" t="n">
        <v>3120070486</v>
      </c>
      <c r="B64" s="8">
        <f>_xlfn.XLOOKUP(A64,'Budget FY26-28'!A:A,'Site Register'!M:M)</f>
        <v/>
      </c>
      <c r="C64" s="8" t="inlineStr">
        <is>
          <t>kWh</t>
        </is>
      </c>
      <c r="D64" s="95" t="n">
        <v>260263.44</v>
      </c>
      <c r="E64" s="105">
        <f>SUMIFS('Rates &amp; Source Data'!$AO$33:$AO$100,'Rates &amp; Source Data'!$A$33:$A$100,$A64)</f>
        <v/>
      </c>
      <c r="F64" s="105">
        <f>SUMIFS('Rates &amp; Source Data'!$AR$33:$AR$100,'Rates &amp; Source Data'!$A$33:$A$100,$A64)</f>
        <v/>
      </c>
      <c r="G64" s="106" t="n">
        <v>0.08651336618879454</v>
      </c>
      <c r="H64" s="106" t="n">
        <v>0.08783489397770697</v>
      </c>
      <c r="I64" s="8" t="inlineStr">
        <is>
          <t>Ready</t>
        </is>
      </c>
      <c r="J64" s="97" t="n">
        <v>45989.98289869791</v>
      </c>
      <c r="K64" s="97" t="n">
        <v>22516.26629027536</v>
      </c>
      <c r="L64" s="107" t="n">
        <v>22860.2116586733</v>
      </c>
    </row>
    <row r="65">
      <c r="A65" s="2" t="n">
        <v>3120103988</v>
      </c>
      <c r="B65" s="8">
        <f>_xlfn.XLOOKUP(A65,'Budget FY26-28'!A:A,'Site Register'!M:M)</f>
        <v/>
      </c>
      <c r="C65" s="8" t="inlineStr">
        <is>
          <t>kWh</t>
        </is>
      </c>
      <c r="D65" s="95" t="n">
        <v>747633.8</v>
      </c>
      <c r="E65" s="105">
        <f>SUMIFS('Rates &amp; Source Data'!$AO$33:$AO$100,'Rates &amp; Source Data'!$A$33:$A$100,$A65)</f>
        <v/>
      </c>
      <c r="F65" s="105">
        <f>SUMIFS('Rates &amp; Source Data'!$AR$33:$AR$100,'Rates &amp; Source Data'!$A$33:$A$100,$A65)</f>
        <v/>
      </c>
      <c r="G65" s="106" t="n">
        <v>0.08663564927679666</v>
      </c>
      <c r="H65" s="106" t="n">
        <v>0.08798154118249388</v>
      </c>
      <c r="I65" s="8" t="inlineStr">
        <is>
          <t>Ready</t>
        </is>
      </c>
      <c r="J65" s="97" t="n">
        <v>166792.1742623666</v>
      </c>
      <c r="K65" s="97" t="n">
        <v>64771.73968427875</v>
      </c>
      <c r="L65" s="107" t="n">
        <v>65777.97396412439</v>
      </c>
    </row>
    <row r="66">
      <c r="A66" s="2" t="n">
        <v>3120129028</v>
      </c>
      <c r="B66" s="8">
        <f>_xlfn.XLOOKUP(A66,'Budget FY26-28'!A:A,'Site Register'!M:M)</f>
        <v/>
      </c>
      <c r="C66" s="8" t="inlineStr">
        <is>
          <t>kWh</t>
        </is>
      </c>
      <c r="D66" s="95" t="n">
        <v>207140.699999999</v>
      </c>
      <c r="E66" s="105">
        <f>SUMIFS('Rates &amp; Source Data'!$AO$33:$AO$100,'Rates &amp; Source Data'!$A$33:$A$100,$A66)</f>
        <v/>
      </c>
      <c r="F66" s="105">
        <f>SUMIFS('Rates &amp; Source Data'!$AR$33:$AR$100,'Rates &amp; Source Data'!$A$33:$A$100,$A66)</f>
        <v/>
      </c>
      <c r="G66" s="106" t="n">
        <v>0.08570648504280523</v>
      </c>
      <c r="H66" s="106" t="n">
        <v>0.08700543918768763</v>
      </c>
      <c r="I66" s="8" t="inlineStr">
        <is>
          <t>Ready</t>
        </is>
      </c>
      <c r="J66" s="97" t="n">
        <v>37050.0237128565</v>
      </c>
      <c r="K66" s="97" t="n">
        <v>17753.30130630612</v>
      </c>
      <c r="L66" s="107" t="n">
        <v>18022.36757714496</v>
      </c>
    </row>
    <row r="67">
      <c r="A67" s="2" t="n">
        <v>3120143385</v>
      </c>
      <c r="B67" s="8">
        <f>_xlfn.XLOOKUP(A67,'Budget FY26-28'!A:A,'Site Register'!M:M)</f>
        <v/>
      </c>
      <c r="C67" s="8" t="inlineStr">
        <is>
          <t>kWh</t>
        </is>
      </c>
      <c r="D67" s="95" t="n">
        <v>225934.4146</v>
      </c>
      <c r="E67" s="105">
        <f>SUMIFS('Rates &amp; Source Data'!$AO$33:$AO$100,'Rates &amp; Source Data'!$A$33:$A$100,$A67)</f>
        <v/>
      </c>
      <c r="F67" s="105">
        <f>SUMIFS('Rates &amp; Source Data'!$AR$33:$AR$100,'Rates &amp; Source Data'!$A$33:$A$100,$A67)</f>
        <v/>
      </c>
      <c r="G67" s="106" t="n">
        <v>0.08833432976796109</v>
      </c>
      <c r="H67" s="106" t="n">
        <v>0.08968022167365826</v>
      </c>
      <c r="I67" s="8" t="inlineStr">
        <is>
          <t>Ready</t>
        </is>
      </c>
      <c r="J67" s="97" t="n">
        <v>37482.05906328464</v>
      </c>
      <c r="K67" s="97" t="n">
        <v>19957.76508520764</v>
      </c>
      <c r="L67" s="107" t="n">
        <v>20261.84838503621</v>
      </c>
    </row>
    <row r="68">
      <c r="A68" s="2" t="n">
        <v>3120725958</v>
      </c>
      <c r="B68" s="8">
        <f>_xlfn.XLOOKUP(A68,'Budget FY26-28'!A:A,'Site Register'!M:M)</f>
        <v/>
      </c>
      <c r="C68" s="8" t="inlineStr">
        <is>
          <t>kWh</t>
        </is>
      </c>
      <c r="D68" s="95" t="n">
        <v>1047801.85</v>
      </c>
      <c r="E68" s="105">
        <f>SUMIFS('Rates &amp; Source Data'!$AO$33:$AO$100,'Rates &amp; Source Data'!$A$33:$A$100,$A68)</f>
        <v/>
      </c>
      <c r="F68" s="105">
        <f>SUMIFS('Rates &amp; Source Data'!$AR$33:$AR$100,'Rates &amp; Source Data'!$A$33:$A$100,$A68)</f>
        <v/>
      </c>
      <c r="G68" s="106" t="n">
        <v>0.08498669234021587</v>
      </c>
      <c r="H68" s="106" t="n">
        <v>0.08630925206714107</v>
      </c>
      <c r="I68" s="8" t="inlineStr">
        <is>
          <t>Ready</t>
        </is>
      </c>
      <c r="J68" s="97" t="n">
        <v>205270.2122736275</v>
      </c>
      <c r="K68" s="97" t="n">
        <v>89049.21345945902</v>
      </c>
      <c r="L68" s="107" t="n">
        <v>90434.99398806674</v>
      </c>
    </row>
    <row r="69">
      <c r="A69" s="2" t="inlineStr">
        <is>
          <t>QB05383854</t>
        </is>
      </c>
      <c r="B69" s="8">
        <f>_xlfn.XLOOKUP(A69,'Budget FY26-28'!A:A,'Site Register'!M:M)</f>
        <v/>
      </c>
      <c r="C69" s="8" t="inlineStr">
        <is>
          <t>kWh</t>
        </is>
      </c>
      <c r="D69" s="95" t="n">
        <v>876582.28</v>
      </c>
      <c r="E69" s="105">
        <f>SUMIFS('Rates &amp; Source Data'!$AO$33:$AO$100,'Rates &amp; Source Data'!$A$33:$A$100,$A69)</f>
        <v/>
      </c>
      <c r="F69" s="105">
        <f>SUMIFS('Rates &amp; Source Data'!$AR$33:$AR$100,'Rates &amp; Source Data'!$A$33:$A$100,$A69)</f>
        <v/>
      </c>
      <c r="G69" s="106" t="n">
        <v>0.08506609782148543</v>
      </c>
      <c r="H69" s="106" t="n">
        <v>0.08638827057165582</v>
      </c>
      <c r="I69" s="8" t="inlineStr">
        <is>
          <t>Ready</t>
        </is>
      </c>
      <c r="J69" s="97" t="n">
        <v>184560.8024036005</v>
      </c>
      <c r="K69" s="97" t="n">
        <v>74567.43397906073</v>
      </c>
      <c r="L69" s="107" t="n">
        <v>75726.42718295897</v>
      </c>
    </row>
    <row r="70">
      <c r="A70" s="2" t="inlineStr">
        <is>
          <t>QB06081428</t>
        </is>
      </c>
      <c r="B70" s="8">
        <f>_xlfn.XLOOKUP(A70,'Budget FY26-28'!A:A,'Site Register'!M:M)</f>
        <v/>
      </c>
      <c r="C70" s="8" t="inlineStr">
        <is>
          <t>kWh</t>
        </is>
      </c>
      <c r="D70" s="95" t="n">
        <v>1044289.84</v>
      </c>
      <c r="E70" s="105">
        <f>SUMIFS('Rates &amp; Source Data'!$AO$33:$AO$100,'Rates &amp; Source Data'!$A$33:$A$100,$A70)</f>
        <v/>
      </c>
      <c r="F70" s="105">
        <f>SUMIFS('Rates &amp; Source Data'!$AR$33:$AR$100,'Rates &amp; Source Data'!$A$33:$A$100,$A70)</f>
        <v/>
      </c>
      <c r="G70" s="106" t="n">
        <v>0.0855279927583303</v>
      </c>
      <c r="H70" s="106" t="n">
        <v>0.08685958194286751</v>
      </c>
      <c r="I70" s="8" t="inlineStr">
        <is>
          <t>Ready</t>
        </is>
      </c>
      <c r="J70" s="97" t="n">
        <v>180958.9281128863</v>
      </c>
      <c r="K70" s="97" t="n">
        <v>89316.0138731179</v>
      </c>
      <c r="L70" s="107" t="n">
        <v>90706.57892958399</v>
      </c>
    </row>
    <row r="71">
      <c r="A71" s="2" t="inlineStr">
        <is>
          <t>QB06082220</t>
        </is>
      </c>
      <c r="B71" s="8">
        <f>_xlfn.XLOOKUP(A71,'Budget FY26-28'!A:A,'Site Register'!M:M)</f>
        <v/>
      </c>
      <c r="C71" s="8" t="inlineStr">
        <is>
          <t>kWh</t>
        </is>
      </c>
      <c r="D71" s="95" t="n">
        <v>80526.60000000001</v>
      </c>
      <c r="E71" s="105">
        <f>SUMIFS('Rates &amp; Source Data'!$AO$33:$AO$100,'Rates &amp; Source Data'!$A$33:$A$100,$A71)</f>
        <v/>
      </c>
      <c r="F71" s="105">
        <f>SUMIFS('Rates &amp; Source Data'!$AR$33:$AR$100,'Rates &amp; Source Data'!$A$33:$A$100,$A71)</f>
        <v/>
      </c>
      <c r="G71" s="106" t="n">
        <v>0.09183136030594315</v>
      </c>
      <c r="H71" s="106" t="n">
        <v>0.09316294949048037</v>
      </c>
      <c r="I71" s="8" t="inlineStr">
        <is>
          <t>Ready</t>
        </is>
      </c>
      <c r="J71" s="97" t="n">
        <v>16557.9493509315</v>
      </c>
      <c r="K71" s="97" t="n">
        <v>7394.867218812562</v>
      </c>
      <c r="L71" s="107" t="n">
        <v>7502.095568440118</v>
      </c>
    </row>
    <row r="72">
      <c r="A72" s="2" t="inlineStr">
        <is>
          <t>QB07736452</t>
        </is>
      </c>
      <c r="B72" s="8">
        <f>_xlfn.XLOOKUP(A72,'Budget FY26-28'!A:A,'Site Register'!M:M)</f>
        <v/>
      </c>
      <c r="C72" s="8" t="inlineStr">
        <is>
          <t>kWh</t>
        </is>
      </c>
      <c r="D72" s="95" t="n">
        <v>24596</v>
      </c>
      <c r="E72" s="105">
        <f>IFERROR(IF(SUMIFS('Rates &amp; Source Data'!$BM$106:$BM$156,'Rates &amp; Source Data'!$C$106:$C$156,$A72,'Rates &amp; Source Data'!$A$106:$A$156,$B72)&lt;&gt;0,SUMIFS('Rates &amp; Source Data'!$BM$106:$BM$156,'Rates &amp; Source Data'!$C$106:$C$156,$A72,'Rates &amp; Source Data'!$A$106:$A$156,$B72),$K72),$K72)</f>
        <v/>
      </c>
      <c r="F72" s="105">
        <f>E72</f>
        <v/>
      </c>
      <c r="G72" s="106" t="n">
        <v>0.3114005855748902</v>
      </c>
      <c r="H72" s="106" t="n">
        <v>0.3114005855748902</v>
      </c>
      <c r="I72" s="8" t="inlineStr">
        <is>
          <t>Ready</t>
        </is>
      </c>
      <c r="J72" s="97" t="n">
        <v>6996.116966666666</v>
      </c>
      <c r="K72" s="97" t="n">
        <v>7659.2088028</v>
      </c>
      <c r="L72" s="107" t="n">
        <v>7659.2088028</v>
      </c>
    </row>
    <row r="73">
      <c r="A73" s="2" t="inlineStr">
        <is>
          <t>QB13869604</t>
        </is>
      </c>
      <c r="B73" s="8">
        <f>_xlfn.XLOOKUP(A73,'Budget FY26-28'!A:A,'Site Register'!M:M)</f>
        <v/>
      </c>
      <c r="C73" s="8" t="inlineStr">
        <is>
          <t>kWh</t>
        </is>
      </c>
      <c r="D73" s="95" t="n">
        <v>16289</v>
      </c>
      <c r="E73" s="105">
        <f>IFERROR(IF(SUMIFS('Rates &amp; Source Data'!$BM$106:$BM$156,'Rates &amp; Source Data'!$C$106:$C$156,$A73,'Rates &amp; Source Data'!$A$106:$A$156,$B73)&lt;&gt;0,SUMIFS('Rates &amp; Source Data'!$BM$106:$BM$156,'Rates &amp; Source Data'!$C$106:$C$156,$A73,'Rates &amp; Source Data'!$A$106:$A$156,$B73),$K73),$K73)</f>
        <v/>
      </c>
      <c r="F73" s="105">
        <f>E73</f>
        <v/>
      </c>
      <c r="G73" s="106" t="n">
        <v>0.2594027688624225</v>
      </c>
      <c r="H73" s="106" t="n">
        <v>0.2594027688624225</v>
      </c>
      <c r="I73" s="8" t="inlineStr">
        <is>
          <t>Ready</t>
        </is>
      </c>
      <c r="J73" s="97" t="n">
        <v>5043.217619999999</v>
      </c>
      <c r="K73" s="97" t="n">
        <v>4225.411702</v>
      </c>
      <c r="L73" s="107" t="n">
        <v>4225.411702</v>
      </c>
    </row>
    <row r="74">
      <c r="A74" s="2" t="inlineStr">
        <is>
          <t>QGGG000010</t>
        </is>
      </c>
      <c r="B74" s="8">
        <f>_xlfn.XLOOKUP(A74,'Budget FY26-28'!A:A,'Site Register'!M:M)</f>
        <v/>
      </c>
      <c r="C74" s="8" t="inlineStr">
        <is>
          <t>kWh</t>
        </is>
      </c>
      <c r="D74" s="95" t="n">
        <v>3994276.89999999</v>
      </c>
      <c r="E74" s="105">
        <f>SUMIFS('Rates &amp; Source Data'!$AO$33:$AO$100,'Rates &amp; Source Data'!$A$33:$A$100,$A74)</f>
        <v/>
      </c>
      <c r="F74" s="105">
        <f>SUMIFS('Rates &amp; Source Data'!$AR$33:$AR$100,'Rates &amp; Source Data'!$A$33:$A$100,$A74)</f>
        <v/>
      </c>
      <c r="G74" s="106" t="n">
        <v>0.08105130836604443</v>
      </c>
      <c r="H74" s="106" t="n">
        <v>0.08231709087312443</v>
      </c>
      <c r="I74" s="8" t="inlineStr">
        <is>
          <t>Ready</t>
        </is>
      </c>
      <c r="J74" s="97" t="n">
        <v>712199.5149975077</v>
      </c>
      <c r="K74" s="97" t="n">
        <v>323741.3687212672</v>
      </c>
      <c r="L74" s="107" t="n">
        <v>328797.2545497209</v>
      </c>
    </row>
    <row r="75">
      <c r="A75" s="2" t="inlineStr">
        <is>
          <t>QGGG000320</t>
        </is>
      </c>
      <c r="B75" s="8">
        <f>_xlfn.XLOOKUP(A75,'Budget FY26-28'!A:A,'Site Register'!M:M)</f>
        <v/>
      </c>
      <c r="C75" s="8" t="inlineStr">
        <is>
          <t>kWh</t>
        </is>
      </c>
      <c r="D75" s="95" t="n">
        <v>165144.29</v>
      </c>
      <c r="E75" s="105">
        <f>SUMIFS('Rates &amp; Source Data'!$AO$33:$AO$100,'Rates &amp; Source Data'!$A$33:$A$100,$A75)</f>
        <v/>
      </c>
      <c r="F75" s="105">
        <f>SUMIFS('Rates &amp; Source Data'!$AR$33:$AR$100,'Rates &amp; Source Data'!$A$33:$A$100,$A75)</f>
        <v/>
      </c>
      <c r="G75" s="106" t="n">
        <v>0.09046815623349036</v>
      </c>
      <c r="H75" s="106" t="n">
        <v>0.09183130662573037</v>
      </c>
      <c r="I75" s="8" t="inlineStr">
        <is>
          <t>Ready</t>
        </is>
      </c>
      <c r="J75" s="97" t="n">
        <v>62434.92479930725</v>
      </c>
      <c r="K75" s="97" t="n">
        <v>14940.29942878884</v>
      </c>
      <c r="L75" s="107" t="n">
        <v>15165.41593247854</v>
      </c>
    </row>
    <row r="76">
      <c r="A76" s="2" t="n">
        <v>2001130961</v>
      </c>
      <c r="B76" s="8">
        <f>_xlfn.XLOOKUP(A76,'Budget FY26-28'!A:A,'Site Register'!M:M)</f>
        <v/>
      </c>
      <c r="C76" s="8" t="inlineStr">
        <is>
          <t>kWh</t>
        </is>
      </c>
      <c r="D76" s="95" t="n">
        <v>22458</v>
      </c>
      <c r="E76" s="105">
        <f>IFERROR(IF(SUMIFS('Rates &amp; Source Data'!$BM$106:$BM$156,'Rates &amp; Source Data'!$C$106:$C$156,$A76,'Rates &amp; Source Data'!$A$106:$A$156,$B76)&lt;&gt;0,SUMIFS('Rates &amp; Source Data'!$BM$106:$BM$156,'Rates &amp; Source Data'!$C$106:$C$156,$A76,'Rates &amp; Source Data'!$A$106:$A$156,$B76),$K76),$K76)</f>
        <v/>
      </c>
      <c r="F76" s="105">
        <f>E76</f>
        <v/>
      </c>
      <c r="G76" s="106" t="n">
        <v>0.3832989095235552</v>
      </c>
      <c r="H76" s="106" t="n">
        <v>0.3832989095235552</v>
      </c>
      <c r="I76" s="8" t="inlineStr">
        <is>
          <t>Ready</t>
        </is>
      </c>
      <c r="J76" s="97" t="n">
        <v>10480.73694</v>
      </c>
      <c r="K76" s="97" t="n">
        <v>8608.126910080002</v>
      </c>
      <c r="L76" s="107" t="n">
        <v>8608.126910080002</v>
      </c>
    </row>
    <row r="77">
      <c r="A77" s="2" t="n">
        <v>2001160686</v>
      </c>
      <c r="B77" s="8">
        <f>_xlfn.XLOOKUP(A77,'Budget FY26-28'!A:A,'Site Register'!M:M)</f>
        <v/>
      </c>
      <c r="C77" s="8" t="inlineStr">
        <is>
          <t>kWh</t>
        </is>
      </c>
      <c r="D77" s="95" t="n">
        <v>36782</v>
      </c>
      <c r="E77" s="105">
        <f>IFERROR(IF(SUMIFS('Rates &amp; Source Data'!$BM$106:$BM$156,'Rates &amp; Source Data'!$C$106:$C$156,$A77,'Rates &amp; Source Data'!$A$106:$A$156,$B77)&lt;&gt;0,SUMIFS('Rates &amp; Source Data'!$BM$106:$BM$156,'Rates &amp; Source Data'!$C$106:$C$156,$A77,'Rates &amp; Source Data'!$A$106:$A$156,$B77),$K77),$K77)</f>
        <v/>
      </c>
      <c r="F77" s="105">
        <f>E77</f>
        <v/>
      </c>
      <c r="G77" s="106" t="n">
        <v>0.359828583439726</v>
      </c>
      <c r="H77" s="106" t="n">
        <v>0.359828583439726</v>
      </c>
      <c r="I77" s="8" t="inlineStr">
        <is>
          <t>Ready</t>
        </is>
      </c>
      <c r="J77" s="97" t="n">
        <v>14486.183971</v>
      </c>
      <c r="K77" s="97" t="n">
        <v>13235.21495608</v>
      </c>
      <c r="L77" s="107" t="n">
        <v>13235.21495608</v>
      </c>
    </row>
    <row r="78">
      <c r="A78" s="2" t="n">
        <v>2001160742</v>
      </c>
      <c r="B78" s="8">
        <f>_xlfn.XLOOKUP(A78,'Budget FY26-28'!A:A,'Site Register'!M:M)</f>
        <v/>
      </c>
      <c r="C78" s="8" t="inlineStr">
        <is>
          <t>kWh</t>
        </is>
      </c>
      <c r="D78" s="95" t="n">
        <v>119987.46</v>
      </c>
      <c r="E78" s="105">
        <f>SUMIFS('Rates &amp; Source Data'!$AO$33:$AO$100,'Rates &amp; Source Data'!$A$33:$A$100,$A78)</f>
        <v/>
      </c>
      <c r="F78" s="105">
        <f>SUMIFS('Rates &amp; Source Data'!$AR$33:$AR$100,'Rates &amp; Source Data'!$A$33:$A$100,$A78)</f>
        <v/>
      </c>
      <c r="G78" s="106" t="n">
        <v>0.1119924562117973</v>
      </c>
      <c r="H78" s="106" t="n">
        <v>0.110333362704804</v>
      </c>
      <c r="I78" s="8" t="inlineStr">
        <is>
          <t>Ready</t>
        </is>
      </c>
      <c r="J78" s="97" t="n">
        <v>39177.99803384358</v>
      </c>
      <c r="K78" s="97" t="n">
        <v>13437.69036001478</v>
      </c>
      <c r="L78" s="107" t="n">
        <v>13238.61994420816</v>
      </c>
    </row>
    <row r="79">
      <c r="A79" s="2" t="n">
        <v>2001223248</v>
      </c>
      <c r="B79" s="8">
        <f>_xlfn.XLOOKUP(A79,'Budget FY26-28'!A:A,'Site Register'!M:M)</f>
        <v/>
      </c>
      <c r="C79" s="8" t="inlineStr">
        <is>
          <t>kWh</t>
        </is>
      </c>
      <c r="D79" s="95" t="n">
        <v>5840</v>
      </c>
      <c r="E79" s="105">
        <f>IFERROR(IF(SUMIFS('Rates &amp; Source Data'!$BM$106:$BM$156,'Rates &amp; Source Data'!$C$106:$C$156,$A79,'Rates &amp; Source Data'!$A$106:$A$156,$B79)&lt;&gt;0,SUMIFS('Rates &amp; Source Data'!$BM$106:$BM$156,'Rates &amp; Source Data'!$C$106:$C$156,$A79,'Rates &amp; Source Data'!$A$106:$A$156,$B79),$K79),$K79)</f>
        <v/>
      </c>
      <c r="F79" s="105">
        <f>E79</f>
        <v/>
      </c>
      <c r="G79" s="106" t="n">
        <v>0.447278635</v>
      </c>
      <c r="H79" s="106" t="n">
        <v>0.447278635</v>
      </c>
      <c r="I79" s="8" t="inlineStr">
        <is>
          <t>Ready</t>
        </is>
      </c>
      <c r="J79" s="97" t="n">
        <v>3099.3537</v>
      </c>
      <c r="K79" s="97" t="n">
        <v>2612.1072284</v>
      </c>
      <c r="L79" s="107" t="n">
        <v>2612.1072284</v>
      </c>
    </row>
    <row r="80">
      <c r="A80" s="2" t="n">
        <v>2001341166</v>
      </c>
      <c r="B80" s="8">
        <f>_xlfn.XLOOKUP(A80,'Budget FY26-28'!A:A,'Site Register'!M:M)</f>
        <v/>
      </c>
      <c r="C80" s="8" t="inlineStr">
        <is>
          <t>kWh</t>
        </is>
      </c>
      <c r="D80" s="95" t="n">
        <v>3902</v>
      </c>
      <c r="E80" s="105">
        <f>IFERROR(IF(SUMIFS('Rates &amp; Source Data'!$BM$106:$BM$156,'Rates &amp; Source Data'!$C$106:$C$156,$A80,'Rates &amp; Source Data'!$A$106:$A$156,$B80)&lt;&gt;0,SUMIFS('Rates &amp; Source Data'!$BM$106:$BM$156,'Rates &amp; Source Data'!$C$106:$C$156,$A80,'Rates &amp; Source Data'!$A$106:$A$156,$B80),$K80),$K80)</f>
        <v/>
      </c>
      <c r="F80" s="105">
        <f>E80</f>
        <v/>
      </c>
      <c r="G80" s="106" t="n">
        <v>0.476172799609858</v>
      </c>
      <c r="H80" s="106" t="n">
        <v>0.476172799609858</v>
      </c>
      <c r="I80" s="8" t="inlineStr">
        <is>
          <t>Ready</t>
        </is>
      </c>
      <c r="J80" s="97" t="n">
        <v>1834.354531</v>
      </c>
      <c r="K80" s="97" t="n">
        <v>1858.026264077666</v>
      </c>
      <c r="L80" s="107" t="n">
        <v>1858.026264077666</v>
      </c>
    </row>
    <row r="81">
      <c r="A81" s="2" t="n">
        <v>2001341167</v>
      </c>
      <c r="B81" s="8">
        <f>_xlfn.XLOOKUP(A81,'Budget FY26-28'!A:A,'Site Register'!M:M)</f>
        <v/>
      </c>
      <c r="C81" s="8" t="inlineStr">
        <is>
          <t>kWh</t>
        </is>
      </c>
      <c r="D81" s="95" t="n">
        <v>21166</v>
      </c>
      <c r="E81" s="105">
        <f>IFERROR(IF(SUMIFS('Rates &amp; Source Data'!$BM$106:$BM$156,'Rates &amp; Source Data'!$C$106:$C$156,$A81,'Rates &amp; Source Data'!$A$106:$A$156,$B81)&lt;&gt;0,SUMIFS('Rates &amp; Source Data'!$BM$106:$BM$156,'Rates &amp; Source Data'!$C$106:$C$156,$A81,'Rates &amp; Source Data'!$A$106:$A$156,$B81),$K81),$K81)</f>
        <v/>
      </c>
      <c r="F81" s="105">
        <f>E81</f>
        <v/>
      </c>
      <c r="G81" s="106" t="n">
        <v>0.3581542110743645</v>
      </c>
      <c r="H81" s="106" t="n">
        <v>0.3581542110743645</v>
      </c>
      <c r="I81" s="8" t="inlineStr">
        <is>
          <t>Ready</t>
        </is>
      </c>
      <c r="J81" s="97" t="n">
        <v>8477.334562999999</v>
      </c>
      <c r="K81" s="97" t="n">
        <v>7580.6920316</v>
      </c>
      <c r="L81" s="107" t="n">
        <v>7580.6920316</v>
      </c>
    </row>
    <row r="82">
      <c r="A82" s="2" t="n">
        <v>2001515449</v>
      </c>
      <c r="B82" s="8">
        <f>_xlfn.XLOOKUP(A82,'Budget FY26-28'!A:A,'Site Register'!M:M)</f>
        <v/>
      </c>
      <c r="C82" s="8" t="inlineStr">
        <is>
          <t>kWh</t>
        </is>
      </c>
      <c r="D82" s="95" t="n">
        <v>10660</v>
      </c>
      <c r="E82" s="105">
        <f>IFERROR(IF(SUMIFS('Rates &amp; Source Data'!$BM$106:$BM$156,'Rates &amp; Source Data'!$C$106:$C$156,$A82,'Rates &amp; Source Data'!$A$106:$A$156,$B82)&lt;&gt;0,SUMIFS('Rates &amp; Source Data'!$BM$106:$BM$156,'Rates &amp; Source Data'!$C$106:$C$156,$A82,'Rates &amp; Source Data'!$A$106:$A$156,$B82),$K82),$K82)</f>
        <v/>
      </c>
      <c r="F82" s="105">
        <f>E82</f>
        <v/>
      </c>
      <c r="G82" s="106" t="n">
        <v>0.381666176923077</v>
      </c>
      <c r="H82" s="106" t="n">
        <v>0.381666176923077</v>
      </c>
      <c r="I82" s="8" t="inlineStr">
        <is>
          <t>Ready</t>
        </is>
      </c>
      <c r="J82" s="97" t="n">
        <v>4434.751835</v>
      </c>
      <c r="K82" s="97" t="n">
        <v>4068.561446000001</v>
      </c>
      <c r="L82" s="107" t="n">
        <v>4068.561446000001</v>
      </c>
    </row>
    <row r="83">
      <c r="A83" s="2" t="n">
        <v>2001600008</v>
      </c>
      <c r="B83" s="8">
        <f>_xlfn.XLOOKUP(A83,'Budget FY26-28'!A:A,'Site Register'!M:M)</f>
        <v/>
      </c>
      <c r="C83" s="8" t="inlineStr">
        <is>
          <t>kWh</t>
        </is>
      </c>
      <c r="D83" s="95" t="n">
        <v>3495</v>
      </c>
      <c r="E83" s="105">
        <f>IFERROR(IF(SUMIFS('Rates &amp; Source Data'!$BM$106:$BM$156,'Rates &amp; Source Data'!$C$106:$C$156,$A83,'Rates &amp; Source Data'!$A$106:$A$156,$B83)&lt;&gt;0,SUMIFS('Rates &amp; Source Data'!$BM$106:$BM$156,'Rates &amp; Source Data'!$C$106:$C$156,$A83,'Rates &amp; Source Data'!$A$106:$A$156,$B83),$K83),$K83)</f>
        <v/>
      </c>
      <c r="F83" s="105">
        <f>E83</f>
        <v/>
      </c>
      <c r="G83" s="106" t="n">
        <v>0.4787751479256081</v>
      </c>
      <c r="H83" s="106" t="n">
        <v>0.4787751479256081</v>
      </c>
      <c r="I83" s="8" t="inlineStr">
        <is>
          <t>Ready</t>
        </is>
      </c>
      <c r="J83" s="97" t="n">
        <v>1677.745815</v>
      </c>
      <c r="K83" s="97" t="n">
        <v>1673.319142</v>
      </c>
      <c r="L83" s="107" t="n">
        <v>1673.319142</v>
      </c>
    </row>
    <row r="84">
      <c r="A84" s="2" t="n">
        <v>2001676115</v>
      </c>
      <c r="B84" s="8">
        <f>_xlfn.XLOOKUP(A84,'Budget FY26-28'!A:A,'Site Register'!M:M)</f>
        <v/>
      </c>
      <c r="C84" s="8" t="inlineStr">
        <is>
          <t>kWh</t>
        </is>
      </c>
      <c r="D84" s="95" t="n">
        <v>28791</v>
      </c>
      <c r="E84" s="105">
        <f>IFERROR(IF(SUMIFS('Rates &amp; Source Data'!$BM$106:$BM$156,'Rates &amp; Source Data'!$C$106:$C$156,$A84,'Rates &amp; Source Data'!$A$106:$A$156,$B84)&lt;&gt;0,SUMIFS('Rates &amp; Source Data'!$BM$106:$BM$156,'Rates &amp; Source Data'!$C$106:$C$156,$A84,'Rates &amp; Source Data'!$A$106:$A$156,$B84),$K84),$K84)</f>
        <v/>
      </c>
      <c r="F84" s="105">
        <f>E84</f>
        <v/>
      </c>
      <c r="G84" s="106" t="n">
        <v>0.3518360331909277</v>
      </c>
      <c r="H84" s="106" t="n">
        <v>0.3518360331909277</v>
      </c>
      <c r="I84" s="8" t="inlineStr">
        <is>
          <t>Ready</t>
        </is>
      </c>
      <c r="J84" s="97" t="n">
        <v>11411.343063</v>
      </c>
      <c r="K84" s="97" t="n">
        <v>10129.7112316</v>
      </c>
      <c r="L84" s="107" t="n">
        <v>10129.7112316</v>
      </c>
    </row>
    <row r="85">
      <c r="A85" s="2" t="n">
        <v>2002190876</v>
      </c>
      <c r="B85" s="8">
        <f>_xlfn.XLOOKUP(A85,'Budget FY26-28'!A:A,'Site Register'!M:M)</f>
        <v/>
      </c>
      <c r="C85" s="8" t="inlineStr">
        <is>
          <t>kWh</t>
        </is>
      </c>
      <c r="D85" s="95" t="n">
        <v>29818</v>
      </c>
      <c r="E85" s="105">
        <f>IFERROR(IF(SUMIFS('Rates &amp; Source Data'!$BM$106:$BM$156,'Rates &amp; Source Data'!$C$106:$C$156,$A85,'Rates &amp; Source Data'!$A$106:$A$156,$B85)&lt;&gt;0,SUMIFS('Rates &amp; Source Data'!$BM$106:$BM$156,'Rates &amp; Source Data'!$C$106:$C$156,$A85,'Rates &amp; Source Data'!$A$106:$A$156,$B85),$K85),$K85)</f>
        <v/>
      </c>
      <c r="F85" s="105">
        <f>E85</f>
        <v/>
      </c>
      <c r="G85" s="106" t="n">
        <v>0.3512319695083506</v>
      </c>
      <c r="H85" s="106" t="n">
        <v>0.3512319695083506</v>
      </c>
      <c r="I85" s="8" t="inlineStr">
        <is>
          <t>Ready</t>
        </is>
      </c>
      <c r="J85" s="97" t="n">
        <v>11806.520339</v>
      </c>
      <c r="K85" s="97" t="n">
        <v>10473.0348668</v>
      </c>
      <c r="L85" s="107" t="n">
        <v>10473.0348668</v>
      </c>
    </row>
    <row r="86">
      <c r="A86" s="2" t="n">
        <v>2002254877</v>
      </c>
      <c r="B86" s="8">
        <f>_xlfn.XLOOKUP(A86,'Budget FY26-28'!A:A,'Site Register'!M:M)</f>
        <v/>
      </c>
      <c r="C86" s="8" t="inlineStr">
        <is>
          <t>kWh</t>
        </is>
      </c>
      <c r="D86" s="95" t="n">
        <v>1255064.06</v>
      </c>
      <c r="E86" s="105">
        <f>SUMIFS('Rates &amp; Source Data'!$AO$33:$AO$100,'Rates &amp; Source Data'!$A$33:$A$100,$A86)</f>
        <v/>
      </c>
      <c r="F86" s="105">
        <f>SUMIFS('Rates &amp; Source Data'!$AR$33:$AR$100,'Rates &amp; Source Data'!$A$33:$A$100,$A86)</f>
        <v/>
      </c>
      <c r="G86" s="106" t="n">
        <v>0.1042867594660146</v>
      </c>
      <c r="H86" s="106" t="n">
        <v>0.1058437788967771</v>
      </c>
      <c r="I86" s="8" t="inlineStr">
        <is>
          <t>Ready</t>
        </is>
      </c>
      <c r="J86" s="97" t="n">
        <v>340403.0943458256</v>
      </c>
      <c r="K86" s="97" t="n">
        <v>130886.5637396597</v>
      </c>
      <c r="L86" s="107" t="n">
        <v>132840.7228679314</v>
      </c>
    </row>
    <row r="87">
      <c r="A87" s="2" t="n">
        <v>2002601115</v>
      </c>
      <c r="B87" s="8">
        <f>_xlfn.XLOOKUP(A87,'Budget FY26-28'!A:A,'Site Register'!M:M)</f>
        <v/>
      </c>
      <c r="C87" s="8" t="inlineStr">
        <is>
          <t>kWh</t>
        </is>
      </c>
      <c r="D87" s="95" t="n">
        <v>4380</v>
      </c>
      <c r="E87" s="105">
        <f>IFERROR(IF(SUMIFS('Rates &amp; Source Data'!$BM$106:$BM$156,'Rates &amp; Source Data'!$C$106:$C$156,$A87,'Rates &amp; Source Data'!$A$106:$A$156,$B87)&lt;&gt;0,SUMIFS('Rates &amp; Source Data'!$BM$106:$BM$156,'Rates &amp; Source Data'!$C$106:$C$156,$A87,'Rates &amp; Source Data'!$A$106:$A$156,$B87),$K87),$K87)</f>
        <v/>
      </c>
      <c r="F87" s="105">
        <f>E87</f>
        <v/>
      </c>
      <c r="G87" s="106" t="n">
        <v>0.4760999266666668</v>
      </c>
      <c r="H87" s="106" t="n">
        <v>0.4760999266666668</v>
      </c>
      <c r="I87" s="8" t="inlineStr">
        <is>
          <t>Ready</t>
        </is>
      </c>
      <c r="J87" s="97" t="n">
        <v>2450.8509</v>
      </c>
      <c r="K87" s="97" t="n">
        <v>2085.317678800001</v>
      </c>
      <c r="L87" s="107" t="n">
        <v>2085.317678800001</v>
      </c>
    </row>
    <row r="88">
      <c r="A88" s="2" t="inlineStr">
        <is>
          <t>SAAAAAB023</t>
        </is>
      </c>
      <c r="B88" s="8">
        <f>_xlfn.XLOOKUP(A88,'Budget FY26-28'!A:A,'Site Register'!M:M)</f>
        <v/>
      </c>
      <c r="C88" s="8" t="inlineStr">
        <is>
          <t>kWh</t>
        </is>
      </c>
      <c r="D88" s="95" t="n">
        <v>384392.53</v>
      </c>
      <c r="E88" s="105">
        <f>SUMIFS('Rates &amp; Source Data'!$AO$33:$AO$100,'Rates &amp; Source Data'!$A$33:$A$100,$A88)</f>
        <v/>
      </c>
      <c r="F88" s="105">
        <f>SUMIFS('Rates &amp; Source Data'!$AR$33:$AR$100,'Rates &amp; Source Data'!$A$33:$A$100,$A88)</f>
        <v/>
      </c>
      <c r="G88" s="106" t="n">
        <v>0.1055913602958124</v>
      </c>
      <c r="H88" s="106" t="n">
        <v>0.1061737892375786</v>
      </c>
      <c r="I88" s="8" t="inlineStr">
        <is>
          <t>Ready</t>
        </is>
      </c>
      <c r="J88" s="97" t="n">
        <v>106375.2043638491</v>
      </c>
      <c r="K88" s="97" t="n">
        <v>40588.53013024887</v>
      </c>
      <c r="L88" s="107" t="n">
        <v>40812.41146471961</v>
      </c>
    </row>
    <row r="89">
      <c r="A89" s="2" t="inlineStr">
        <is>
          <t>SAAAAAC481</t>
        </is>
      </c>
      <c r="B89" s="8">
        <f>_xlfn.XLOOKUP(A89,'Budget FY26-28'!A:A,'Site Register'!M:M)</f>
        <v/>
      </c>
      <c r="C89" s="8" t="inlineStr">
        <is>
          <t>kWh</t>
        </is>
      </c>
      <c r="D89" s="95" t="n">
        <v>154241.09</v>
      </c>
      <c r="E89" s="105">
        <f>SUMIFS('Rates &amp; Source Data'!$AO$33:$AO$100,'Rates &amp; Source Data'!$A$33:$A$100,$A89)</f>
        <v/>
      </c>
      <c r="F89" s="105">
        <f>SUMIFS('Rates &amp; Source Data'!$AR$33:$AR$100,'Rates &amp; Source Data'!$A$33:$A$100,$A89)</f>
        <v/>
      </c>
      <c r="G89" s="106" t="n">
        <v>0.1070411091836755</v>
      </c>
      <c r="H89" s="106" t="n">
        <v>0.1089556672178057</v>
      </c>
      <c r="I89" s="8" t="inlineStr">
        <is>
          <t>Ready</t>
        </is>
      </c>
      <c r="J89" s="97" t="n">
        <v>43312.12832485644</v>
      </c>
      <c r="K89" s="97" t="n">
        <v>16510.13735529912</v>
      </c>
      <c r="L89" s="107" t="n">
        <v>16805.44087335162</v>
      </c>
    </row>
    <row r="90">
      <c r="A90" s="2" t="n">
        <v>8000002117</v>
      </c>
      <c r="B90" s="8">
        <f>_xlfn.XLOOKUP(A90,'Budget FY26-28'!A:A,'Site Register'!M:M)</f>
        <v/>
      </c>
      <c r="C90" s="8" t="inlineStr">
        <is>
          <t>kWh</t>
        </is>
      </c>
      <c r="D90" s="95" t="n">
        <v>448303.491</v>
      </c>
      <c r="E90" s="105">
        <f>$D90*SUMIFS('Rates &amp; Source Data'!$B$1466:$B$1468,'Rates &amp; Source Data'!$A$1466:$A$1468,$A90)</f>
        <v/>
      </c>
      <c r="F90" s="105">
        <f>$D90*SUMIFS('Rates &amp; Source Data'!$C$1466:$C$1468,'Rates &amp; Source Data'!$A$1466:$A$1468,$A90)</f>
        <v/>
      </c>
      <c r="G90" s="106" t="n"/>
      <c r="H90" s="106" t="n"/>
      <c r="I90" s="8" t="inlineStr">
        <is>
          <t>Ready</t>
        </is>
      </c>
      <c r="J90" s="97">
        <f>IF(COUNTIF('Rates &amp; Source Data'!$A$1730:$A$1732,$A90)=0,"",SUMIFS('Rates &amp; Source Data'!$B$1730:$B$1732,'Rates &amp; Source Data'!$A$1730:$A$1732,$A90))</f>
        <v/>
      </c>
      <c r="K90" s="97" t="n">
        <v>129331.1741125043</v>
      </c>
      <c r="L90" s="107" t="n">
        <v>129103.3098111307</v>
      </c>
    </row>
    <row r="91">
      <c r="A91" s="2" t="n">
        <v>8000002963</v>
      </c>
      <c r="B91" s="8">
        <f>_xlfn.XLOOKUP(A91,'Budget FY26-28'!A:A,'Site Register'!M:M)</f>
        <v/>
      </c>
      <c r="C91" s="8" t="inlineStr">
        <is>
          <t>kWh</t>
        </is>
      </c>
      <c r="D91" s="95" t="n">
        <v>122988.745</v>
      </c>
      <c r="E91" s="105">
        <f>$D91*SUMIFS('Rates &amp; Source Data'!$B$1466:$B$1468,'Rates &amp; Source Data'!$A$1466:$A$1468,$A91)</f>
        <v/>
      </c>
      <c r="F91" s="105">
        <f>$D91*SUMIFS('Rates &amp; Source Data'!$C$1466:$C$1468,'Rates &amp; Source Data'!$A$1466:$A$1468,$A91)</f>
        <v/>
      </c>
      <c r="G91" s="106" t="n"/>
      <c r="H91" s="106" t="n"/>
      <c r="I91" s="8" t="inlineStr">
        <is>
          <t>Ready</t>
        </is>
      </c>
      <c r="J91" s="97">
        <f>IF(COUNTIF('Rates &amp; Source Data'!$A$1730:$A$1732,$A91)=0,"",SUMIFS('Rates &amp; Source Data'!$B$1730:$B$1732,'Rates &amp; Source Data'!$A$1730:$A$1732,$A91))</f>
        <v/>
      </c>
      <c r="K91" s="97" t="n">
        <v>35481.05047764038</v>
      </c>
      <c r="L91" s="107" t="n">
        <v>35418.53759291191</v>
      </c>
    </row>
    <row r="92">
      <c r="A92" s="2" t="n">
        <v>8000326927</v>
      </c>
      <c r="B92" s="8">
        <f>_xlfn.XLOOKUP(A92,'Budget FY26-28'!A:A,'Site Register'!M:M)</f>
        <v/>
      </c>
      <c r="C92" s="8" t="inlineStr">
        <is>
          <t>kWh</t>
        </is>
      </c>
      <c r="D92" s="95" t="n">
        <v>489994.031</v>
      </c>
      <c r="E92" s="105">
        <f>$D92*SUMIFS('Rates &amp; Source Data'!$B$1466:$B$1468,'Rates &amp; Source Data'!$A$1466:$A$1468,$A92)</f>
        <v/>
      </c>
      <c r="F92" s="105">
        <f>$D92*SUMIFS('Rates &amp; Source Data'!$C$1466:$C$1468,'Rates &amp; Source Data'!$A$1466:$A$1468,$A92)</f>
        <v/>
      </c>
      <c r="G92" s="106" t="n"/>
      <c r="H92" s="106" t="n"/>
      <c r="I92" s="8" t="inlineStr">
        <is>
          <t>Ready</t>
        </is>
      </c>
      <c r="J92" s="97">
        <f>IF(COUNTIF('Rates &amp; Source Data'!$A$1730:$A$1732,$A92)=0,"",SUMIFS('Rates &amp; Source Data'!$B$1730:$B$1732,'Rates &amp; Source Data'!$A$1730:$A$1732,$A92))</f>
        <v/>
      </c>
      <c r="K92" s="97" t="n">
        <v>141358.4872961626</v>
      </c>
      <c r="L92" s="107" t="n">
        <v>141109.432471044</v>
      </c>
    </row>
    <row r="93">
      <c r="A93" s="2" t="n">
        <v>6001295311</v>
      </c>
      <c r="B93" s="8">
        <f>_xlfn.XLOOKUP(A93,'Budget FY26-28'!A:A,'Site Register'!M:M)</f>
        <v/>
      </c>
      <c r="C93" s="8" t="inlineStr">
        <is>
          <t>kWh</t>
        </is>
      </c>
      <c r="D93" s="95" t="n">
        <v>22391</v>
      </c>
      <c r="E93" s="105">
        <f>IFERROR(IF(SUMIFS('Rates &amp; Source Data'!$BM$106:$BM$156,'Rates &amp; Source Data'!$C$106:$C$156,$A93,'Rates &amp; Source Data'!$A$106:$A$156,$B93)&lt;&gt;0,SUMIFS('Rates &amp; Source Data'!$BM$106:$BM$156,'Rates &amp; Source Data'!$C$106:$C$156,$A93,'Rates &amp; Source Data'!$A$106:$A$156,$B93),$K93),$K93)</f>
        <v/>
      </c>
      <c r="F93" s="105">
        <f>E93</f>
        <v/>
      </c>
      <c r="G93" s="106" t="n">
        <v>0.2309423591576973</v>
      </c>
      <c r="H93" s="106" t="n">
        <v>0.2309423591576973</v>
      </c>
      <c r="I93" s="8" t="inlineStr">
        <is>
          <t>Ready</t>
        </is>
      </c>
      <c r="J93" s="97" t="n">
        <v>6801.705767999999</v>
      </c>
      <c r="K93" s="97" t="n">
        <v>5171.0303639</v>
      </c>
      <c r="L93" s="107" t="n">
        <v>5171.0303639</v>
      </c>
    </row>
    <row r="94">
      <c r="A94" s="2" t="n">
        <v>6001311036</v>
      </c>
      <c r="B94" s="8">
        <f>_xlfn.XLOOKUP(A94,'Budget FY26-28'!A:A,'Site Register'!M:M)</f>
        <v/>
      </c>
      <c r="C94" s="8" t="inlineStr">
        <is>
          <t>kWh</t>
        </is>
      </c>
      <c r="D94" s="95" t="n">
        <v>1016001.512</v>
      </c>
      <c r="E94" s="105">
        <f>SUMIFS('Rates &amp; Source Data'!$AO$33:$AO$100,'Rates &amp; Source Data'!$A$33:$A$100,$A94)</f>
        <v/>
      </c>
      <c r="F94" s="105">
        <f>SUMIFS('Rates &amp; Source Data'!$AR$33:$AR$100,'Rates &amp; Source Data'!$A$33:$A$100,$A94)</f>
        <v/>
      </c>
      <c r="G94" s="106" t="n">
        <v>0.09510660693933863</v>
      </c>
      <c r="H94" s="106" t="n">
        <v>0.09609845678724581</v>
      </c>
      <c r="I94" s="8" t="inlineStr">
        <is>
          <t>Ready</t>
        </is>
      </c>
      <c r="J94" s="97" t="n">
        <v>208427.113681881</v>
      </c>
      <c r="K94" s="97" t="n">
        <v>96628.45645155775</v>
      </c>
      <c r="L94" s="107" t="n">
        <v>97636.17739670842</v>
      </c>
    </row>
    <row r="95">
      <c r="A95" s="2" t="n">
        <v>6001399332</v>
      </c>
      <c r="B95" s="8">
        <f>_xlfn.XLOOKUP(A95,'Budget FY26-28'!A:A,'Site Register'!M:M)</f>
        <v/>
      </c>
      <c r="C95" s="8" t="inlineStr">
        <is>
          <t>kWh</t>
        </is>
      </c>
      <c r="D95" s="95" t="n">
        <v>58945</v>
      </c>
      <c r="E95" s="105">
        <f>IFERROR(IF(SUMIFS('Rates &amp; Source Data'!$BM$106:$BM$156,'Rates &amp; Source Data'!$C$106:$C$156,$A95,'Rates &amp; Source Data'!$A$106:$A$156,$B95)&lt;&gt;0,SUMIFS('Rates &amp; Source Data'!$BM$106:$BM$156,'Rates &amp; Source Data'!$C$106:$C$156,$A95,'Rates &amp; Source Data'!$A$106:$A$156,$B95),$K95),$K95)</f>
        <v/>
      </c>
      <c r="F95" s="105">
        <f>E95</f>
        <v/>
      </c>
      <c r="G95" s="106" t="n">
        <v>0.2303805759182288</v>
      </c>
      <c r="H95" s="106" t="n">
        <v>0.2303805759182288</v>
      </c>
      <c r="I95" s="8" t="inlineStr">
        <is>
          <t>Ready</t>
        </is>
      </c>
      <c r="J95" s="97" t="n">
        <v>17944.25831</v>
      </c>
      <c r="K95" s="97" t="n">
        <v>13579.7830475</v>
      </c>
      <c r="L95" s="107" t="n">
        <v>13579.7830475</v>
      </c>
    </row>
    <row r="96">
      <c r="A96" s="2" t="n">
        <v>6103034554</v>
      </c>
      <c r="B96" s="8">
        <f>_xlfn.XLOOKUP(A96,'Budget FY26-28'!A:A,'Site Register'!M:M)</f>
        <v/>
      </c>
      <c r="C96" s="8" t="inlineStr">
        <is>
          <t>kWh</t>
        </is>
      </c>
      <c r="D96" s="95" t="n">
        <v>30794</v>
      </c>
      <c r="E96" s="105">
        <f>IFERROR(IF(SUMIFS('Rates &amp; Source Data'!$BM$106:$BM$156,'Rates &amp; Source Data'!$C$106:$C$156,$A96,'Rates &amp; Source Data'!$A$106:$A$156,$B96)&lt;&gt;0,SUMIFS('Rates &amp; Source Data'!$BM$106:$BM$156,'Rates &amp; Source Data'!$C$106:$C$156,$A96,'Rates &amp; Source Data'!$A$106:$A$156,$B96),$K96),$K96)</f>
        <v/>
      </c>
      <c r="F96" s="105">
        <f>E96</f>
        <v/>
      </c>
      <c r="G96" s="106" t="n">
        <v>0.205342185717997</v>
      </c>
      <c r="H96" s="106" t="n">
        <v>0.205342185717997</v>
      </c>
      <c r="I96" s="8" t="inlineStr">
        <is>
          <t>Ready</t>
        </is>
      </c>
      <c r="J96" s="97" t="n">
        <v>8186.045648</v>
      </c>
      <c r="K96" s="97" t="n">
        <v>6323.307266999999</v>
      </c>
      <c r="L96" s="107" t="n">
        <v>6323.307266999999</v>
      </c>
    </row>
    <row r="97">
      <c r="A97" s="2" t="n">
        <v>6103034564</v>
      </c>
      <c r="B97" s="8">
        <f>_xlfn.XLOOKUP(A97,'Budget FY26-28'!A:A,'Site Register'!M:M)</f>
        <v/>
      </c>
      <c r="C97" s="8" t="inlineStr">
        <is>
          <t>kWh</t>
        </is>
      </c>
      <c r="D97" s="95" t="n">
        <v>37745</v>
      </c>
      <c r="E97" s="105">
        <f>IFERROR(IF(SUMIFS('Rates &amp; Source Data'!$BM$106:$BM$156,'Rates &amp; Source Data'!$C$106:$C$156,$A97,'Rates &amp; Source Data'!$A$106:$A$156,$B97)&lt;&gt;0,SUMIFS('Rates &amp; Source Data'!$BM$106:$BM$156,'Rates &amp; Source Data'!$C$106:$C$156,$A97,'Rates &amp; Source Data'!$A$106:$A$156,$B97),$K97),$K97)</f>
        <v/>
      </c>
      <c r="F97" s="105">
        <f>E97</f>
        <v/>
      </c>
      <c r="G97" s="106" t="n">
        <v>0.2027751892965956</v>
      </c>
      <c r="H97" s="106" t="n">
        <v>0.2027751892965956</v>
      </c>
      <c r="I97" s="8" t="inlineStr">
        <is>
          <t>Ready</t>
        </is>
      </c>
      <c r="J97" s="97" t="n">
        <v>9921.786808999999</v>
      </c>
      <c r="K97" s="97" t="n">
        <v>7653.74952</v>
      </c>
      <c r="L97" s="107" t="n">
        <v>7653.74952</v>
      </c>
    </row>
    <row r="98">
      <c r="A98" s="2" t="n">
        <v>6103034565</v>
      </c>
      <c r="B98" s="8">
        <f>_xlfn.XLOOKUP(A98,'Budget FY26-28'!A:A,'Site Register'!M:M)</f>
        <v/>
      </c>
      <c r="C98" s="8" t="inlineStr">
        <is>
          <t>kWh</t>
        </is>
      </c>
      <c r="D98" s="95" t="n">
        <v>56975</v>
      </c>
      <c r="E98" s="105">
        <f>IFERROR(IF(SUMIFS('Rates &amp; Source Data'!$BM$106:$BM$156,'Rates &amp; Source Data'!$C$106:$C$156,$A98,'Rates &amp; Source Data'!$A$106:$A$156,$B98)&lt;&gt;0,SUMIFS('Rates &amp; Source Data'!$BM$106:$BM$156,'Rates &amp; Source Data'!$C$106:$C$156,$A98,'Rates &amp; Source Data'!$A$106:$A$156,$B98),$K98),$K98)</f>
        <v/>
      </c>
      <c r="F98" s="105">
        <f>E98</f>
        <v/>
      </c>
      <c r="G98" s="106" t="n">
        <v>0.1989368882843352</v>
      </c>
      <c r="H98" s="106" t="n">
        <v>0.1989368882843352</v>
      </c>
      <c r="I98" s="8" t="inlineStr">
        <is>
          <t>Ready</t>
        </is>
      </c>
      <c r="J98" s="97" t="n">
        <v>14723.729339</v>
      </c>
      <c r="K98" s="97" t="n">
        <v>11334.42921</v>
      </c>
      <c r="L98" s="107" t="n">
        <v>11334.42921</v>
      </c>
    </row>
    <row r="99">
      <c r="A99" s="2" t="n">
        <v>6103066712</v>
      </c>
      <c r="B99" s="8">
        <f>_xlfn.XLOOKUP(A99,'Budget FY26-28'!A:A,'Site Register'!M:M)</f>
        <v/>
      </c>
      <c r="C99" s="8" t="inlineStr">
        <is>
          <t>kWh</t>
        </is>
      </c>
      <c r="D99" s="95" t="n">
        <v>376</v>
      </c>
      <c r="E99" s="105">
        <f>IFERROR(IF(SUMIFS('Rates &amp; Source Data'!$BM$106:$BM$156,'Rates &amp; Source Data'!$C$106:$C$156,$A99,'Rates &amp; Source Data'!$A$106:$A$156,$B99)&lt;&gt;0,SUMIFS('Rates &amp; Source Data'!$BM$106:$BM$156,'Rates &amp; Source Data'!$C$106:$C$156,$A99,'Rates &amp; Source Data'!$A$106:$A$156,$B99),$K99),$K99)</f>
        <v/>
      </c>
      <c r="F99" s="105">
        <f>E99</f>
        <v/>
      </c>
      <c r="G99" s="106" t="n">
        <v>1.333007481382979</v>
      </c>
      <c r="H99" s="106" t="n">
        <v>1.333007481382979</v>
      </c>
      <c r="I99" s="8" t="inlineStr">
        <is>
          <t>Ready</t>
        </is>
      </c>
      <c r="J99" s="97" t="n">
        <v>590.33645</v>
      </c>
      <c r="K99" s="97" t="n">
        <v>501.210813</v>
      </c>
      <c r="L99" s="107" t="n">
        <v>501.210813</v>
      </c>
    </row>
    <row r="100">
      <c r="A100" s="2" t="n">
        <v>6203155353</v>
      </c>
      <c r="B100" s="8">
        <f>_xlfn.XLOOKUP(A100,'Budget FY26-28'!A:A,'Site Register'!M:M)</f>
        <v/>
      </c>
      <c r="C100" s="8" t="inlineStr">
        <is>
          <t>kWh</t>
        </is>
      </c>
      <c r="D100" s="95" t="n">
        <v>27942</v>
      </c>
      <c r="E100" s="105">
        <f>IFERROR(IF(SUMIFS('Rates &amp; Source Data'!$BM$106:$BM$156,'Rates &amp; Source Data'!$C$106:$C$156,$A100,'Rates &amp; Source Data'!$A$106:$A$156,$B100)&lt;&gt;0,SUMIFS('Rates &amp; Source Data'!$BM$106:$BM$156,'Rates &amp; Source Data'!$C$106:$C$156,$A100,'Rates &amp; Source Data'!$A$106:$A$156,$B100),$K100),$K100)</f>
        <v/>
      </c>
      <c r="F100" s="105">
        <f>E100</f>
        <v/>
      </c>
      <c r="G100" s="106" t="n">
        <v>0.2285494762901726</v>
      </c>
      <c r="H100" s="106" t="n">
        <v>0.2285494762901726</v>
      </c>
      <c r="I100" s="8" t="inlineStr">
        <is>
          <t>Ready</t>
        </is>
      </c>
      <c r="J100" s="97" t="n">
        <v>8233.865769800001</v>
      </c>
      <c r="K100" s="97" t="n">
        <v>6386.129466500001</v>
      </c>
      <c r="L100" s="107" t="n">
        <v>6386.129466500001</v>
      </c>
    </row>
    <row r="101">
      <c r="A101" s="2" t="n">
        <v>6203245874</v>
      </c>
      <c r="B101" s="8">
        <f>_xlfn.XLOOKUP(A101,'Budget FY26-28'!A:A,'Site Register'!M:M)</f>
        <v/>
      </c>
      <c r="C101" s="8" t="inlineStr">
        <is>
          <t>kWh</t>
        </is>
      </c>
      <c r="D101" s="95" t="n">
        <v>11909</v>
      </c>
      <c r="E101" s="105">
        <f>IFERROR(IF(SUMIFS('Rates &amp; Source Data'!$BM$106:$BM$156,'Rates &amp; Source Data'!$C$106:$C$156,$A101,'Rates &amp; Source Data'!$A$106:$A$156,$B101)&lt;&gt;0,SUMIFS('Rates &amp; Source Data'!$BM$106:$BM$156,'Rates &amp; Source Data'!$C$106:$C$156,$A101,'Rates &amp; Source Data'!$A$106:$A$156,$B101),$K101),$K101)</f>
        <v/>
      </c>
      <c r="F101" s="105">
        <f>E101</f>
        <v/>
      </c>
      <c r="G101" s="106" t="n">
        <v>0.2516215358552356</v>
      </c>
      <c r="H101" s="106" t="n">
        <v>0.2516215358552356</v>
      </c>
      <c r="I101" s="8" t="inlineStr">
        <is>
          <t>Ready</t>
        </is>
      </c>
      <c r="J101" s="97" t="n">
        <v>3822.4275056</v>
      </c>
      <c r="K101" s="97" t="n">
        <v>2996.5608705</v>
      </c>
      <c r="L101" s="107" t="n">
        <v>2996.5608705</v>
      </c>
    </row>
    <row r="102">
      <c r="A102" s="2" t="n">
        <v>6203409239</v>
      </c>
      <c r="B102" s="8">
        <f>_xlfn.XLOOKUP(A102,'Budget FY26-28'!A:A,'Site Register'!M:M)</f>
        <v/>
      </c>
      <c r="C102" s="8" t="inlineStr">
        <is>
          <t>kWh</t>
        </is>
      </c>
      <c r="D102" s="95" t="n">
        <v>3824</v>
      </c>
      <c r="E102" s="105">
        <f>IFERROR(IF(SUMIFS('Rates &amp; Source Data'!$BM$106:$BM$156,'Rates &amp; Source Data'!$C$106:$C$156,$A102,'Rates &amp; Source Data'!$A$106:$A$156,$B102)&lt;&gt;0,SUMIFS('Rates &amp; Source Data'!$BM$106:$BM$156,'Rates &amp; Source Data'!$C$106:$C$156,$A102,'Rates &amp; Source Data'!$A$106:$A$156,$B102),$K102),$K102)</f>
        <v/>
      </c>
      <c r="F102" s="105">
        <f>E102</f>
        <v/>
      </c>
      <c r="G102" s="106" t="n">
        <v>0.3528468826621339</v>
      </c>
      <c r="H102" s="106" t="n">
        <v>0.3528468826621339</v>
      </c>
      <c r="I102" s="8" t="inlineStr">
        <is>
          <t>Ready</t>
        </is>
      </c>
      <c r="J102" s="97" t="n">
        <v>1689.27762652</v>
      </c>
      <c r="K102" s="97" t="n">
        <v>1349.2864793</v>
      </c>
      <c r="L102" s="107" t="n">
        <v>1349.2864793</v>
      </c>
    </row>
    <row r="103">
      <c r="A103" s="2" t="n">
        <v>6203409240</v>
      </c>
      <c r="B103" s="8">
        <f>_xlfn.XLOOKUP(A103,'Budget FY26-28'!A:A,'Site Register'!M:M)</f>
        <v/>
      </c>
      <c r="C103" s="8" t="inlineStr">
        <is>
          <t>kWh</t>
        </is>
      </c>
      <c r="D103" s="95" t="n">
        <v>21695</v>
      </c>
      <c r="E103" s="105">
        <f>IFERROR(IF(SUMIFS('Rates &amp; Source Data'!$BM$106:$BM$156,'Rates &amp; Source Data'!$C$106:$C$156,$A103,'Rates &amp; Source Data'!$A$106:$A$156,$B103)&lt;&gt;0,SUMIFS('Rates &amp; Source Data'!$BM$106:$BM$156,'Rates &amp; Source Data'!$C$106:$C$156,$A103,'Rates &amp; Source Data'!$A$106:$A$156,$B103),$K103),$K103)</f>
        <v/>
      </c>
      <c r="F103" s="105">
        <f>E103</f>
        <v/>
      </c>
      <c r="G103" s="106" t="n">
        <v>0.2334841531458862</v>
      </c>
      <c r="H103" s="106" t="n">
        <v>0.2334841531458862</v>
      </c>
      <c r="I103" s="8" t="inlineStr">
        <is>
          <t>Ready</t>
        </is>
      </c>
      <c r="J103" s="97" t="n">
        <v>6515.019962</v>
      </c>
      <c r="K103" s="97" t="n">
        <v>5065.438702500001</v>
      </c>
      <c r="L103" s="107" t="n">
        <v>5065.438702500001</v>
      </c>
    </row>
    <row r="104">
      <c r="A104" s="2" t="n">
        <v>6203424291</v>
      </c>
      <c r="B104" s="8">
        <f>_xlfn.XLOOKUP(A104,'Budget FY26-28'!A:A,'Site Register'!M:M)</f>
        <v/>
      </c>
      <c r="C104" s="8" t="inlineStr">
        <is>
          <t>kWh</t>
        </is>
      </c>
      <c r="D104" s="95" t="n">
        <v>5946</v>
      </c>
      <c r="E104" s="105">
        <f>IFERROR(IF(SUMIFS('Rates &amp; Source Data'!$BM$106:$BM$156,'Rates &amp; Source Data'!$C$106:$C$156,$A104,'Rates &amp; Source Data'!$A$106:$A$156,$B104)&lt;&gt;0,SUMIFS('Rates &amp; Source Data'!$BM$106:$BM$156,'Rates &amp; Source Data'!$C$106:$C$156,$A104,'Rates &amp; Source Data'!$A$106:$A$156,$B104),$K104),$K104)</f>
        <v/>
      </c>
      <c r="F104" s="105">
        <f>E104</f>
        <v/>
      </c>
      <c r="G104" s="106" t="n">
        <v>0.2919460333837874</v>
      </c>
      <c r="H104" s="106" t="n">
        <v>0.2919460333837874</v>
      </c>
      <c r="I104" s="8" t="inlineStr">
        <is>
          <t>Ready</t>
        </is>
      </c>
      <c r="J104" s="97" t="n">
        <v>2181.7235594</v>
      </c>
      <c r="K104" s="97" t="n">
        <v>1735.9111145</v>
      </c>
      <c r="L104" s="107" t="n">
        <v>1735.9111145</v>
      </c>
    </row>
    <row r="105">
      <c r="A105" s="2" t="n">
        <v>6203424292</v>
      </c>
      <c r="B105" s="8">
        <f>_xlfn.XLOOKUP(A105,'Budget FY26-28'!A:A,'Site Register'!M:M)</f>
        <v/>
      </c>
      <c r="C105" s="8" t="inlineStr">
        <is>
          <t>kWh</t>
        </is>
      </c>
      <c r="D105" s="95" t="n">
        <v>8591</v>
      </c>
      <c r="E105" s="105">
        <f>IFERROR(IF(SUMIFS('Rates &amp; Source Data'!$BM$106:$BM$156,'Rates &amp; Source Data'!$C$106:$C$156,$A105,'Rates &amp; Source Data'!$A$106:$A$156,$B105)&lt;&gt;0,SUMIFS('Rates &amp; Source Data'!$BM$106:$BM$156,'Rates &amp; Source Data'!$C$106:$C$156,$A105,'Rates &amp; Source Data'!$A$106:$A$156,$B105),$K105),$K105)</f>
        <v/>
      </c>
      <c r="F105" s="105">
        <f>E105</f>
        <v/>
      </c>
      <c r="G105" s="106" t="n">
        <v>0.2671511878128274</v>
      </c>
      <c r="H105" s="106" t="n">
        <v>0.2671511878128274</v>
      </c>
      <c r="I105" s="8" t="inlineStr">
        <is>
          <t>Ready</t>
        </is>
      </c>
      <c r="J105" s="97" t="n">
        <v>2909.4884324</v>
      </c>
      <c r="K105" s="97" t="n">
        <v>2295.0958545</v>
      </c>
      <c r="L105" s="107" t="n">
        <v>2295.0958545</v>
      </c>
    </row>
    <row r="106">
      <c r="A106" s="2" t="n">
        <v>6203606598</v>
      </c>
      <c r="B106" s="8">
        <f>_xlfn.XLOOKUP(A106,'Budget FY26-28'!A:A,'Site Register'!M:M)</f>
        <v/>
      </c>
      <c r="C106" s="8" t="inlineStr">
        <is>
          <t>kWh</t>
        </is>
      </c>
      <c r="D106" s="95" t="n">
        <v>33744</v>
      </c>
      <c r="E106" s="105">
        <f>IFERROR(IF(SUMIFS('Rates &amp; Source Data'!$BM$106:$BM$156,'Rates &amp; Source Data'!$C$106:$C$156,$A106,'Rates &amp; Source Data'!$A$106:$A$156,$B106)&lt;&gt;0,SUMIFS('Rates &amp; Source Data'!$BM$106:$BM$156,'Rates &amp; Source Data'!$C$106:$C$156,$A106,'Rates &amp; Source Data'!$A$106:$A$156,$B106),$K106),$K106)</f>
        <v/>
      </c>
      <c r="F106" s="105">
        <f>E106</f>
        <v/>
      </c>
      <c r="G106" s="106" t="n">
        <v>0.2418140298512328</v>
      </c>
      <c r="H106" s="106" t="n">
        <v>0.2418140298512328</v>
      </c>
      <c r="I106" s="8" t="inlineStr">
        <is>
          <t>Ready</t>
        </is>
      </c>
      <c r="J106" s="97" t="n">
        <v>10636.95774812</v>
      </c>
      <c r="K106" s="97" t="n">
        <v>8159.7726233</v>
      </c>
      <c r="L106" s="107" t="n">
        <v>8159.7726233</v>
      </c>
    </row>
    <row r="107">
      <c r="A107" s="2" t="n">
        <v>6203613570</v>
      </c>
      <c r="B107" s="8">
        <f>_xlfn.XLOOKUP(A107,'Budget FY26-28'!A:A,'Site Register'!M:M)</f>
        <v/>
      </c>
      <c r="C107" s="8" t="inlineStr">
        <is>
          <t>kWh</t>
        </is>
      </c>
      <c r="D107" s="95" t="n">
        <v>2010</v>
      </c>
      <c r="E107" s="105">
        <f>IFERROR(IF(SUMIFS('Rates &amp; Source Data'!$BM$106:$BM$156,'Rates &amp; Source Data'!$C$106:$C$156,$A107,'Rates &amp; Source Data'!$A$106:$A$156,$B107)&lt;&gt;0,SUMIFS('Rates &amp; Source Data'!$BM$106:$BM$156,'Rates &amp; Source Data'!$C$106:$C$156,$A107,'Rates &amp; Source Data'!$A$106:$A$156,$B107),$K107),$K107)</f>
        <v/>
      </c>
      <c r="F107" s="105">
        <f>E107</f>
        <v/>
      </c>
      <c r="G107" s="106" t="n">
        <v>0.4658596987562189</v>
      </c>
      <c r="H107" s="106" t="n">
        <v>0.4658596987562189</v>
      </c>
      <c r="I107" s="8" t="inlineStr">
        <is>
          <t>Ready</t>
        </is>
      </c>
      <c r="J107" s="97" t="n">
        <v>1120.0309</v>
      </c>
      <c r="K107" s="97" t="n">
        <v>936.3779944999999</v>
      </c>
      <c r="L107" s="107" t="n">
        <v>936.3779944999999</v>
      </c>
    </row>
    <row r="108">
      <c r="A108" s="2" t="n">
        <v>6203616394</v>
      </c>
      <c r="B108" s="8">
        <f>_xlfn.XLOOKUP(A108,'Budget FY26-28'!A:A,'Site Register'!M:M)</f>
        <v/>
      </c>
      <c r="C108" s="8" t="inlineStr">
        <is>
          <t>kWh</t>
        </is>
      </c>
      <c r="D108" s="95" t="n">
        <v>4760</v>
      </c>
      <c r="E108" s="105">
        <f>IFERROR(IF(SUMIFS('Rates &amp; Source Data'!$BM$106:$BM$156,'Rates &amp; Source Data'!$C$106:$C$156,$A108,'Rates &amp; Source Data'!$A$106:$A$156,$B108)&lt;&gt;0,SUMIFS('Rates &amp; Source Data'!$BM$106:$BM$156,'Rates &amp; Source Data'!$C$106:$C$156,$A108,'Rates &amp; Source Data'!$A$106:$A$156,$B108),$K108),$K108)</f>
        <v/>
      </c>
      <c r="F108" s="105">
        <f>E108</f>
        <v/>
      </c>
      <c r="G108" s="106" t="n">
        <v>0.3282230660714286</v>
      </c>
      <c r="H108" s="106" t="n">
        <v>0.3282230660714286</v>
      </c>
      <c r="I108" s="8" t="inlineStr">
        <is>
          <t>Ready</t>
        </is>
      </c>
      <c r="J108" s="97" t="n">
        <v>1969.1916838</v>
      </c>
      <c r="K108" s="97" t="n">
        <v>1562.3417945</v>
      </c>
      <c r="L108" s="107" t="n">
        <v>1562.3417945</v>
      </c>
    </row>
    <row r="109">
      <c r="A109" s="2" t="n">
        <v>6203723433</v>
      </c>
      <c r="B109" s="8">
        <f>_xlfn.XLOOKUP(A109,'Budget FY26-28'!A:A,'Site Register'!M:M)</f>
        <v/>
      </c>
      <c r="C109" s="8" t="inlineStr">
        <is>
          <t>kWh</t>
        </is>
      </c>
      <c r="D109" s="95" t="n">
        <v>1966</v>
      </c>
      <c r="E109" s="105">
        <f>IFERROR(IF(SUMIFS('Rates &amp; Source Data'!$BM$106:$BM$156,'Rates &amp; Source Data'!$C$106:$C$156,$A109,'Rates &amp; Source Data'!$A$106:$A$156,$B109)&lt;&gt;0,SUMIFS('Rates &amp; Source Data'!$BM$106:$BM$156,'Rates &amp; Source Data'!$C$106:$C$156,$A109,'Rates &amp; Source Data'!$A$106:$A$156,$B109),$K109),$K109)</f>
        <v/>
      </c>
      <c r="F109" s="105">
        <f>E109</f>
        <v/>
      </c>
      <c r="G109" s="106" t="n">
        <v>0.4711915430824008</v>
      </c>
      <c r="H109" s="106" t="n">
        <v>0.4711915430824008</v>
      </c>
      <c r="I109" s="8" t="inlineStr">
        <is>
          <t>Ready</t>
        </is>
      </c>
      <c r="J109" s="97" t="n">
        <v>1133.63626068</v>
      </c>
      <c r="K109" s="97" t="n">
        <v>926.3625737</v>
      </c>
      <c r="L109" s="107" t="n">
        <v>926.3625737</v>
      </c>
    </row>
    <row r="110">
      <c r="A110" s="2" t="n">
        <v>6203753676</v>
      </c>
      <c r="B110" s="8">
        <f>_xlfn.XLOOKUP(A110,'Budget FY26-28'!A:A,'Site Register'!M:M)</f>
        <v/>
      </c>
      <c r="C110" s="8" t="inlineStr">
        <is>
          <t>kWh</t>
        </is>
      </c>
      <c r="D110" s="95" t="n">
        <v>298507.32</v>
      </c>
      <c r="E110" s="105">
        <f>SUMIFS('Rates &amp; Source Data'!$AO$33:$AO$100,'Rates &amp; Source Data'!$A$33:$A$100,$A110)</f>
        <v/>
      </c>
      <c r="F110" s="105">
        <f>SUMIFS('Rates &amp; Source Data'!$AR$33:$AR$100,'Rates &amp; Source Data'!$A$33:$A$100,$A110)</f>
        <v/>
      </c>
      <c r="G110" s="106" t="n">
        <v>0.09588480998103524</v>
      </c>
      <c r="H110" s="106" t="n">
        <v>0.09615023690482755</v>
      </c>
      <c r="I110" s="8" t="inlineStr">
        <is>
          <t>Ready</t>
        </is>
      </c>
      <c r="J110" s="97" t="n">
        <v>68114.32841770223</v>
      </c>
      <c r="K110" s="97" t="n">
        <v>28622.31765614808</v>
      </c>
      <c r="L110" s="107" t="n">
        <v>28701.54953582517</v>
      </c>
    </row>
    <row r="111">
      <c r="A111" s="2" t="n">
        <v>6203834591</v>
      </c>
      <c r="B111" s="8">
        <f>_xlfn.XLOOKUP(A111,'Budget FY26-28'!A:A,'Site Register'!M:M)</f>
        <v/>
      </c>
      <c r="C111" s="8" t="inlineStr">
        <is>
          <t>kWh</t>
        </is>
      </c>
      <c r="D111" s="95" t="n">
        <v>14148</v>
      </c>
      <c r="E111" s="105">
        <f>IFERROR(IF(SUMIFS('Rates &amp; Source Data'!$BM$106:$BM$156,'Rates &amp; Source Data'!$C$106:$C$156,$A111,'Rates &amp; Source Data'!$A$106:$A$156,$B111)&lt;&gt;0,SUMIFS('Rates &amp; Source Data'!$BM$106:$BM$156,'Rates &amp; Source Data'!$C$106:$C$156,$A111,'Rates &amp; Source Data'!$A$106:$A$156,$B111),$K111),$K111)</f>
        <v/>
      </c>
      <c r="F111" s="105">
        <f>E111</f>
        <v/>
      </c>
      <c r="G111" s="106" t="n">
        <v>0.2614693522830081</v>
      </c>
      <c r="H111" s="106" t="n">
        <v>0.2614693522830081</v>
      </c>
      <c r="I111" s="8" t="inlineStr">
        <is>
          <t>Ready</t>
        </is>
      </c>
      <c r="J111" s="97" t="n">
        <v>4776.70575404</v>
      </c>
      <c r="K111" s="97" t="n">
        <v>3699.268396099999</v>
      </c>
      <c r="L111" s="107" t="n">
        <v>3699.268396099999</v>
      </c>
    </row>
    <row r="112">
      <c r="A112" s="2" t="n">
        <v>6203842158</v>
      </c>
      <c r="B112" s="8">
        <f>_xlfn.XLOOKUP(A112,'Budget FY26-28'!A:A,'Site Register'!M:M)</f>
        <v/>
      </c>
      <c r="C112" s="8" t="inlineStr">
        <is>
          <t>kWh</t>
        </is>
      </c>
      <c r="D112" s="95" t="n">
        <v>6286</v>
      </c>
      <c r="E112" s="105">
        <f>IFERROR(IF(SUMIFS('Rates &amp; Source Data'!$BM$106:$BM$156,'Rates &amp; Source Data'!$C$106:$C$156,$A112,'Rates &amp; Source Data'!$A$106:$A$156,$B112)&lt;&gt;0,SUMIFS('Rates &amp; Source Data'!$BM$106:$BM$156,'Rates &amp; Source Data'!$C$106:$C$156,$A112,'Rates &amp; Source Data'!$A$106:$A$156,$B112),$K112),$K112)</f>
        <v/>
      </c>
      <c r="F112" s="105">
        <f>E112</f>
        <v/>
      </c>
      <c r="G112" s="106" t="n">
        <v>0.3038012723035316</v>
      </c>
      <c r="H112" s="106" t="n">
        <v>0.3038012723035316</v>
      </c>
      <c r="I112" s="8" t="inlineStr">
        <is>
          <t>Ready</t>
        </is>
      </c>
      <c r="J112" s="97" t="n">
        <v>2425.54729428</v>
      </c>
      <c r="K112" s="97" t="n">
        <v>1909.6947977</v>
      </c>
      <c r="L112" s="107" t="n">
        <v>1909.6947977</v>
      </c>
    </row>
    <row r="113">
      <c r="A113" s="2" t="n">
        <v>6204134328</v>
      </c>
      <c r="B113" s="8">
        <f>_xlfn.XLOOKUP(A113,'Budget FY26-28'!A:A,'Site Register'!M:M)</f>
        <v/>
      </c>
      <c r="C113" s="8" t="inlineStr">
        <is>
          <t>kWh</t>
        </is>
      </c>
      <c r="D113" s="95" t="n">
        <v>475562.1800000001</v>
      </c>
      <c r="E113" s="105">
        <f>SUMIFS('Rates &amp; Source Data'!$AO$33:$AO$100,'Rates &amp; Source Data'!$A$33:$A$100,$A113)</f>
        <v/>
      </c>
      <c r="F113" s="105">
        <f>SUMIFS('Rates &amp; Source Data'!$AR$33:$AR$100,'Rates &amp; Source Data'!$A$33:$A$100,$A113)</f>
        <v/>
      </c>
      <c r="G113" s="106" t="n">
        <v>0.1000335878791555</v>
      </c>
      <c r="H113" s="106" t="n">
        <v>0.1015878458815641</v>
      </c>
      <c r="I113" s="8" t="inlineStr">
        <is>
          <t>Ready</t>
        </is>
      </c>
      <c r="J113" s="97" t="n">
        <v>121845.4720432237</v>
      </c>
      <c r="K113" s="97" t="n">
        <v>47572.19112503275</v>
      </c>
      <c r="L113" s="107" t="n">
        <v>48311.33744894065</v>
      </c>
    </row>
    <row r="114">
      <c r="A114" s="2" t="n">
        <v>6305487004</v>
      </c>
      <c r="B114" s="8">
        <f>_xlfn.XLOOKUP(A114,'Budget FY26-28'!A:A,'Site Register'!M:M)</f>
        <v/>
      </c>
      <c r="C114" s="8" t="inlineStr">
        <is>
          <t>kWh</t>
        </is>
      </c>
      <c r="D114" s="95" t="n">
        <v>11315</v>
      </c>
      <c r="E114" s="105">
        <f>IFERROR(IF(SUMIFS('Rates &amp; Source Data'!$BM$106:$BM$156,'Rates &amp; Source Data'!$C$106:$C$156,$A114,'Rates &amp; Source Data'!$A$106:$A$156,$B114)&lt;&gt;0,SUMIFS('Rates &amp; Source Data'!$BM$106:$BM$156,'Rates &amp; Source Data'!$C$106:$C$156,$A114,'Rates &amp; Source Data'!$A$106:$A$156,$B114),$K114),$K114)</f>
        <v/>
      </c>
      <c r="F114" s="105">
        <f>E114</f>
        <v/>
      </c>
      <c r="G114" s="106" t="n">
        <v>0.2682397645161291</v>
      </c>
      <c r="H114" s="106" t="n">
        <v>0.2682397645161291</v>
      </c>
      <c r="I114" s="8" t="inlineStr">
        <is>
          <t>Ready</t>
        </is>
      </c>
      <c r="J114" s="97" t="n">
        <v>4248.03863</v>
      </c>
      <c r="K114" s="97" t="n">
        <v>3035.1329355</v>
      </c>
      <c r="L114" s="107" t="n">
        <v>3035.1329355</v>
      </c>
    </row>
    <row r="115">
      <c r="A115" s="2" t="n">
        <v>6305812613</v>
      </c>
      <c r="B115" s="8">
        <f>_xlfn.XLOOKUP(A115,'Budget FY26-28'!A:A,'Site Register'!M:M)</f>
        <v/>
      </c>
      <c r="C115" s="8" t="inlineStr">
        <is>
          <t>kWh</t>
        </is>
      </c>
      <c r="D115" s="95" t="n">
        <v>33004</v>
      </c>
      <c r="E115" s="105">
        <f>IFERROR(IF(SUMIFS('Rates &amp; Source Data'!$BM$106:$BM$156,'Rates &amp; Source Data'!$C$106:$C$156,$A115,'Rates &amp; Source Data'!$A$106:$A$156,$B115)&lt;&gt;0,SUMIFS('Rates &amp; Source Data'!$BM$106:$BM$156,'Rates &amp; Source Data'!$C$106:$C$156,$A115,'Rates &amp; Source Data'!$A$106:$A$156,$B115),$K115),$K115)</f>
        <v/>
      </c>
      <c r="F115" s="105">
        <f>E115</f>
        <v/>
      </c>
      <c r="G115" s="106" t="n">
        <v>0.2470445799387953</v>
      </c>
      <c r="H115" s="106" t="n">
        <v>0.2470445799387953</v>
      </c>
      <c r="I115" s="8" t="inlineStr">
        <is>
          <t>Ready</t>
        </is>
      </c>
      <c r="J115" s="97" t="n">
        <v>10717.04735552</v>
      </c>
      <c r="K115" s="97" t="n">
        <v>8153.459316299999</v>
      </c>
      <c r="L115" s="107" t="n">
        <v>8153.459316299999</v>
      </c>
    </row>
    <row r="116">
      <c r="A116" s="2" t="n">
        <v>6305885252</v>
      </c>
      <c r="B116" s="8">
        <f>_xlfn.XLOOKUP(A116,'Budget FY26-28'!A:A,'Site Register'!M:M)</f>
        <v/>
      </c>
      <c r="C116" s="8" t="inlineStr">
        <is>
          <t>kWh</t>
        </is>
      </c>
      <c r="D116" s="95" t="n">
        <v>201844</v>
      </c>
      <c r="E116" s="105">
        <f>SUMIFS('Rates &amp; Source Data'!$AO$33:$AO$100,'Rates &amp; Source Data'!$A$33:$A$100,$A116)</f>
        <v/>
      </c>
      <c r="F116" s="105">
        <f>SUMIFS('Rates &amp; Source Data'!$AR$33:$AR$100,'Rates &amp; Source Data'!$A$33:$A$100,$A116)</f>
        <v/>
      </c>
      <c r="G116" s="106" t="n">
        <v>0.1012102004750719</v>
      </c>
      <c r="H116" s="106" t="n">
        <v>0.1030323400407382</v>
      </c>
      <c r="I116" s="8" t="inlineStr">
        <is>
          <t>Ready</t>
        </is>
      </c>
      <c r="J116" s="97">
        <f>IF(COUNTIF('Rates &amp; Source Data'!$A$1737:$A$1738,$A116)=0,"",SUMIFS('Rates &amp; Source Data'!$B$1737:$B$1738,'Rates &amp; Source Data'!$A$1737:$A$1738,$A116))</f>
        <v/>
      </c>
      <c r="K116" s="97" t="n">
        <v>20428.67170469042</v>
      </c>
      <c r="L116" s="107" t="n">
        <v>20796.45964318277</v>
      </c>
    </row>
    <row r="117">
      <c r="A117" s="2" t="n">
        <v>6305920528</v>
      </c>
      <c r="B117" s="8">
        <f>_xlfn.XLOOKUP(A117,'Budget FY26-28'!A:A,'Site Register'!M:M)</f>
        <v/>
      </c>
      <c r="C117" s="8" t="inlineStr">
        <is>
          <t>kWh</t>
        </is>
      </c>
      <c r="D117" s="95" t="n">
        <v>800264.6200000001</v>
      </c>
      <c r="E117" s="105">
        <f>SUMIFS('Rates &amp; Source Data'!$AO$33:$AO$100,'Rates &amp; Source Data'!$A$33:$A$100,$A117)</f>
        <v/>
      </c>
      <c r="F117" s="105">
        <f>SUMIFS('Rates &amp; Source Data'!$AR$33:$AR$100,'Rates &amp; Source Data'!$A$33:$A$100,$A117)</f>
        <v/>
      </c>
      <c r="G117" s="106" t="n">
        <v>0.09912412390322499</v>
      </c>
      <c r="H117" s="106" t="n">
        <v>0.1003789710099322</v>
      </c>
      <c r="I117" s="8" t="inlineStr">
        <is>
          <t>Ready</t>
        </is>
      </c>
      <c r="J117" s="97" t="n">
        <v>206020.1446856023</v>
      </c>
      <c r="K117" s="97" t="n">
        <v>79325.52934824728</v>
      </c>
      <c r="L117" s="107" t="n">
        <v>80329.73909125444</v>
      </c>
    </row>
    <row r="118">
      <c r="A118" s="2" t="n">
        <v>6305983844</v>
      </c>
      <c r="B118" s="8">
        <f>_xlfn.XLOOKUP(A118,'Budget FY26-28'!A:A,'Site Register'!M:M)</f>
        <v/>
      </c>
      <c r="C118" s="8" t="inlineStr">
        <is>
          <t>kWh</t>
        </is>
      </c>
      <c r="D118" s="95" t="n">
        <v>18825</v>
      </c>
      <c r="E118" s="105">
        <f>IFERROR(IF(SUMIFS('Rates &amp; Source Data'!$BM$106:$BM$156,'Rates &amp; Source Data'!$C$106:$C$156,$A118,'Rates &amp; Source Data'!$A$106:$A$156,$B118)&lt;&gt;0,SUMIFS('Rates &amp; Source Data'!$BM$106:$BM$156,'Rates &amp; Source Data'!$C$106:$C$156,$A118,'Rates &amp; Source Data'!$A$106:$A$156,$B118),$K118),$K118)</f>
        <v/>
      </c>
      <c r="F118" s="105">
        <f>E118</f>
        <v/>
      </c>
      <c r="G118" s="106" t="n">
        <v>0.25537300438247</v>
      </c>
      <c r="H118" s="106" t="n">
        <v>0.25537300438247</v>
      </c>
      <c r="I118" s="8" t="inlineStr">
        <is>
          <t>Ready</t>
        </is>
      </c>
      <c r="J118" s="97" t="n">
        <v>6724.85165</v>
      </c>
      <c r="K118" s="97" t="n">
        <v>4807.396807499998</v>
      </c>
      <c r="L118" s="107" t="n">
        <v>4807.396807499998</v>
      </c>
    </row>
    <row r="119">
      <c r="A119" s="2" t="n">
        <v>6306009124</v>
      </c>
      <c r="B119" s="8">
        <f>_xlfn.XLOOKUP(A119,'Budget FY26-28'!A:A,'Site Register'!M:M)</f>
        <v/>
      </c>
      <c r="C119" s="8" t="inlineStr">
        <is>
          <t>kWh</t>
        </is>
      </c>
      <c r="D119" s="95" t="n">
        <v>361392.4600000001</v>
      </c>
      <c r="E119" s="105">
        <f>SUMIFS('Rates &amp; Source Data'!$AO$33:$AO$100,'Rates &amp; Source Data'!$A$33:$A$100,$A119)</f>
        <v/>
      </c>
      <c r="F119" s="105">
        <f>SUMIFS('Rates &amp; Source Data'!$AR$33:$AR$100,'Rates &amp; Source Data'!$A$33:$A$100,$A119)</f>
        <v/>
      </c>
      <c r="G119" s="106" t="n">
        <v>0.09860760281868176</v>
      </c>
      <c r="H119" s="106" t="n">
        <v>0.09971539656568973</v>
      </c>
      <c r="I119" s="8" t="inlineStr">
        <is>
          <t>Ready</t>
        </is>
      </c>
      <c r="J119" s="97" t="n">
        <v>81284.45866544632</v>
      </c>
      <c r="K119" s="97" t="n">
        <v>35636.04415734635</v>
      </c>
      <c r="L119" s="107" t="n">
        <v>36036.39246475017</v>
      </c>
    </row>
    <row r="120">
      <c r="A120" s="2" t="n">
        <v>6407100027</v>
      </c>
      <c r="B120" s="8">
        <f>_xlfn.XLOOKUP(A120,'Budget FY26-28'!A:A,'Site Register'!M:M)</f>
        <v/>
      </c>
      <c r="C120" s="8" t="inlineStr">
        <is>
          <t>kWh</t>
        </is>
      </c>
      <c r="D120" s="95" t="n">
        <v>118037.096</v>
      </c>
      <c r="E120" s="105">
        <f>SUMIFS('Rates &amp; Source Data'!$AO$33:$AO$100,'Rates &amp; Source Data'!$A$33:$A$100,$A120)</f>
        <v/>
      </c>
      <c r="F120" s="105">
        <f>SUMIFS('Rates &amp; Source Data'!$AR$33:$AR$100,'Rates &amp; Source Data'!$A$33:$A$100,$A120)</f>
        <v/>
      </c>
      <c r="G120" s="106" t="n">
        <v>0.09747542004450957</v>
      </c>
      <c r="H120" s="106" t="n">
        <v>0.09762347738925627</v>
      </c>
      <c r="I120" s="8" t="inlineStr">
        <is>
          <t>Ready</t>
        </is>
      </c>
      <c r="J120" s="97" t="n">
        <v>25170.94762045053</v>
      </c>
      <c r="K120" s="97" t="n">
        <v>11505.7155134341</v>
      </c>
      <c r="L120" s="107" t="n">
        <v>11523.19177244947</v>
      </c>
    </row>
    <row r="121">
      <c r="A121" s="2" t="n">
        <v>6407387461</v>
      </c>
      <c r="B121" s="8">
        <f>_xlfn.XLOOKUP(A121,'Budget FY26-28'!A:A,'Site Register'!M:M)</f>
        <v/>
      </c>
      <c r="C121" s="8" t="inlineStr">
        <is>
          <t>kWh</t>
        </is>
      </c>
      <c r="D121" s="95" t="n">
        <v>25187</v>
      </c>
      <c r="E121" s="105">
        <f>IFERROR(IF(SUMIFS('Rates &amp; Source Data'!$BM$106:$BM$156,'Rates &amp; Source Data'!$C$106:$C$156,$A121,'Rates &amp; Source Data'!$A$106:$A$156,$B121)&lt;&gt;0,SUMIFS('Rates &amp; Source Data'!$BM$106:$BM$156,'Rates &amp; Source Data'!$C$106:$C$156,$A121,'Rates &amp; Source Data'!$A$106:$A$156,$B121),$K121),$K121)</f>
        <v/>
      </c>
      <c r="F121" s="105">
        <f>E121</f>
        <v/>
      </c>
      <c r="G121" s="106" t="n">
        <v>0.2194158073450589</v>
      </c>
      <c r="H121" s="106" t="n">
        <v>0.2194158073450589</v>
      </c>
      <c r="I121" s="8" t="inlineStr">
        <is>
          <t>Ready</t>
        </is>
      </c>
      <c r="J121" s="97" t="n">
        <v>7364.118427599999</v>
      </c>
      <c r="K121" s="97" t="n">
        <v>5526.4259396</v>
      </c>
      <c r="L121" s="107" t="n">
        <v>5526.4259396</v>
      </c>
    </row>
    <row r="122">
      <c r="A122" s="2" t="n">
        <v>6407695648</v>
      </c>
      <c r="B122" s="8">
        <f>_xlfn.XLOOKUP(A122,'Budget FY26-28'!A:A,'Site Register'!M:M)</f>
        <v/>
      </c>
      <c r="C122" s="8" t="inlineStr">
        <is>
          <t>kWh</t>
        </is>
      </c>
      <c r="D122" s="95" t="n">
        <v>13969</v>
      </c>
      <c r="E122" s="105">
        <f>IFERROR(IF(SUMIFS('Rates &amp; Source Data'!$BM$106:$BM$156,'Rates &amp; Source Data'!$C$106:$C$156,$A122,'Rates &amp; Source Data'!$A$106:$A$156,$B122)&lt;&gt;0,SUMIFS('Rates &amp; Source Data'!$BM$106:$BM$156,'Rates &amp; Source Data'!$C$106:$C$156,$A122,'Rates &amp; Source Data'!$A$106:$A$156,$B122),$K122),$K122)</f>
        <v/>
      </c>
      <c r="F122" s="105">
        <f>E122</f>
        <v/>
      </c>
      <c r="G122" s="106" t="n">
        <v>0.2289823506693393</v>
      </c>
      <c r="H122" s="106" t="n">
        <v>0.2289823506693393</v>
      </c>
      <c r="I122" s="8" t="inlineStr">
        <is>
          <t>Ready</t>
        </is>
      </c>
      <c r="J122" s="97" t="n">
        <v>4131.981876</v>
      </c>
      <c r="K122" s="97" t="n">
        <v>3198.6544565</v>
      </c>
      <c r="L122" s="107" t="n">
        <v>3198.6544565</v>
      </c>
    </row>
    <row r="123">
      <c r="A123" s="2" t="n">
        <v>6407695655</v>
      </c>
      <c r="B123" s="8">
        <f>_xlfn.XLOOKUP(A123,'Budget FY26-28'!A:A,'Site Register'!M:M)</f>
        <v/>
      </c>
      <c r="C123" s="8" t="inlineStr">
        <is>
          <t>kWh</t>
        </is>
      </c>
      <c r="D123" s="95" t="n">
        <v>28429.415</v>
      </c>
      <c r="E123" s="105">
        <f>SUMIFS('Rates &amp; Source Data'!$AO$33:$AO$100,'Rates &amp; Source Data'!$A$33:$A$100,$A123)</f>
        <v/>
      </c>
      <c r="F123" s="105">
        <f>SUMIFS('Rates &amp; Source Data'!$AR$33:$AR$100,'Rates &amp; Source Data'!$A$33:$A$100,$A123)</f>
        <v/>
      </c>
      <c r="G123" s="106" t="n">
        <v>0.1132731101154942</v>
      </c>
      <c r="H123" s="106" t="n">
        <v>0.1136104988563805</v>
      </c>
      <c r="I123" s="8" t="inlineStr">
        <is>
          <t>Ready</t>
        </is>
      </c>
      <c r="J123" s="97" t="n">
        <v>9551.065640470086</v>
      </c>
      <c r="K123" s="97" t="n">
        <v>3220.288255814082</v>
      </c>
      <c r="L123" s="107" t="n">
        <v>3229.880020345066</v>
      </c>
    </row>
    <row r="124">
      <c r="A124" s="2" t="n">
        <v>6408293833</v>
      </c>
      <c r="B124" s="8">
        <f>_xlfn.XLOOKUP(A124,'Budget FY26-28'!A:A,'Site Register'!M:M)</f>
        <v/>
      </c>
      <c r="C124" s="8" t="inlineStr">
        <is>
          <t>kWh</t>
        </is>
      </c>
      <c r="D124" s="95" t="n">
        <v>13140</v>
      </c>
      <c r="E124" s="105">
        <f>IFERROR(IF(SUMIFS('Rates &amp; Source Data'!$BM$106:$BM$156,'Rates &amp; Source Data'!$C$106:$C$156,$A124,'Rates &amp; Source Data'!$A$106:$A$156,$B124)&lt;&gt;0,SUMIFS('Rates &amp; Source Data'!$BM$106:$BM$156,'Rates &amp; Source Data'!$C$106:$C$156,$A124,'Rates &amp; Source Data'!$A$106:$A$156,$B124),$K124),$K124)</f>
        <v/>
      </c>
      <c r="F124" s="105">
        <f>E124</f>
        <v/>
      </c>
      <c r="G124" s="106" t="n">
        <v>0.2309440555555556</v>
      </c>
      <c r="H124" s="106" t="n">
        <v>0.2309440555555556</v>
      </c>
      <c r="I124" s="8" t="inlineStr">
        <is>
          <t>Ready</t>
        </is>
      </c>
      <c r="J124" s="97" t="n">
        <v>3914.685225</v>
      </c>
      <c r="K124" s="97" t="n">
        <v>3034.60489</v>
      </c>
      <c r="L124" s="107" t="n">
        <v>3034.60489</v>
      </c>
    </row>
    <row r="125">
      <c r="A125" s="2" t="inlineStr">
        <is>
          <t>VBBB002698</t>
        </is>
      </c>
      <c r="B125" s="8">
        <f>_xlfn.XLOOKUP(A125,'Budget FY26-28'!A:A,'Site Register'!M:M)</f>
        <v/>
      </c>
      <c r="C125" s="8" t="inlineStr">
        <is>
          <t>kWh</t>
        </is>
      </c>
      <c r="D125" s="95" t="n">
        <v>435696.23</v>
      </c>
      <c r="E125" s="105">
        <f>SUMIFS('Rates &amp; Source Data'!$AO$33:$AO$100,'Rates &amp; Source Data'!$A$33:$A$100,$A125)</f>
        <v/>
      </c>
      <c r="F125" s="105">
        <f>SUMIFS('Rates &amp; Source Data'!$AR$33:$AR$100,'Rates &amp; Source Data'!$A$33:$A$100,$A125)</f>
        <v/>
      </c>
      <c r="G125" s="106" t="n">
        <v>0.09783893480327913</v>
      </c>
      <c r="H125" s="106" t="n">
        <v>0.09878822171297727</v>
      </c>
      <c r="I125" s="8" t="inlineStr">
        <is>
          <t>Ready</t>
        </is>
      </c>
      <c r="J125" s="97" t="n">
        <v>96465.78584506392</v>
      </c>
      <c r="K125" s="97" t="n">
        <v>42628.0550410045</v>
      </c>
      <c r="L125" s="107" t="n">
        <v>43041.65576874834</v>
      </c>
    </row>
    <row r="126">
      <c r="A126" s="2" t="inlineStr">
        <is>
          <t>VDDD001226</t>
        </is>
      </c>
      <c r="B126" s="8">
        <f>_xlfn.XLOOKUP(A126,'Budget FY26-28'!A:A,'Site Register'!M:M)</f>
        <v/>
      </c>
      <c r="C126" s="8" t="inlineStr">
        <is>
          <t>kWh</t>
        </is>
      </c>
      <c r="D126" s="95" t="n">
        <v>906577.55</v>
      </c>
      <c r="E126" s="105">
        <f>SUMIFS('Rates &amp; Source Data'!$AO$33:$AO$100,'Rates &amp; Source Data'!$A$33:$A$100,$A126)</f>
        <v/>
      </c>
      <c r="F126" s="105">
        <f>SUMIFS('Rates &amp; Source Data'!$AR$33:$AR$100,'Rates &amp; Source Data'!$A$33:$A$100,$A126)</f>
        <v/>
      </c>
      <c r="G126" s="106" t="n">
        <v>0.09589372356859605</v>
      </c>
      <c r="H126" s="106" t="n">
        <v>0.09728036047316142</v>
      </c>
      <c r="I126" s="8" t="inlineStr">
        <is>
          <t>Ready</t>
        </is>
      </c>
      <c r="J126" s="97" t="n">
        <v>157123.2478084481</v>
      </c>
      <c r="K126" s="97" t="n">
        <v>86935.09697319506</v>
      </c>
      <c r="L126" s="107" t="n">
        <v>88192.19086087553</v>
      </c>
    </row>
    <row r="127">
      <c r="A127" s="2" t="n">
        <v>8001000591</v>
      </c>
      <c r="B127" s="8">
        <f>_xlfn.XLOOKUP(A127,'Budget FY26-28'!A:A,'Site Register'!M:M)</f>
        <v/>
      </c>
      <c r="C127" s="8" t="inlineStr">
        <is>
          <t>kWh</t>
        </is>
      </c>
      <c r="D127" s="95" t="n">
        <v>2400959.8</v>
      </c>
      <c r="E127" s="105">
        <f>$D127*SUMIFS('Rates &amp; Source Data'!$B$1455:$B$1461,'Rates &amp; Source Data'!$A$1455:$A$1461,$A127)</f>
        <v/>
      </c>
      <c r="F127" s="105">
        <f>$D127*SUMIFS('Rates &amp; Source Data'!$C$1455:$C$1461,'Rates &amp; Source Data'!$A$1455:$A$1461,$A127)</f>
        <v/>
      </c>
      <c r="G127" s="106" t="n"/>
      <c r="H127" s="106" t="n"/>
      <c r="I127" s="8" t="inlineStr">
        <is>
          <t>Ready</t>
        </is>
      </c>
      <c r="J127" s="97">
        <f>IF(COUNTIF('Rates &amp; Source Data'!$A$1719:$A$1725,$A127)=0,"",SUMIFS('Rates &amp; Source Data'!$B$1719:$B$1725,'Rates &amp; Source Data'!$A$1719:$A$1725,$A127))</f>
        <v/>
      </c>
      <c r="K127" s="97" t="n">
        <v>748524.1891689079</v>
      </c>
      <c r="L127" s="107" t="n">
        <v>748524.1891689079</v>
      </c>
    </row>
    <row r="128">
      <c r="A128" s="2" t="n">
        <v>8001000592</v>
      </c>
      <c r="B128" s="8">
        <f>_xlfn.XLOOKUP(A128,'Budget FY26-28'!A:A,'Site Register'!M:M)</f>
        <v/>
      </c>
      <c r="C128" s="8" t="inlineStr">
        <is>
          <t>kWh</t>
        </is>
      </c>
      <c r="D128" s="95" t="n">
        <v>2066442.3</v>
      </c>
      <c r="E128" s="105">
        <f>$D128*SUMIFS('Rates &amp; Source Data'!$B$1455:$B$1461,'Rates &amp; Source Data'!$A$1455:$A$1461,$A128)</f>
        <v/>
      </c>
      <c r="F128" s="105">
        <f>$D128*SUMIFS('Rates &amp; Source Data'!$C$1455:$C$1461,'Rates &amp; Source Data'!$A$1455:$A$1461,$A128)</f>
        <v/>
      </c>
      <c r="G128" s="106" t="n"/>
      <c r="H128" s="106" t="n"/>
      <c r="I128" s="8" t="inlineStr">
        <is>
          <t>Ready</t>
        </is>
      </c>
      <c r="J128" s="97">
        <f>IF(COUNTIF('Rates &amp; Source Data'!$A$1719:$A$1725,$A128)=0,"",SUMIFS('Rates &amp; Source Data'!$B$1719:$B$1725,'Rates &amp; Source Data'!$A$1719:$A$1725,$A128))</f>
        <v/>
      </c>
      <c r="K128" s="97" t="n">
        <v>644234.8793477648</v>
      </c>
      <c r="L128" s="107" t="n">
        <v>644234.8793477648</v>
      </c>
    </row>
    <row r="129">
      <c r="A129" s="2" t="n">
        <v>8001010840</v>
      </c>
      <c r="B129" s="8">
        <f>_xlfn.XLOOKUP(A129,'Budget FY26-28'!A:A,'Site Register'!M:M)</f>
        <v/>
      </c>
      <c r="C129" s="8" t="inlineStr">
        <is>
          <t>kWh</t>
        </is>
      </c>
      <c r="D129" s="95" t="n">
        <v>485627.715</v>
      </c>
      <c r="E129" s="105">
        <f>$D129*SUMIFS('Rates &amp; Source Data'!$B$1455:$B$1461,'Rates &amp; Source Data'!$A$1455:$A$1461,$A129)</f>
        <v/>
      </c>
      <c r="F129" s="105">
        <f>$D129*SUMIFS('Rates &amp; Source Data'!$C$1455:$C$1461,'Rates &amp; Source Data'!$A$1455:$A$1461,$A129)</f>
        <v/>
      </c>
      <c r="G129" s="106" t="n"/>
      <c r="H129" s="106" t="n"/>
      <c r="I129" s="8" t="inlineStr">
        <is>
          <t>Ready</t>
        </is>
      </c>
      <c r="J129" s="97">
        <f>IF(COUNTIF('Rates &amp; Source Data'!$A$1719:$A$1725,$A129)=0,"",SUMIFS('Rates &amp; Source Data'!$B$1719:$B$1725,'Rates &amp; Source Data'!$A$1719:$A$1725,$A129))</f>
        <v/>
      </c>
      <c r="K129" s="97" t="n">
        <v>151399.4909903633</v>
      </c>
      <c r="L129" s="107" t="n">
        <v>151399.4909903633</v>
      </c>
    </row>
    <row r="130">
      <c r="A130" s="2" t="n">
        <v>8001015167</v>
      </c>
      <c r="B130" s="8">
        <f>_xlfn.XLOOKUP(A130,'Budget FY26-28'!A:A,'Site Register'!M:M)</f>
        <v/>
      </c>
      <c r="C130" s="8" t="inlineStr">
        <is>
          <t>kWh</t>
        </is>
      </c>
      <c r="D130" s="95" t="n">
        <v>170522.252</v>
      </c>
      <c r="E130" s="105">
        <f>$D130*SUMIFS('Rates &amp; Source Data'!$B$1455:$B$1461,'Rates &amp; Source Data'!$A$1455:$A$1461,$A130)</f>
        <v/>
      </c>
      <c r="F130" s="105">
        <f>$D130*SUMIFS('Rates &amp; Source Data'!$C$1455:$C$1461,'Rates &amp; Source Data'!$A$1455:$A$1461,$A130)</f>
        <v/>
      </c>
      <c r="G130" s="106" t="n"/>
      <c r="H130" s="106" t="n"/>
      <c r="I130" s="8" t="inlineStr">
        <is>
          <t>Ready</t>
        </is>
      </c>
      <c r="J130" s="97">
        <f>IF(COUNTIF('Rates &amp; Source Data'!$A$1719:$A$1725,$A130)=0,"",SUMIFS('Rates &amp; Source Data'!$B$1719:$B$1725,'Rates &amp; Source Data'!$A$1719:$A$1725,$A130))</f>
        <v/>
      </c>
      <c r="K130" s="97" t="n">
        <v>53162.08560158159</v>
      </c>
      <c r="L130" s="107" t="n">
        <v>53162.08560158159</v>
      </c>
    </row>
    <row r="131">
      <c r="A131" s="2" t="n">
        <v>8001016501</v>
      </c>
      <c r="B131" s="8">
        <f>_xlfn.XLOOKUP(A131,'Budget FY26-28'!A:A,'Site Register'!M:M)</f>
        <v/>
      </c>
      <c r="C131" s="8" t="inlineStr">
        <is>
          <t>kWh</t>
        </is>
      </c>
      <c r="D131" s="95" t="n">
        <v>203319.864</v>
      </c>
      <c r="E131" s="105">
        <f>$D131*SUMIFS('Rates &amp; Source Data'!$B$1455:$B$1461,'Rates &amp; Source Data'!$A$1455:$A$1461,$A131)</f>
        <v/>
      </c>
      <c r="F131" s="105">
        <f>$D131*SUMIFS('Rates &amp; Source Data'!$C$1455:$C$1461,'Rates &amp; Source Data'!$A$1455:$A$1461,$A131)</f>
        <v/>
      </c>
      <c r="G131" s="106" t="n"/>
      <c r="H131" s="106" t="n"/>
      <c r="I131" s="8" t="inlineStr">
        <is>
          <t>Ready</t>
        </is>
      </c>
      <c r="J131" s="97">
        <f>IF(COUNTIF('Rates &amp; Source Data'!$A$1719:$A$1725,$A131)=0,"",SUMIFS('Rates &amp; Source Data'!$B$1719:$B$1725,'Rates &amp; Source Data'!$A$1719:$A$1725,$A131))</f>
        <v/>
      </c>
      <c r="K131" s="97" t="n">
        <v>63387.08225874196</v>
      </c>
      <c r="L131" s="107" t="n">
        <v>63387.08225874196</v>
      </c>
    </row>
    <row r="132">
      <c r="A132" s="2" t="n">
        <v>8001356541</v>
      </c>
      <c r="B132" s="8">
        <f>_xlfn.XLOOKUP(A132,'Budget FY26-28'!A:A,'Site Register'!M:M)</f>
        <v/>
      </c>
      <c r="C132" s="8" t="inlineStr">
        <is>
          <t>kWh</t>
        </is>
      </c>
      <c r="D132" s="95" t="n">
        <v>34456.176</v>
      </c>
      <c r="E132" s="105">
        <f>$D132*SUMIFS('Rates &amp; Source Data'!$B$1455:$B$1461,'Rates &amp; Source Data'!$A$1455:$A$1461,$A132)</f>
        <v/>
      </c>
      <c r="F132" s="105">
        <f>$D132*SUMIFS('Rates &amp; Source Data'!$C$1455:$C$1461,'Rates &amp; Source Data'!$A$1455:$A$1461,$A132)</f>
        <v/>
      </c>
      <c r="G132" s="106" t="n"/>
      <c r="H132" s="106" t="n"/>
      <c r="I132" s="8" t="inlineStr">
        <is>
          <t>Ready</t>
        </is>
      </c>
      <c r="J132" s="97">
        <f>IF(COUNTIF('Rates &amp; Source Data'!$A$1719:$A$1725,$A132)=0,"",SUMIFS('Rates &amp; Source Data'!$B$1719:$B$1725,'Rates &amp; Source Data'!$A$1719:$A$1725,$A132))</f>
        <v/>
      </c>
      <c r="K132" s="97" t="n">
        <v>10742.07123428772</v>
      </c>
      <c r="L132" s="107" t="n">
        <v>10742.07123428772</v>
      </c>
    </row>
    <row r="133">
      <c r="A133" s="2" t="n">
        <v>8002193716</v>
      </c>
      <c r="B133" s="8">
        <f>_xlfn.XLOOKUP(A133,'Budget FY26-28'!A:A,'Site Register'!M:M)</f>
        <v/>
      </c>
      <c r="C133" s="8" t="inlineStr">
        <is>
          <t>kWh</t>
        </is>
      </c>
      <c r="D133" s="95" t="n">
        <v>555826.23</v>
      </c>
      <c r="E133" s="105">
        <f>$D133*SUMIFS('Rates &amp; Source Data'!$B$1455:$B$1461,'Rates &amp; Source Data'!$A$1455:$A$1461,$A133)</f>
        <v/>
      </c>
      <c r="F133" s="105">
        <f>$D133*SUMIFS('Rates &amp; Source Data'!$C$1455:$C$1461,'Rates &amp; Source Data'!$A$1455:$A$1461,$A133)</f>
        <v/>
      </c>
      <c r="G133" s="106" t="n"/>
      <c r="H133" s="106" t="n"/>
      <c r="I133" s="8" t="inlineStr">
        <is>
          <t>Ready</t>
        </is>
      </c>
      <c r="J133" s="97">
        <f>IF(COUNTIF('Rates &amp; Source Data'!$A$1719:$A$1725,$A133)=0,"",SUMIFS('Rates &amp; Source Data'!$B$1719:$B$1725,'Rates &amp; Source Data'!$A$1719:$A$1725,$A133))</f>
        <v/>
      </c>
      <c r="K133" s="97" t="n">
        <v>173284.6081511073</v>
      </c>
      <c r="L133" s="107" t="n">
        <v>173284.6081511073</v>
      </c>
    </row>
    <row r="134">
      <c r="A134" s="2" t="n">
        <v>5265773931</v>
      </c>
      <c r="B134" s="8">
        <f>_xlfn.XLOOKUP(A134,'Budget FY26-28'!A:A,'Site Register'!M:M)</f>
        <v/>
      </c>
      <c r="C134" s="8" t="inlineStr">
        <is>
          <t>GJ</t>
        </is>
      </c>
      <c r="D134" s="95" t="n">
        <v>30729.026</v>
      </c>
      <c r="E134" s="105">
        <f>SUMIFS('Rates &amp; Source Data'!$M$1398:$M$1413,'Rates &amp; Source Data'!$A$1398:$A$1413,VALUE($A134))*184/365+(SUMIFS('Rates &amp; Source Data'!$J$1398:$J$1413,'Rates &amp; Source Data'!$A$1398:$A$1413,VALUE($A134))*SUMIFS('Rates &amp; Source Data'!$F$1754:$F$1761,'Rates &amp; Source Data'!$A$1754:$A$1761,VALUE($A134))+12*SUMIFS('Rates &amp; Source Data'!$H$1754:$H$1761,'Rates &amp; Source Data'!$A$1754:$A$1761,VALUE($A134))+SUMIFS('Rates &amp; Source Data'!$O$1398:$O$1413,'Rates &amp; Source Data'!$A$1398:$A$1413,VALUE($A134))+SUMIFS('Rates &amp; Source Data'!$P$1398:$P$1413,'Rates &amp; Source Data'!$A$1398:$A$1413,VALUE($A134))+SUMIFS('Rates &amp; Source Data'!$Q$1398:$Q$1413,'Rates &amp; Source Data'!$A$1398:$A$1413,VALUE($A134))+SUMIFS('Rates &amp; Source Data'!$R$1398:$R$1413,'Rates &amp; Source Data'!$A$1398:$A$1413,VALUE($A134)))*181/365</f>
        <v/>
      </c>
      <c r="F134" s="105">
        <f>IF(SUMIFS('Rates &amp; Source Data'!$G$1754:$G$1761,'Rates &amp; Source Data'!$A$1754:$A$1761,VALUE($A134))=0,0,(SUMIFS('Rates &amp; Source Data'!$J$1398:$J$1413,'Rates &amp; Source Data'!$A$1398:$A$1413,VALUE($A134))*SUMIFS('Rates &amp; Source Data'!$G$1754:$G$1761,'Rates &amp; Source Data'!$A$1754:$A$1761,VALUE($A134))+12*SUMIFS('Rates &amp; Source Data'!$I$1754:$I$1761,'Rates &amp; Source Data'!$A$1754:$A$1761,VALUE($A134))+SUMIFS('Rates &amp; Source Data'!$O$1398:$O$1413,'Rates &amp; Source Data'!$A$1398:$A$1413,VALUE($A134))+SUMIFS('Rates &amp; Source Data'!$P$1398:$P$1413,'Rates &amp; Source Data'!$A$1398:$A$1413,VALUE($A134))+SUMIFS('Rates &amp; Source Data'!$Q$1398:$Q$1413,'Rates &amp; Source Data'!$A$1398:$A$1413,VALUE($A134))+SUMIFS('Rates &amp; Source Data'!$R$1398:$R$1413,'Rates &amp; Source Data'!$A$1398:$A$1413,VALUE($A134))))</f>
        <v/>
      </c>
      <c r="G134" s="106" t="n">
        <v>31.01827220036225</v>
      </c>
      <c r="H134" s="106" t="n">
        <v>31.01827220036225</v>
      </c>
      <c r="I134" s="8" t="inlineStr">
        <is>
          <t>Ready</t>
        </is>
      </c>
      <c r="J134" s="97" t="n">
        <v>966680.5001672893</v>
      </c>
      <c r="K134" s="97" t="n">
        <v>953161.2929200089</v>
      </c>
      <c r="L134" s="107" t="n"/>
    </row>
    <row r="135">
      <c r="A135" s="2" t="n">
        <v>5240431343</v>
      </c>
      <c r="B135" s="8">
        <f>_xlfn.XLOOKUP(A135,'Budget FY26-28'!A:A,'Site Register'!M:M)</f>
        <v/>
      </c>
      <c r="C135" s="8" t="inlineStr">
        <is>
          <t>MJ</t>
        </is>
      </c>
      <c r="D135" s="95" t="n">
        <v>1000</v>
      </c>
      <c r="E135" s="105">
        <f>IFERROR(SUMIFS('Rates &amp; Source Data'!$G$1434:$G$1450,'Rates &amp; Source Data'!$A$1434:$A$1450,$A135),"")</f>
        <v/>
      </c>
      <c r="F135" s="105">
        <f>E135</f>
        <v/>
      </c>
      <c r="G135" s="106" t="n"/>
      <c r="H135" s="106" t="n"/>
      <c r="I135" s="8" t="inlineStr">
        <is>
          <t>Ready</t>
        </is>
      </c>
      <c r="J135" s="97" t="n">
        <v>432.1354999999999</v>
      </c>
      <c r="K135" s="97" t="n">
        <v>391.5405999999999</v>
      </c>
      <c r="L135" s="107" t="n">
        <v>391.5405999999999</v>
      </c>
    </row>
    <row r="136">
      <c r="A136" s="2" t="n">
        <v>5242077399</v>
      </c>
      <c r="B136" s="8">
        <f>_xlfn.XLOOKUP(A136,'Budget FY26-28'!A:A,'Site Register'!M:M)</f>
        <v/>
      </c>
      <c r="C136" s="8" t="inlineStr">
        <is>
          <t>GJ</t>
        </is>
      </c>
      <c r="D136" s="95" t="n">
        <v>19847.41099999998</v>
      </c>
      <c r="E136" s="105">
        <f>IFERROR(SUMIFS('Rates &amp; Source Data'!$J$1398:$J$1413,'Rates &amp; Source Data'!$A$1398:$A$1413,VALUE($A136))*AVERAGE(SUMIFS('Rates &amp; Source Data'!$B$1743:$B$1749,'Rates &amp; Source Data'!$A$1743:$A$1749,VALUE($A136)),SUMIFS('Rates &amp; Source Data'!$C$1743:$C$1749,'Rates &amp; Source Data'!$A$1743:$A$1749,VALUE($A136)))+365*AVERAGE(SUMIFS('Rates &amp; Source Data'!$D$1743:$D$1749,'Rates &amp; Source Data'!$A$1743:$A$1749,VALUE($A136)),SUMIFS('Rates &amp; Source Data'!$E$1743:$E$1749,'Rates &amp; Source Data'!$A$1743:$A$1749,VALUE($A136)))+SUMIFS('Rates &amp; Source Data'!$O$1398:$O$1413,'Rates &amp; Source Data'!$A$1398:$A$1413,VALUE($A136))+SUMIFS('Rates &amp; Source Data'!$P$1398:$P$1413,'Rates &amp; Source Data'!$A$1398:$A$1413,VALUE($A136))+SUMIFS('Rates &amp; Source Data'!$Q$1398:$Q$1413,'Rates &amp; Source Data'!$A$1398:$A$1413,VALUE($A136))+SUMIFS('Rates &amp; Source Data'!$R$1398:$R$1413,'Rates &amp; Source Data'!$A$1398:$A$1413,VALUE($A136))+SUMIFS('Rates &amp; Source Data'!$B$1398:$B$1413,'Rates &amp; Source Data'!$A$1398:$A$1413,VALUE($A136))*AVERAGE(SUMIFS('Rates &amp; Source Data'!$F$1743:$F$1749,'Rates &amp; Source Data'!$A$1743:$A$1749,VALUE($A136)),SUMIFS('Rates &amp; Source Data'!$G$1743:$G$1749,'Rates &amp; Source Data'!$A$1743:$A$1749,VALUE($A136))),SUMIFS('Rates &amp; Source Data'!$N$1398:$N$1413,'Rates &amp; Source Data'!$A$1398:$A$1413,VALUE($A136)))</f>
        <v/>
      </c>
      <c r="F136" s="105">
        <f>IF(COUNTIF('Rates &amp; Source Data'!$A$1743:$A$1749,VALUE($A136))=0,0,SUMIFS('Rates &amp; Source Data'!$J$1398:$J$1413,'Rates &amp; Source Data'!$A$1398:$A$1413,VALUE($A136))*SUMIFS('Rates &amp; Source Data'!$C$1743:$C$1749,'Rates &amp; Source Data'!$A$1743:$A$1749,VALUE($A136))+365*SUMIFS('Rates &amp; Source Data'!$E$1743:$E$1749,'Rates &amp; Source Data'!$A$1743:$A$1749,VALUE($A136))+SUMIFS('Rates &amp; Source Data'!$O$1398:$O$1413,'Rates &amp; Source Data'!$A$1398:$A$1413,VALUE($A136))+SUMIFS('Rates &amp; Source Data'!$P$1398:$P$1413,'Rates &amp; Source Data'!$A$1398:$A$1413,VALUE($A136))+SUMIFS('Rates &amp; Source Data'!$Q$1398:$Q$1413,'Rates &amp; Source Data'!$A$1398:$A$1413,VALUE($A136))+SUMIFS('Rates &amp; Source Data'!$R$1398:$R$1413,'Rates &amp; Source Data'!$A$1398:$A$1413,VALUE($A136))+SUMIFS('Rates &amp; Source Data'!$B$1398:$B$1413,'Rates &amp; Source Data'!$A$1398:$A$1413,VALUE($A136))*SUMIFS('Rates &amp; Source Data'!$G$1743:$G$1749,'Rates &amp; Source Data'!$A$1743:$A$1749,VALUE($A136)))</f>
        <v/>
      </c>
      <c r="G136" s="106" t="n">
        <v>25.35304201192943</v>
      </c>
      <c r="H136" s="106" t="n">
        <v>25.35304201192943</v>
      </c>
      <c r="I136" s="8" t="inlineStr">
        <is>
          <t>Ready</t>
        </is>
      </c>
      <c r="J136" s="97" t="n">
        <v>590031.8555730297</v>
      </c>
      <c r="K136" s="97" t="n">
        <v>503192.2449110298</v>
      </c>
      <c r="L136" s="107" t="n"/>
    </row>
    <row r="137">
      <c r="A137" s="2" t="n">
        <v>5243917108</v>
      </c>
      <c r="B137" s="8">
        <f>_xlfn.XLOOKUP(A137,'Budget FY26-28'!A:A,'Site Register'!M:M)</f>
        <v/>
      </c>
      <c r="C137" s="8" t="inlineStr">
        <is>
          <t>MJ</t>
        </is>
      </c>
      <c r="D137" s="95" t="n">
        <v>1000</v>
      </c>
      <c r="E137" s="105">
        <f>IFERROR(SUMIFS('Rates &amp; Source Data'!$G$1434:$G$1450,'Rates &amp; Source Data'!$A$1434:$A$1450,$A137),"")</f>
        <v/>
      </c>
      <c r="F137" s="105">
        <f>E137</f>
        <v/>
      </c>
      <c r="G137" s="106" t="n"/>
      <c r="H137" s="106" t="n"/>
      <c r="I137" s="8" t="inlineStr">
        <is>
          <t>Ready</t>
        </is>
      </c>
      <c r="J137" s="97" t="n">
        <v>432.1354999999999</v>
      </c>
      <c r="K137" s="97" t="n">
        <v>391.5405999999999</v>
      </c>
      <c r="L137" s="107" t="n">
        <v>391.5405999999999</v>
      </c>
    </row>
    <row r="138">
      <c r="A138" s="2" t="n">
        <v>5246209066</v>
      </c>
      <c r="B138" s="8">
        <f>_xlfn.XLOOKUP(A138,'Budget FY26-28'!A:A,'Site Register'!M:M)</f>
        <v/>
      </c>
      <c r="C138" s="8" t="inlineStr">
        <is>
          <t>MJ</t>
        </is>
      </c>
      <c r="D138" s="95" t="n">
        <v>1000</v>
      </c>
      <c r="E138" s="105">
        <f>IFERROR(SUMIFS('Rates &amp; Source Data'!$G$1434:$G$1450,'Rates &amp; Source Data'!$A$1434:$A$1450,$A138),"")</f>
        <v/>
      </c>
      <c r="F138" s="105">
        <f>E138</f>
        <v/>
      </c>
      <c r="G138" s="106" t="n"/>
      <c r="H138" s="106" t="n"/>
      <c r="I138" s="8" t="inlineStr">
        <is>
          <t>Ready</t>
        </is>
      </c>
      <c r="J138" s="97" t="n">
        <v>432.1354999999999</v>
      </c>
      <c r="K138" s="97" t="n">
        <v>391.5405999999999</v>
      </c>
      <c r="L138" s="107" t="n">
        <v>391.5405999999999</v>
      </c>
    </row>
    <row r="139">
      <c r="A139" s="2" t="n">
        <v>5247058378</v>
      </c>
      <c r="B139" s="8">
        <f>_xlfn.XLOOKUP(A139,'Budget FY26-28'!A:A,'Site Register'!M:M)</f>
        <v/>
      </c>
      <c r="C139" s="8" t="inlineStr">
        <is>
          <t>MJ</t>
        </is>
      </c>
      <c r="D139" s="95" t="n">
        <v>1000</v>
      </c>
      <c r="E139" s="105">
        <f>IFERROR(SUMIFS('Rates &amp; Source Data'!$G$1434:$G$1450,'Rates &amp; Source Data'!$A$1434:$A$1450,$A139),"")</f>
        <v/>
      </c>
      <c r="F139" s="105">
        <f>E139</f>
        <v/>
      </c>
      <c r="G139" s="106" t="n"/>
      <c r="H139" s="106" t="n"/>
      <c r="I139" s="8" t="inlineStr">
        <is>
          <t>Ready</t>
        </is>
      </c>
      <c r="J139" s="97" t="n">
        <v>432.1354999999999</v>
      </c>
      <c r="K139" s="97" t="n">
        <v>391.5405999999999</v>
      </c>
      <c r="L139" s="107" t="n">
        <v>391.5405999999999</v>
      </c>
    </row>
    <row r="140">
      <c r="A140" s="2" t="n">
        <v>5247063334</v>
      </c>
      <c r="B140" s="8">
        <f>_xlfn.XLOOKUP(A140,'Budget FY26-28'!A:A,'Site Register'!M:M)</f>
        <v/>
      </c>
      <c r="C140" s="8" t="inlineStr">
        <is>
          <t>MJ</t>
        </is>
      </c>
      <c r="D140" s="95" t="n">
        <v>1000</v>
      </c>
      <c r="E140" s="105">
        <f>IFERROR(SUMIFS('Rates &amp; Source Data'!$G$1434:$G$1450,'Rates &amp; Source Data'!$A$1434:$A$1450,$A140),"")</f>
        <v/>
      </c>
      <c r="F140" s="105">
        <f>E140</f>
        <v/>
      </c>
      <c r="G140" s="106" t="n"/>
      <c r="H140" s="106" t="n"/>
      <c r="I140" s="8" t="inlineStr">
        <is>
          <t>Ready</t>
        </is>
      </c>
      <c r="J140" s="97" t="n">
        <v>432.1354999999999</v>
      </c>
      <c r="K140" s="97" t="n">
        <v>391.5405999999999</v>
      </c>
      <c r="L140" s="107" t="n">
        <v>391.5405999999999</v>
      </c>
    </row>
    <row r="141">
      <c r="A141" s="2" t="n">
        <v>5247064745</v>
      </c>
      <c r="B141" s="8">
        <f>_xlfn.XLOOKUP(A141,'Budget FY26-28'!A:A,'Site Register'!M:M)</f>
        <v/>
      </c>
      <c r="C141" s="8" t="inlineStr">
        <is>
          <t>GJ</t>
        </is>
      </c>
      <c r="D141" s="95" t="n">
        <v>2500</v>
      </c>
      <c r="E141" s="105">
        <f>SUMIFS('Rates &amp; Source Data'!$M$1398:$M$1413,'Rates &amp; Source Data'!$A$1398:$A$1413,VALUE($A141))*184/365+(SUMIFS('Rates &amp; Source Data'!$J$1398:$J$1413,'Rates &amp; Source Data'!$A$1398:$A$1413,VALUE($A141))*SUMIFS('Rates &amp; Source Data'!$F$1754:$F$1761,'Rates &amp; Source Data'!$A$1754:$A$1761,VALUE($A141))+12*SUMIFS('Rates &amp; Source Data'!$H$1754:$H$1761,'Rates &amp; Source Data'!$A$1754:$A$1761,VALUE($A141))+SUMIFS('Rates &amp; Source Data'!$O$1398:$O$1413,'Rates &amp; Source Data'!$A$1398:$A$1413,VALUE($A141))+SUMIFS('Rates &amp; Source Data'!$P$1398:$P$1413,'Rates &amp; Source Data'!$A$1398:$A$1413,VALUE($A141))+SUMIFS('Rates &amp; Source Data'!$Q$1398:$Q$1413,'Rates &amp; Source Data'!$A$1398:$A$1413,VALUE($A141))+SUMIFS('Rates &amp; Source Data'!$R$1398:$R$1413,'Rates &amp; Source Data'!$A$1398:$A$1413,VALUE($A141)))*181/365</f>
        <v/>
      </c>
      <c r="F141" s="105">
        <f>IF(SUMIFS('Rates &amp; Source Data'!$G$1754:$G$1761,'Rates &amp; Source Data'!$A$1754:$A$1761,VALUE($A141))=0,0,(SUMIFS('Rates &amp; Source Data'!$J$1398:$J$1413,'Rates &amp; Source Data'!$A$1398:$A$1413,VALUE($A141))*SUMIFS('Rates &amp; Source Data'!$G$1754:$G$1761,'Rates &amp; Source Data'!$A$1754:$A$1761,VALUE($A141))+12*SUMIFS('Rates &amp; Source Data'!$I$1754:$I$1761,'Rates &amp; Source Data'!$A$1754:$A$1761,VALUE($A141))+SUMIFS('Rates &amp; Source Data'!$O$1398:$O$1413,'Rates &amp; Source Data'!$A$1398:$A$1413,VALUE($A141))+SUMIFS('Rates &amp; Source Data'!$P$1398:$P$1413,'Rates &amp; Source Data'!$A$1398:$A$1413,VALUE($A141))+SUMIFS('Rates &amp; Source Data'!$Q$1398:$Q$1413,'Rates &amp; Source Data'!$A$1398:$A$1413,VALUE($A141))+SUMIFS('Rates &amp; Source Data'!$R$1398:$R$1413,'Rates &amp; Source Data'!$A$1398:$A$1413,VALUE($A141))))</f>
        <v/>
      </c>
      <c r="G141" s="106" t="n">
        <v>24.5478039248</v>
      </c>
      <c r="H141" s="106" t="n">
        <v>24.5478039248</v>
      </c>
      <c r="I141" s="8" t="inlineStr">
        <is>
          <t>Ready</t>
        </is>
      </c>
      <c r="J141" s="97" t="n">
        <v>61370.510156</v>
      </c>
      <c r="K141" s="97" t="n">
        <v>61369.509812</v>
      </c>
      <c r="L141" s="107" t="n"/>
    </row>
    <row r="142">
      <c r="A142" s="2" t="n">
        <v>5247072812</v>
      </c>
      <c r="B142" s="8">
        <f>_xlfn.XLOOKUP(A142,'Budget FY26-28'!A:A,'Site Register'!M:M)</f>
        <v/>
      </c>
      <c r="C142" s="8" t="inlineStr">
        <is>
          <t>MJ</t>
        </is>
      </c>
      <c r="D142" s="95" t="n">
        <v>1000</v>
      </c>
      <c r="E142" s="105">
        <f>IFERROR(SUMIFS('Rates &amp; Source Data'!$G$1434:$G$1450,'Rates &amp; Source Data'!$A$1434:$A$1450,$A142),"")</f>
        <v/>
      </c>
      <c r="F142" s="105">
        <f>E142</f>
        <v/>
      </c>
      <c r="G142" s="106" t="n"/>
      <c r="H142" s="106" t="n"/>
      <c r="I142" s="8" t="inlineStr">
        <is>
          <t>Ready</t>
        </is>
      </c>
      <c r="J142" s="97" t="n">
        <v>432.1354999999999</v>
      </c>
      <c r="K142" s="97" t="n">
        <v>391.5405999999999</v>
      </c>
      <c r="L142" s="107" t="n">
        <v>391.5405999999999</v>
      </c>
    </row>
    <row r="143">
      <c r="A143" s="2" t="n">
        <v>5247072833</v>
      </c>
      <c r="B143" s="8">
        <f>_xlfn.XLOOKUP(A143,'Budget FY26-28'!A:A,'Site Register'!M:M)</f>
        <v/>
      </c>
      <c r="C143" s="8" t="inlineStr">
        <is>
          <t>MJ</t>
        </is>
      </c>
      <c r="D143" s="95" t="n">
        <v>1000</v>
      </c>
      <c r="E143" s="105">
        <f>IFERROR(SUMIFS('Rates &amp; Source Data'!$G$1434:$G$1450,'Rates &amp; Source Data'!$A$1434:$A$1450,$A143),"")</f>
        <v/>
      </c>
      <c r="F143" s="105">
        <f>E143</f>
        <v/>
      </c>
      <c r="G143" s="106" t="n"/>
      <c r="H143" s="106" t="n"/>
      <c r="I143" s="8" t="inlineStr">
        <is>
          <t>Ready</t>
        </is>
      </c>
      <c r="J143" s="97" t="n">
        <v>432.1354999999999</v>
      </c>
      <c r="K143" s="97" t="n">
        <v>391.5405999999999</v>
      </c>
      <c r="L143" s="107" t="n">
        <v>391.5405999999999</v>
      </c>
    </row>
    <row r="144">
      <c r="A144" s="2" t="n">
        <v>5247074005</v>
      </c>
      <c r="B144" s="8">
        <f>_xlfn.XLOOKUP(A144,'Budget FY26-28'!A:A,'Site Register'!M:M)</f>
        <v/>
      </c>
      <c r="C144" s="8" t="inlineStr">
        <is>
          <t>MJ</t>
        </is>
      </c>
      <c r="D144" s="95" t="n">
        <v>1000</v>
      </c>
      <c r="E144" s="105">
        <f>IFERROR(SUMIFS('Rates &amp; Source Data'!$G$1434:$G$1450,'Rates &amp; Source Data'!$A$1434:$A$1450,$A144),"")</f>
        <v/>
      </c>
      <c r="F144" s="105">
        <f>E144</f>
        <v/>
      </c>
      <c r="G144" s="106" t="n"/>
      <c r="H144" s="106" t="n"/>
      <c r="I144" s="8" t="inlineStr">
        <is>
          <t>Ready</t>
        </is>
      </c>
      <c r="J144" s="97" t="n">
        <v>432.1354999999999</v>
      </c>
      <c r="K144" s="97" t="n">
        <v>391.5405999999999</v>
      </c>
      <c r="L144" s="107" t="n">
        <v>391.5405999999999</v>
      </c>
    </row>
    <row r="145">
      <c r="A145" s="2" t="n">
        <v>5247082981</v>
      </c>
      <c r="B145" s="8">
        <f>_xlfn.XLOOKUP(A145,'Budget FY26-28'!A:A,'Site Register'!M:M)</f>
        <v/>
      </c>
      <c r="C145" s="8" t="inlineStr">
        <is>
          <t>MJ</t>
        </is>
      </c>
      <c r="D145" s="95" t="n">
        <v>1000</v>
      </c>
      <c r="E145" s="105">
        <f>IFERROR(SUMIFS('Rates &amp; Source Data'!$G$1434:$G$1450,'Rates &amp; Source Data'!$A$1434:$A$1450,$A145),"")</f>
        <v/>
      </c>
      <c r="F145" s="105">
        <f>E145</f>
        <v/>
      </c>
      <c r="G145" s="106" t="n"/>
      <c r="H145" s="106" t="n"/>
      <c r="I145" s="8" t="inlineStr">
        <is>
          <t>Ready</t>
        </is>
      </c>
      <c r="J145" s="97" t="n">
        <v>432.1354999999999</v>
      </c>
      <c r="K145" s="97" t="n">
        <v>391.5405999999999</v>
      </c>
      <c r="L145" s="107" t="n">
        <v>391.5405999999999</v>
      </c>
    </row>
    <row r="146">
      <c r="A146" s="2" t="n">
        <v>5247083098</v>
      </c>
      <c r="B146" s="8">
        <f>_xlfn.XLOOKUP(A146,'Budget FY26-28'!A:A,'Site Register'!M:M)</f>
        <v/>
      </c>
      <c r="C146" s="8" t="inlineStr">
        <is>
          <t>MJ</t>
        </is>
      </c>
      <c r="D146" s="95" t="n">
        <v>1000</v>
      </c>
      <c r="E146" s="105">
        <f>IFERROR(SUMIFS('Rates &amp; Source Data'!$G$1434:$G$1450,'Rates &amp; Source Data'!$A$1434:$A$1450,$A146),"")</f>
        <v/>
      </c>
      <c r="F146" s="105">
        <f>E146</f>
        <v/>
      </c>
      <c r="G146" s="106" t="n"/>
      <c r="H146" s="106" t="n"/>
      <c r="I146" s="8" t="inlineStr">
        <is>
          <t>Ready</t>
        </is>
      </c>
      <c r="J146" s="97" t="n">
        <v>432.1354999999999</v>
      </c>
      <c r="K146" s="97" t="n">
        <v>391.5405999999999</v>
      </c>
      <c r="L146" s="107" t="n">
        <v>391.5405999999999</v>
      </c>
    </row>
    <row r="147">
      <c r="A147" s="2" t="n">
        <v>5248353654</v>
      </c>
      <c r="B147" s="8">
        <f>_xlfn.XLOOKUP(A147,'Budget FY26-28'!A:A,'Site Register'!M:M)</f>
        <v/>
      </c>
      <c r="C147" s="8" t="inlineStr">
        <is>
          <t>GJ</t>
        </is>
      </c>
      <c r="D147" s="95" t="n">
        <v>108015.3710000001</v>
      </c>
      <c r="E147" s="105">
        <f>IFERROR(SUMIFS('Rates &amp; Source Data'!$J$1398:$J$1413,'Rates &amp; Source Data'!$A$1398:$A$1413,VALUE($A147))*AVERAGE(SUMIFS('Rates &amp; Source Data'!$B$1743:$B$1749,'Rates &amp; Source Data'!$A$1743:$A$1749,VALUE($A147)),SUMIFS('Rates &amp; Source Data'!$C$1743:$C$1749,'Rates &amp; Source Data'!$A$1743:$A$1749,VALUE($A147)))+365*AVERAGE(SUMIFS('Rates &amp; Source Data'!$D$1743:$D$1749,'Rates &amp; Source Data'!$A$1743:$A$1749,VALUE($A147)),SUMIFS('Rates &amp; Source Data'!$E$1743:$E$1749,'Rates &amp; Source Data'!$A$1743:$A$1749,VALUE($A147)))+SUMIFS('Rates &amp; Source Data'!$O$1398:$O$1413,'Rates &amp; Source Data'!$A$1398:$A$1413,VALUE($A147))+SUMIFS('Rates &amp; Source Data'!$P$1398:$P$1413,'Rates &amp; Source Data'!$A$1398:$A$1413,VALUE($A147))+SUMIFS('Rates &amp; Source Data'!$Q$1398:$Q$1413,'Rates &amp; Source Data'!$A$1398:$A$1413,VALUE($A147))+SUMIFS('Rates &amp; Source Data'!$R$1398:$R$1413,'Rates &amp; Source Data'!$A$1398:$A$1413,VALUE($A147))+SUMIFS('Rates &amp; Source Data'!$B$1398:$B$1413,'Rates &amp; Source Data'!$A$1398:$A$1413,VALUE($A147))*AVERAGE(SUMIFS('Rates &amp; Source Data'!$F$1743:$F$1749,'Rates &amp; Source Data'!$A$1743:$A$1749,VALUE($A147)),SUMIFS('Rates &amp; Source Data'!$G$1743:$G$1749,'Rates &amp; Source Data'!$A$1743:$A$1749,VALUE($A147))),SUMIFS('Rates &amp; Source Data'!$N$1398:$N$1413,'Rates &amp; Source Data'!$A$1398:$A$1413,VALUE($A147)))</f>
        <v/>
      </c>
      <c r="F147" s="105">
        <f>IF(COUNTIF('Rates &amp; Source Data'!$A$1743:$A$1749,VALUE($A147))=0,0,SUMIFS('Rates &amp; Source Data'!$J$1398:$J$1413,'Rates &amp; Source Data'!$A$1398:$A$1413,VALUE($A147))*SUMIFS('Rates &amp; Source Data'!$C$1743:$C$1749,'Rates &amp; Source Data'!$A$1743:$A$1749,VALUE($A147))+365*SUMIFS('Rates &amp; Source Data'!$E$1743:$E$1749,'Rates &amp; Source Data'!$A$1743:$A$1749,VALUE($A147))+SUMIFS('Rates &amp; Source Data'!$O$1398:$O$1413,'Rates &amp; Source Data'!$A$1398:$A$1413,VALUE($A147))+SUMIFS('Rates &amp; Source Data'!$P$1398:$P$1413,'Rates &amp; Source Data'!$A$1398:$A$1413,VALUE($A147))+SUMIFS('Rates &amp; Source Data'!$Q$1398:$Q$1413,'Rates &amp; Source Data'!$A$1398:$A$1413,VALUE($A147))+SUMIFS('Rates &amp; Source Data'!$R$1398:$R$1413,'Rates &amp; Source Data'!$A$1398:$A$1413,VALUE($A147))+SUMIFS('Rates &amp; Source Data'!$B$1398:$B$1413,'Rates &amp; Source Data'!$A$1398:$A$1413,VALUE($A147))*SUMIFS('Rates &amp; Source Data'!$G$1743:$G$1749,'Rates &amp; Source Data'!$A$1743:$A$1749,VALUE($A147)))</f>
        <v/>
      </c>
      <c r="G147" s="106" t="n">
        <v>19.38379067403128</v>
      </c>
      <c r="H147" s="106" t="n">
        <v>19.38379067403128</v>
      </c>
      <c r="I147" s="8" t="inlineStr">
        <is>
          <t>Ready</t>
        </is>
      </c>
      <c r="J147" s="97" t="n">
        <v>2535931.990023833</v>
      </c>
      <c r="K147" s="97" t="n">
        <v>2093747.341041832</v>
      </c>
      <c r="L147" s="107" t="n"/>
    </row>
    <row r="148">
      <c r="A148" s="2" t="n">
        <v>5265761108</v>
      </c>
      <c r="B148" s="8">
        <f>_xlfn.XLOOKUP(A148,'Budget FY26-28'!A:A,'Site Register'!M:M)</f>
        <v/>
      </c>
      <c r="C148" s="8" t="inlineStr">
        <is>
          <t>GJ</t>
        </is>
      </c>
      <c r="D148" s="95" t="n">
        <v>1300</v>
      </c>
      <c r="E148" s="105">
        <f>SUMIFS('Rates &amp; Source Data'!$M$1398:$M$1413,'Rates &amp; Source Data'!$A$1398:$A$1413,VALUE($A148))*184/365+(SUMIFS('Rates &amp; Source Data'!$J$1398:$J$1413,'Rates &amp; Source Data'!$A$1398:$A$1413,VALUE($A148))*SUMIFS('Rates &amp; Source Data'!$F$1754:$F$1761,'Rates &amp; Source Data'!$A$1754:$A$1761,VALUE($A148))+12*SUMIFS('Rates &amp; Source Data'!$H$1754:$H$1761,'Rates &amp; Source Data'!$A$1754:$A$1761,VALUE($A148))+SUMIFS('Rates &amp; Source Data'!$O$1398:$O$1413,'Rates &amp; Source Data'!$A$1398:$A$1413,VALUE($A148))+SUMIFS('Rates &amp; Source Data'!$P$1398:$P$1413,'Rates &amp; Source Data'!$A$1398:$A$1413,VALUE($A148))+SUMIFS('Rates &amp; Source Data'!$Q$1398:$Q$1413,'Rates &amp; Source Data'!$A$1398:$A$1413,VALUE($A148))+SUMIFS('Rates &amp; Source Data'!$R$1398:$R$1413,'Rates &amp; Source Data'!$A$1398:$A$1413,VALUE($A148)))*181/365</f>
        <v/>
      </c>
      <c r="F148" s="105">
        <f>IF(SUMIFS('Rates &amp; Source Data'!$G$1754:$G$1761,'Rates &amp; Source Data'!$A$1754:$A$1761,VALUE($A148))=0,0,(SUMIFS('Rates &amp; Source Data'!$J$1398:$J$1413,'Rates &amp; Source Data'!$A$1398:$A$1413,VALUE($A148))*SUMIFS('Rates &amp; Source Data'!$G$1754:$G$1761,'Rates &amp; Source Data'!$A$1754:$A$1761,VALUE($A148))+12*SUMIFS('Rates &amp; Source Data'!$I$1754:$I$1761,'Rates &amp; Source Data'!$A$1754:$A$1761,VALUE($A148))+SUMIFS('Rates &amp; Source Data'!$O$1398:$O$1413,'Rates &amp; Source Data'!$A$1398:$A$1413,VALUE($A148))+SUMIFS('Rates &amp; Source Data'!$P$1398:$P$1413,'Rates &amp; Source Data'!$A$1398:$A$1413,VALUE($A148))+SUMIFS('Rates &amp; Source Data'!$Q$1398:$Q$1413,'Rates &amp; Source Data'!$A$1398:$A$1413,VALUE($A148))+SUMIFS('Rates &amp; Source Data'!$R$1398:$R$1413,'Rates &amp; Source Data'!$A$1398:$A$1413,VALUE($A148))))</f>
        <v/>
      </c>
      <c r="G148" s="106" t="n">
        <v>33.8486270196923</v>
      </c>
      <c r="H148" s="106" t="n">
        <v>33.8486270196923</v>
      </c>
      <c r="I148" s="8" t="inlineStr">
        <is>
          <t>Ready</t>
        </is>
      </c>
      <c r="J148" s="97" t="n">
        <v>76928</v>
      </c>
      <c r="K148" s="97" t="n">
        <v>44003.21512559999</v>
      </c>
      <c r="L148" s="107" t="n"/>
    </row>
    <row r="149">
      <c r="A149" s="2" t="n">
        <v>5270000035</v>
      </c>
      <c r="B149" s="8">
        <f>_xlfn.XLOOKUP(A149,'Budget FY26-28'!A:A,'Site Register'!M:M)</f>
        <v/>
      </c>
      <c r="C149" s="8" t="inlineStr">
        <is>
          <t>MJ</t>
        </is>
      </c>
      <c r="D149" s="95" t="n">
        <v>0</v>
      </c>
      <c r="E149" s="105">
        <f>IFERROR(SUMIFS('Rates &amp; Source Data'!$G$1434:$G$1450,'Rates &amp; Source Data'!$A$1434:$A$1450,$A149),"")</f>
        <v/>
      </c>
      <c r="F149" s="105">
        <f>E149</f>
        <v/>
      </c>
      <c r="G149" s="106" t="n"/>
      <c r="H149" s="106" t="n"/>
      <c r="I149" s="8" t="inlineStr">
        <is>
          <t>Ready</t>
        </is>
      </c>
      <c r="J149" s="97" t="n">
        <v>384.2354999999999</v>
      </c>
      <c r="K149" s="97" t="n">
        <v>349.4655999999999</v>
      </c>
      <c r="L149" s="107" t="n">
        <v>349.4655999999999</v>
      </c>
    </row>
    <row r="150">
      <c r="A150" s="2" t="n">
        <v>5410075384</v>
      </c>
      <c r="B150" s="8">
        <f>_xlfn.XLOOKUP(A150,'Budget FY26-28'!A:A,'Site Register'!M:M)</f>
        <v/>
      </c>
      <c r="C150" s="8" t="inlineStr">
        <is>
          <t>MJ</t>
        </is>
      </c>
      <c r="D150" s="95" t="n">
        <v>27439</v>
      </c>
      <c r="E150" s="105">
        <f>IFERROR(SUMIFS('Rates &amp; Source Data'!$G$1434:$G$1450,'Rates &amp; Source Data'!$A$1434:$A$1450,$A150),"")</f>
        <v/>
      </c>
      <c r="F150" s="105">
        <f>E150</f>
        <v/>
      </c>
      <c r="G150" s="106" t="n"/>
      <c r="H150" s="106" t="n"/>
      <c r="I150" s="8" t="inlineStr">
        <is>
          <t>Ready</t>
        </is>
      </c>
      <c r="J150" s="97" t="n">
        <v>1537.8173</v>
      </c>
      <c r="K150" s="97" t="n">
        <v>1580.19831</v>
      </c>
      <c r="L150" s="107" t="n">
        <v>1580.19831</v>
      </c>
    </row>
    <row r="151">
      <c r="A151" s="2" t="n">
        <v>5410078053</v>
      </c>
      <c r="B151" s="8">
        <f>_xlfn.XLOOKUP(A151,'Budget FY26-28'!A:A,'Site Register'!M:M)</f>
        <v/>
      </c>
      <c r="C151" s="8" t="inlineStr">
        <is>
          <t>MJ</t>
        </is>
      </c>
      <c r="D151" s="95" t="n">
        <v>153318</v>
      </c>
      <c r="E151" s="105">
        <f>IFERROR(SUMIFS('Rates &amp; Source Data'!$G$1434:$G$1450,'Rates &amp; Source Data'!$A$1434:$A$1450,$A151),"")</f>
        <v/>
      </c>
      <c r="F151" s="105">
        <f>E151</f>
        <v/>
      </c>
      <c r="G151" s="106" t="n"/>
      <c r="H151" s="106" t="n"/>
      <c r="I151" s="8" t="inlineStr">
        <is>
          <t>Ready</t>
        </is>
      </c>
      <c r="J151" s="97" t="n">
        <v>6346.395100000001</v>
      </c>
      <c r="K151" s="97" t="n">
        <v>6519.69027</v>
      </c>
      <c r="L151" s="107" t="n">
        <v>6519.69027</v>
      </c>
    </row>
    <row r="152">
      <c r="A152" s="2" t="n">
        <v>5410086500</v>
      </c>
      <c r="B152" s="8">
        <f>_xlfn.XLOOKUP(A152,'Budget FY26-28'!A:A,'Site Register'!M:M)</f>
        <v/>
      </c>
      <c r="C152" s="8" t="inlineStr">
        <is>
          <t>MJ</t>
        </is>
      </c>
      <c r="D152" s="95" t="n">
        <v>504905</v>
      </c>
      <c r="E152" s="105">
        <f>IFERROR(SUMIFS('Rates &amp; Source Data'!$G$1434:$G$1450,'Rates &amp; Source Data'!$A$1434:$A$1450,$A152),"")</f>
        <v/>
      </c>
      <c r="F152" s="105">
        <f>E152</f>
        <v/>
      </c>
      <c r="G152" s="106" t="n"/>
      <c r="H152" s="106" t="n"/>
      <c r="I152" s="8" t="inlineStr">
        <is>
          <t>Ready</t>
        </is>
      </c>
      <c r="J152" s="97" t="n">
        <v>17784.66917142857</v>
      </c>
      <c r="K152" s="97" t="n">
        <v>18629.914325184</v>
      </c>
      <c r="L152" s="107" t="n">
        <v>18629.914325184</v>
      </c>
    </row>
    <row r="153">
      <c r="A153" s="2" t="n">
        <v>5420000032</v>
      </c>
      <c r="B153" s="8">
        <f>_xlfn.XLOOKUP(A153,'Budget FY26-28'!A:A,'Site Register'!M:M)</f>
        <v/>
      </c>
      <c r="C153" s="8" t="inlineStr">
        <is>
          <t>MJ</t>
        </is>
      </c>
      <c r="D153" s="95" t="n">
        <v>888078</v>
      </c>
      <c r="E153" s="105">
        <f>IFERROR(SUMIFS('Rates &amp; Source Data'!$G$1434:$G$1450,'Rates &amp; Source Data'!$A$1434:$A$1450,$A153),"")</f>
        <v/>
      </c>
      <c r="F153" s="105">
        <f>E153</f>
        <v/>
      </c>
      <c r="G153" s="106" t="n"/>
      <c r="H153" s="106" t="n"/>
      <c r="I153" s="8" t="inlineStr">
        <is>
          <t>Ready</t>
        </is>
      </c>
      <c r="J153" s="97" t="n">
        <v>38413.41237272727</v>
      </c>
      <c r="K153" s="97" t="n">
        <v>39296.52378</v>
      </c>
      <c r="L153" s="107" t="n">
        <v>39296.52378</v>
      </c>
    </row>
    <row r="154">
      <c r="A154" s="2" t="n">
        <v>5510072233</v>
      </c>
      <c r="B154" s="8">
        <f>_xlfn.XLOOKUP(A154,'Budget FY26-28'!A:A,'Site Register'!M:M)</f>
        <v/>
      </c>
      <c r="C154" s="8" t="inlineStr">
        <is>
          <t>GJ</t>
        </is>
      </c>
      <c r="D154" s="95" t="n">
        <v>92565.36000000002</v>
      </c>
      <c r="E154" s="105">
        <f>IFERROR(SUMIFS('Rates &amp; Source Data'!$J$1398:$J$1413,'Rates &amp; Source Data'!$A$1398:$A$1413,VALUE($A154))*AVERAGE(SUMIFS('Rates &amp; Source Data'!$B$1743:$B$1749,'Rates &amp; Source Data'!$A$1743:$A$1749,VALUE($A154)),SUMIFS('Rates &amp; Source Data'!$C$1743:$C$1749,'Rates &amp; Source Data'!$A$1743:$A$1749,VALUE($A154)))+365*AVERAGE(SUMIFS('Rates &amp; Source Data'!$D$1743:$D$1749,'Rates &amp; Source Data'!$A$1743:$A$1749,VALUE($A154)),SUMIFS('Rates &amp; Source Data'!$E$1743:$E$1749,'Rates &amp; Source Data'!$A$1743:$A$1749,VALUE($A154)))+SUMIFS('Rates &amp; Source Data'!$O$1398:$O$1413,'Rates &amp; Source Data'!$A$1398:$A$1413,VALUE($A154))+SUMIFS('Rates &amp; Source Data'!$P$1398:$P$1413,'Rates &amp; Source Data'!$A$1398:$A$1413,VALUE($A154))+SUMIFS('Rates &amp; Source Data'!$Q$1398:$Q$1413,'Rates &amp; Source Data'!$A$1398:$A$1413,VALUE($A154))+SUMIFS('Rates &amp; Source Data'!$R$1398:$R$1413,'Rates &amp; Source Data'!$A$1398:$A$1413,VALUE($A154))+SUMIFS('Rates &amp; Source Data'!$B$1398:$B$1413,'Rates &amp; Source Data'!$A$1398:$A$1413,VALUE($A154))*AVERAGE(SUMIFS('Rates &amp; Source Data'!$F$1743:$F$1749,'Rates &amp; Source Data'!$A$1743:$A$1749,VALUE($A154)),SUMIFS('Rates &amp; Source Data'!$G$1743:$G$1749,'Rates &amp; Source Data'!$A$1743:$A$1749,VALUE($A154))),SUMIFS('Rates &amp; Source Data'!$N$1398:$N$1413,'Rates &amp; Source Data'!$A$1398:$A$1413,VALUE($A154)))</f>
        <v/>
      </c>
      <c r="F154" s="105">
        <f>IF(COUNTIF('Rates &amp; Source Data'!$A$1743:$A$1749,VALUE($A154))=0,0,SUMIFS('Rates &amp; Source Data'!$J$1398:$J$1413,'Rates &amp; Source Data'!$A$1398:$A$1413,VALUE($A154))*SUMIFS('Rates &amp; Source Data'!$C$1743:$C$1749,'Rates &amp; Source Data'!$A$1743:$A$1749,VALUE($A154))+365*SUMIFS('Rates &amp; Source Data'!$E$1743:$E$1749,'Rates &amp; Source Data'!$A$1743:$A$1749,VALUE($A154))+SUMIFS('Rates &amp; Source Data'!$O$1398:$O$1413,'Rates &amp; Source Data'!$A$1398:$A$1413,VALUE($A154))+SUMIFS('Rates &amp; Source Data'!$P$1398:$P$1413,'Rates &amp; Source Data'!$A$1398:$A$1413,VALUE($A154))+SUMIFS('Rates &amp; Source Data'!$Q$1398:$Q$1413,'Rates &amp; Source Data'!$A$1398:$A$1413,VALUE($A154))+SUMIFS('Rates &amp; Source Data'!$R$1398:$R$1413,'Rates &amp; Source Data'!$A$1398:$A$1413,VALUE($A154))+SUMIFS('Rates &amp; Source Data'!$B$1398:$B$1413,'Rates &amp; Source Data'!$A$1398:$A$1413,VALUE($A154))*SUMIFS('Rates &amp; Source Data'!$G$1743:$G$1749,'Rates &amp; Source Data'!$A$1743:$A$1749,VALUE($A154)))</f>
        <v/>
      </c>
      <c r="G154" s="106" t="n">
        <v>22.71466697404731</v>
      </c>
      <c r="H154" s="106" t="n">
        <v>22.71466697404731</v>
      </c>
      <c r="I154" s="8" t="inlineStr">
        <is>
          <t>Ready</t>
        </is>
      </c>
      <c r="J154" s="97" t="n">
        <v>2401755.7070128</v>
      </c>
      <c r="K154" s="97" t="n">
        <v>2102591.3257328</v>
      </c>
      <c r="L154" s="107" t="n"/>
    </row>
    <row r="155">
      <c r="A155" s="2" t="n">
        <v>5510484999</v>
      </c>
      <c r="B155" s="8">
        <f>_xlfn.XLOOKUP(A155,'Budget FY26-28'!A:A,'Site Register'!M:M)</f>
        <v/>
      </c>
      <c r="C155" s="8" t="inlineStr">
        <is>
          <t>MJ</t>
        </is>
      </c>
      <c r="D155" s="95" t="n">
        <v>766606</v>
      </c>
      <c r="E155" s="105">
        <f>IFERROR(SUMIFS('Rates &amp; Source Data'!$G$1434:$G$1450,'Rates &amp; Source Data'!$A$1434:$A$1450,$A155),"")</f>
        <v/>
      </c>
      <c r="F155" s="105">
        <f>E155</f>
        <v/>
      </c>
      <c r="G155" s="106" t="n"/>
      <c r="H155" s="106" t="n"/>
      <c r="I155" s="8" t="inlineStr">
        <is>
          <t>Ready</t>
        </is>
      </c>
      <c r="J155" s="97" t="n">
        <v>21670.74222</v>
      </c>
      <c r="K155" s="97" t="n">
        <v>25122.930773364</v>
      </c>
      <c r="L155" s="107" t="n">
        <v>25122.930773364</v>
      </c>
    </row>
    <row r="156">
      <c r="A156" s="2" t="n">
        <v>5510485000</v>
      </c>
      <c r="B156" s="8">
        <f>_xlfn.XLOOKUP(A156,'Budget FY26-28'!A:A,'Site Register'!M:M)</f>
        <v/>
      </c>
      <c r="C156" s="8" t="inlineStr">
        <is>
          <t>GJ</t>
        </is>
      </c>
      <c r="D156" s="95" t="n">
        <v>13214.10399999999</v>
      </c>
      <c r="E156" s="105">
        <f>IFERROR(SUMIFS('Rates &amp; Source Data'!$J$1398:$J$1413,'Rates &amp; Source Data'!$A$1398:$A$1413,VALUE($A156))*AVERAGE(SUMIFS('Rates &amp; Source Data'!$B$1743:$B$1749,'Rates &amp; Source Data'!$A$1743:$A$1749,VALUE($A156)),SUMIFS('Rates &amp; Source Data'!$C$1743:$C$1749,'Rates &amp; Source Data'!$A$1743:$A$1749,VALUE($A156)))+365*AVERAGE(SUMIFS('Rates &amp; Source Data'!$D$1743:$D$1749,'Rates &amp; Source Data'!$A$1743:$A$1749,VALUE($A156)),SUMIFS('Rates &amp; Source Data'!$E$1743:$E$1749,'Rates &amp; Source Data'!$A$1743:$A$1749,VALUE($A156)))+SUMIFS('Rates &amp; Source Data'!$O$1398:$O$1413,'Rates &amp; Source Data'!$A$1398:$A$1413,VALUE($A156))+SUMIFS('Rates &amp; Source Data'!$P$1398:$P$1413,'Rates &amp; Source Data'!$A$1398:$A$1413,VALUE($A156))+SUMIFS('Rates &amp; Source Data'!$Q$1398:$Q$1413,'Rates &amp; Source Data'!$A$1398:$A$1413,VALUE($A156))+SUMIFS('Rates &amp; Source Data'!$R$1398:$R$1413,'Rates &amp; Source Data'!$A$1398:$A$1413,VALUE($A156))+SUMIFS('Rates &amp; Source Data'!$B$1398:$B$1413,'Rates &amp; Source Data'!$A$1398:$A$1413,VALUE($A156))*AVERAGE(SUMIFS('Rates &amp; Source Data'!$F$1743:$F$1749,'Rates &amp; Source Data'!$A$1743:$A$1749,VALUE($A156)),SUMIFS('Rates &amp; Source Data'!$G$1743:$G$1749,'Rates &amp; Source Data'!$A$1743:$A$1749,VALUE($A156))),SUMIFS('Rates &amp; Source Data'!$N$1398:$N$1413,'Rates &amp; Source Data'!$A$1398:$A$1413,VALUE($A156)))</f>
        <v/>
      </c>
      <c r="F156" s="105">
        <f>IF(COUNTIF('Rates &amp; Source Data'!$A$1743:$A$1749,VALUE($A156))=0,0,SUMIFS('Rates &amp; Source Data'!$J$1398:$J$1413,'Rates &amp; Source Data'!$A$1398:$A$1413,VALUE($A156))*SUMIFS('Rates &amp; Source Data'!$C$1743:$C$1749,'Rates &amp; Source Data'!$A$1743:$A$1749,VALUE($A156))+365*SUMIFS('Rates &amp; Source Data'!$E$1743:$E$1749,'Rates &amp; Source Data'!$A$1743:$A$1749,VALUE($A156))+SUMIFS('Rates &amp; Source Data'!$O$1398:$O$1413,'Rates &amp; Source Data'!$A$1398:$A$1413,VALUE($A156))+SUMIFS('Rates &amp; Source Data'!$P$1398:$P$1413,'Rates &amp; Source Data'!$A$1398:$A$1413,VALUE($A156))+SUMIFS('Rates &amp; Source Data'!$Q$1398:$Q$1413,'Rates &amp; Source Data'!$A$1398:$A$1413,VALUE($A156))+SUMIFS('Rates &amp; Source Data'!$R$1398:$R$1413,'Rates &amp; Source Data'!$A$1398:$A$1413,VALUE($A156))+SUMIFS('Rates &amp; Source Data'!$B$1398:$B$1413,'Rates &amp; Source Data'!$A$1398:$A$1413,VALUE($A156))*SUMIFS('Rates &amp; Source Data'!$G$1743:$G$1749,'Rates &amp; Source Data'!$A$1743:$A$1749,VALUE($A156)))</f>
        <v/>
      </c>
      <c r="G156" s="106" t="n">
        <v>22.61507607355898</v>
      </c>
      <c r="H156" s="106" t="n">
        <v>22.61507607355898</v>
      </c>
      <c r="I156" s="8" t="inlineStr">
        <is>
          <t>Ready</t>
        </is>
      </c>
      <c r="J156" s="97" t="n">
        <v>350660.7757959199</v>
      </c>
      <c r="K156" s="97" t="n">
        <v>298837.9672039199</v>
      </c>
      <c r="L156" s="107" t="n"/>
    </row>
    <row r="157">
      <c r="A157" s="2" t="n">
        <v>5762711908</v>
      </c>
      <c r="B157" s="8">
        <f>_xlfn.XLOOKUP(A157,'Budget FY26-28'!A:A,'Site Register'!M:M)</f>
        <v/>
      </c>
      <c r="C157" s="8" t="inlineStr">
        <is>
          <t>GJ</t>
        </is>
      </c>
      <c r="D157" s="95" t="n">
        <v>15621.56412</v>
      </c>
      <c r="E157" s="105">
        <f>$D157*SUMIFS('Rates &amp; Source Data'!$B$1429:$B$1429,'Rates &amp; Source Data'!$A$1429:$A$1429,VALUE($A157))</f>
        <v/>
      </c>
      <c r="F157" s="105">
        <f>""</f>
        <v/>
      </c>
      <c r="G157" s="106" t="n"/>
      <c r="H157" s="106" t="n"/>
      <c r="I157" s="8" t="inlineStr">
        <is>
          <t>FY26 secured</t>
        </is>
      </c>
      <c r="J157" s="97" t="n">
        <v>550100</v>
      </c>
      <c r="K157" s="97" t="n"/>
      <c r="L157" s="107" t="n"/>
    </row>
    <row r="158">
      <c r="A158" s="2" t="n">
        <v>5310000243</v>
      </c>
      <c r="B158" s="8">
        <f>_xlfn.XLOOKUP(A158,'Budget FY26-28'!A:A,'Site Register'!M:M)</f>
        <v/>
      </c>
      <c r="C158" s="8" t="inlineStr">
        <is>
          <t>GJ</t>
        </is>
      </c>
      <c r="D158" s="95" t="n">
        <v>57783.717189303</v>
      </c>
      <c r="E158" s="105">
        <f>IFERROR(SUMIFS('Rates &amp; Source Data'!$J$1398:$J$1413,'Rates &amp; Source Data'!$A$1398:$A$1413,VALUE($A158))*AVERAGE(SUMIFS('Rates &amp; Source Data'!$B$1743:$B$1749,'Rates &amp; Source Data'!$A$1743:$A$1749,VALUE($A158)),SUMIFS('Rates &amp; Source Data'!$C$1743:$C$1749,'Rates &amp; Source Data'!$A$1743:$A$1749,VALUE($A158)))+365*AVERAGE(SUMIFS('Rates &amp; Source Data'!$D$1743:$D$1749,'Rates &amp; Source Data'!$A$1743:$A$1749,VALUE($A158)),SUMIFS('Rates &amp; Source Data'!$E$1743:$E$1749,'Rates &amp; Source Data'!$A$1743:$A$1749,VALUE($A158)))+SUMIFS('Rates &amp; Source Data'!$O$1398:$O$1413,'Rates &amp; Source Data'!$A$1398:$A$1413,VALUE($A158))+SUMIFS('Rates &amp; Source Data'!$P$1398:$P$1413,'Rates &amp; Source Data'!$A$1398:$A$1413,VALUE($A158))+SUMIFS('Rates &amp; Source Data'!$Q$1398:$Q$1413,'Rates &amp; Source Data'!$A$1398:$A$1413,VALUE($A158))+SUMIFS('Rates &amp; Source Data'!$R$1398:$R$1413,'Rates &amp; Source Data'!$A$1398:$A$1413,VALUE($A158))+SUMIFS('Rates &amp; Source Data'!$B$1398:$B$1413,'Rates &amp; Source Data'!$A$1398:$A$1413,VALUE($A158))*AVERAGE(SUMIFS('Rates &amp; Source Data'!$F$1743:$F$1749,'Rates &amp; Source Data'!$A$1743:$A$1749,VALUE($A158)),SUMIFS('Rates &amp; Source Data'!$G$1743:$G$1749,'Rates &amp; Source Data'!$A$1743:$A$1749,VALUE($A158))),SUMIFS('Rates &amp; Source Data'!$N$1398:$N$1413,'Rates &amp; Source Data'!$A$1398:$A$1413,VALUE($A158)))</f>
        <v/>
      </c>
      <c r="F158" s="105">
        <f>IF(COUNTIF('Rates &amp; Source Data'!$A$1743:$A$1749,VALUE($A158))=0,0,SUMIFS('Rates &amp; Source Data'!$J$1398:$J$1413,'Rates &amp; Source Data'!$A$1398:$A$1413,VALUE($A158))*SUMIFS('Rates &amp; Source Data'!$C$1743:$C$1749,'Rates &amp; Source Data'!$A$1743:$A$1749,VALUE($A158))+365*SUMIFS('Rates &amp; Source Data'!$E$1743:$E$1749,'Rates &amp; Source Data'!$A$1743:$A$1749,VALUE($A158))+SUMIFS('Rates &amp; Source Data'!$O$1398:$O$1413,'Rates &amp; Source Data'!$A$1398:$A$1413,VALUE($A158))+SUMIFS('Rates &amp; Source Data'!$P$1398:$P$1413,'Rates &amp; Source Data'!$A$1398:$A$1413,VALUE($A158))+SUMIFS('Rates &amp; Source Data'!$Q$1398:$Q$1413,'Rates &amp; Source Data'!$A$1398:$A$1413,VALUE($A158))+SUMIFS('Rates &amp; Source Data'!$R$1398:$R$1413,'Rates &amp; Source Data'!$A$1398:$A$1413,VALUE($A158))+SUMIFS('Rates &amp; Source Data'!$B$1398:$B$1413,'Rates &amp; Source Data'!$A$1398:$A$1413,VALUE($A158))*SUMIFS('Rates &amp; Source Data'!$G$1743:$G$1749,'Rates &amp; Source Data'!$A$1743:$A$1749,VALUE($A158)))</f>
        <v/>
      </c>
      <c r="G158" s="106" t="n">
        <v>17.65055718362378</v>
      </c>
      <c r="H158" s="106" t="n">
        <v>17.65055718362378</v>
      </c>
      <c r="I158" s="8" t="inlineStr">
        <is>
          <t>Ready</t>
        </is>
      </c>
      <c r="J158" s="97" t="n">
        <v>1327528.347140906</v>
      </c>
      <c r="K158" s="97" t="n">
        <v>1019914.804532137</v>
      </c>
      <c r="L158" s="107" t="n"/>
    </row>
    <row r="159">
      <c r="A159" s="2" t="n">
        <v>5320000943</v>
      </c>
      <c r="B159" s="8">
        <f>_xlfn.XLOOKUP(A159,'Budget FY26-28'!A:A,'Site Register'!M:M)</f>
        <v/>
      </c>
      <c r="C159" s="8" t="inlineStr">
        <is>
          <t>GJ</t>
        </is>
      </c>
      <c r="D159" s="95" t="n">
        <v>23114.486190759</v>
      </c>
      <c r="E159" s="105">
        <f>IFERROR(SUMIFS('Rates &amp; Source Data'!$J$1398:$J$1413,'Rates &amp; Source Data'!$A$1398:$A$1413,VALUE($A159))*AVERAGE(SUMIFS('Rates &amp; Source Data'!$B$1743:$B$1749,'Rates &amp; Source Data'!$A$1743:$A$1749,VALUE($A159)),SUMIFS('Rates &amp; Source Data'!$C$1743:$C$1749,'Rates &amp; Source Data'!$A$1743:$A$1749,VALUE($A159)))+365*AVERAGE(SUMIFS('Rates &amp; Source Data'!$D$1743:$D$1749,'Rates &amp; Source Data'!$A$1743:$A$1749,VALUE($A159)),SUMIFS('Rates &amp; Source Data'!$E$1743:$E$1749,'Rates &amp; Source Data'!$A$1743:$A$1749,VALUE($A159)))+SUMIFS('Rates &amp; Source Data'!$O$1398:$O$1413,'Rates &amp; Source Data'!$A$1398:$A$1413,VALUE($A159))+SUMIFS('Rates &amp; Source Data'!$P$1398:$P$1413,'Rates &amp; Source Data'!$A$1398:$A$1413,VALUE($A159))+SUMIFS('Rates &amp; Source Data'!$Q$1398:$Q$1413,'Rates &amp; Source Data'!$A$1398:$A$1413,VALUE($A159))+SUMIFS('Rates &amp; Source Data'!$R$1398:$R$1413,'Rates &amp; Source Data'!$A$1398:$A$1413,VALUE($A159))+SUMIFS('Rates &amp; Source Data'!$B$1398:$B$1413,'Rates &amp; Source Data'!$A$1398:$A$1413,VALUE($A159))*AVERAGE(SUMIFS('Rates &amp; Source Data'!$F$1743:$F$1749,'Rates &amp; Source Data'!$A$1743:$A$1749,VALUE($A159)),SUMIFS('Rates &amp; Source Data'!$G$1743:$G$1749,'Rates &amp; Source Data'!$A$1743:$A$1749,VALUE($A159))),SUMIFS('Rates &amp; Source Data'!$N$1398:$N$1413,'Rates &amp; Source Data'!$A$1398:$A$1413,VALUE($A159)))</f>
        <v/>
      </c>
      <c r="F159" s="105">
        <f>IF(COUNTIF('Rates &amp; Source Data'!$A$1743:$A$1749,VALUE($A159))=0,0,SUMIFS('Rates &amp; Source Data'!$J$1398:$J$1413,'Rates &amp; Source Data'!$A$1398:$A$1413,VALUE($A159))*SUMIFS('Rates &amp; Source Data'!$C$1743:$C$1749,'Rates &amp; Source Data'!$A$1743:$A$1749,VALUE($A159))+365*SUMIFS('Rates &amp; Source Data'!$E$1743:$E$1749,'Rates &amp; Source Data'!$A$1743:$A$1749,VALUE($A159))+SUMIFS('Rates &amp; Source Data'!$O$1398:$O$1413,'Rates &amp; Source Data'!$A$1398:$A$1413,VALUE($A159))+SUMIFS('Rates &amp; Source Data'!$P$1398:$P$1413,'Rates &amp; Source Data'!$A$1398:$A$1413,VALUE($A159))+SUMIFS('Rates &amp; Source Data'!$Q$1398:$Q$1413,'Rates &amp; Source Data'!$A$1398:$A$1413,VALUE($A159))+SUMIFS('Rates &amp; Source Data'!$R$1398:$R$1413,'Rates &amp; Source Data'!$A$1398:$A$1413,VALUE($A159))+SUMIFS('Rates &amp; Source Data'!$B$1398:$B$1413,'Rates &amp; Source Data'!$A$1398:$A$1413,VALUE($A159))*SUMIFS('Rates &amp; Source Data'!$G$1743:$G$1749,'Rates &amp; Source Data'!$A$1743:$A$1749,VALUE($A159)))</f>
        <v/>
      </c>
      <c r="G159" s="106" t="n">
        <v>18.85240380152792</v>
      </c>
      <c r="H159" s="106" t="n">
        <v>18.85240380152792</v>
      </c>
      <c r="I159" s="8" t="inlineStr">
        <is>
          <t>Ready</t>
        </is>
      </c>
      <c r="J159" s="97" t="n">
        <v>557500.5915073579</v>
      </c>
      <c r="K159" s="97" t="n">
        <v>435763.6273330295</v>
      </c>
      <c r="L159" s="107" t="n"/>
    </row>
    <row r="160">
      <c r="A160" s="2" t="n">
        <v>5321918308</v>
      </c>
      <c r="B160" s="8">
        <f>_xlfn.XLOOKUP(A160,'Budget FY26-28'!A:A,'Site Register'!M:M)</f>
        <v/>
      </c>
      <c r="C160" s="8" t="inlineStr">
        <is>
          <t>MJ</t>
        </is>
      </c>
      <c r="D160" s="95" t="n">
        <v>0</v>
      </c>
      <c r="E160" s="105">
        <f>IFERROR(SUMIFS('Rates &amp; Source Data'!$G$1434:$G$1450,'Rates &amp; Source Data'!$A$1434:$A$1450,$A160),"")</f>
        <v/>
      </c>
      <c r="F160" s="105">
        <f>E160</f>
        <v/>
      </c>
      <c r="G160" s="106" t="n"/>
      <c r="H160" s="106" t="n"/>
      <c r="I160" s="8" t="inlineStr">
        <is>
          <t>Ready</t>
        </is>
      </c>
      <c r="J160" s="97" t="n">
        <v>364.5255</v>
      </c>
      <c r="K160" s="97" t="n">
        <v>335.02547</v>
      </c>
      <c r="L160" s="107" t="n">
        <v>335.02547</v>
      </c>
    </row>
    <row r="161">
      <c r="A161" s="2" t="n">
        <v>5330662312</v>
      </c>
      <c r="B161" s="8">
        <f>_xlfn.XLOOKUP(A161,'Budget FY26-28'!A:A,'Site Register'!M:M)</f>
        <v/>
      </c>
      <c r="C161" s="8" t="inlineStr">
        <is>
          <t>GJ</t>
        </is>
      </c>
      <c r="D161" s="95" t="n">
        <v>103871.24325094</v>
      </c>
      <c r="E161" s="105">
        <f>IFERROR(SUMIFS('Rates &amp; Source Data'!$J$1398:$J$1413,'Rates &amp; Source Data'!$A$1398:$A$1413,VALUE($A161))*AVERAGE(SUMIFS('Rates &amp; Source Data'!$B$1743:$B$1749,'Rates &amp; Source Data'!$A$1743:$A$1749,VALUE($A161)),SUMIFS('Rates &amp; Source Data'!$C$1743:$C$1749,'Rates &amp; Source Data'!$A$1743:$A$1749,VALUE($A161)))+365*AVERAGE(SUMIFS('Rates &amp; Source Data'!$D$1743:$D$1749,'Rates &amp; Source Data'!$A$1743:$A$1749,VALUE($A161)),SUMIFS('Rates &amp; Source Data'!$E$1743:$E$1749,'Rates &amp; Source Data'!$A$1743:$A$1749,VALUE($A161)))+SUMIFS('Rates &amp; Source Data'!$O$1398:$O$1413,'Rates &amp; Source Data'!$A$1398:$A$1413,VALUE($A161))+SUMIFS('Rates &amp; Source Data'!$P$1398:$P$1413,'Rates &amp; Source Data'!$A$1398:$A$1413,VALUE($A161))+SUMIFS('Rates &amp; Source Data'!$Q$1398:$Q$1413,'Rates &amp; Source Data'!$A$1398:$A$1413,VALUE($A161))+SUMIFS('Rates &amp; Source Data'!$R$1398:$R$1413,'Rates &amp; Source Data'!$A$1398:$A$1413,VALUE($A161))+SUMIFS('Rates &amp; Source Data'!$B$1398:$B$1413,'Rates &amp; Source Data'!$A$1398:$A$1413,VALUE($A161))*AVERAGE(SUMIFS('Rates &amp; Source Data'!$F$1743:$F$1749,'Rates &amp; Source Data'!$A$1743:$A$1749,VALUE($A161)),SUMIFS('Rates &amp; Source Data'!$G$1743:$G$1749,'Rates &amp; Source Data'!$A$1743:$A$1749,VALUE($A161))),SUMIFS('Rates &amp; Source Data'!$N$1398:$N$1413,'Rates &amp; Source Data'!$A$1398:$A$1413,VALUE($A161)))</f>
        <v/>
      </c>
      <c r="F161" s="105">
        <f>IF(COUNTIF('Rates &amp; Source Data'!$A$1743:$A$1749,VALUE($A161))=0,0,SUMIFS('Rates &amp; Source Data'!$J$1398:$J$1413,'Rates &amp; Source Data'!$A$1398:$A$1413,VALUE($A161))*SUMIFS('Rates &amp; Source Data'!$C$1743:$C$1749,'Rates &amp; Source Data'!$A$1743:$A$1749,VALUE($A161))+365*SUMIFS('Rates &amp; Source Data'!$E$1743:$E$1749,'Rates &amp; Source Data'!$A$1743:$A$1749,VALUE($A161))+SUMIFS('Rates &amp; Source Data'!$O$1398:$O$1413,'Rates &amp; Source Data'!$A$1398:$A$1413,VALUE($A161))+SUMIFS('Rates &amp; Source Data'!$P$1398:$P$1413,'Rates &amp; Source Data'!$A$1398:$A$1413,VALUE($A161))+SUMIFS('Rates &amp; Source Data'!$Q$1398:$Q$1413,'Rates &amp; Source Data'!$A$1398:$A$1413,VALUE($A161))+SUMIFS('Rates &amp; Source Data'!$R$1398:$R$1413,'Rates &amp; Source Data'!$A$1398:$A$1413,VALUE($A161))+SUMIFS('Rates &amp; Source Data'!$B$1398:$B$1413,'Rates &amp; Source Data'!$A$1398:$A$1413,VALUE($A161))*SUMIFS('Rates &amp; Source Data'!$G$1743:$G$1749,'Rates &amp; Source Data'!$A$1743:$A$1749,VALUE($A161)))</f>
        <v/>
      </c>
      <c r="G161" s="106" t="n">
        <v>16.74655756913089</v>
      </c>
      <c r="H161" s="106" t="n">
        <v>16.74655756913089</v>
      </c>
      <c r="I161" s="8" t="inlineStr">
        <is>
          <t>Ready</t>
        </is>
      </c>
      <c r="J161" s="97" t="n">
        <v>2297818.066791735</v>
      </c>
      <c r="K161" s="97" t="n">
        <v>1739485.754879065</v>
      </c>
      <c r="L161" s="107" t="n"/>
    </row>
    <row r="162">
      <c r="A162" s="2" t="n">
        <v>5600405263</v>
      </c>
      <c r="B162" s="8">
        <f>_xlfn.XLOOKUP(A162,'Budget FY26-28'!A:A,'Site Register'!M:M)</f>
        <v/>
      </c>
      <c r="C162" s="8" t="inlineStr">
        <is>
          <t>GJ</t>
        </is>
      </c>
      <c r="D162" s="95" t="n">
        <v>590</v>
      </c>
      <c r="E162" s="105">
        <f>SUMIFS('Rates &amp; Source Data'!$J$1398:$J$1413,'Rates &amp; Source Data'!$A$1398:$A$1413,VALUE($A162))*SUMIFS('Rates &amp; Source Data'!$F$1754:$F$1761,'Rates &amp; Source Data'!$A$1754:$A$1761,VALUE($A162))+12*SUMIFS('Rates &amp; Source Data'!$X$1398:$X$1413,'Rates &amp; Source Data'!$A$1398:$A$1413,VALUE($A162))+SUMIFS('Rates &amp; Source Data'!$O$1398:$O$1413,'Rates &amp; Source Data'!$A$1398:$A$1413,VALUE($A162))+SUMIFS('Rates &amp; Source Data'!$P$1398:$P$1413,'Rates &amp; Source Data'!$A$1398:$A$1413,VALUE($A162))+SUMIFS('Rates &amp; Source Data'!$Q$1398:$Q$1413,'Rates &amp; Source Data'!$A$1398:$A$1413,VALUE($A162))+SUMIFS('Rates &amp; Source Data'!$R$1398:$R$1413,'Rates &amp; Source Data'!$A$1398:$A$1413,VALUE($A162))</f>
        <v/>
      </c>
      <c r="F162" s="105">
        <f>0</f>
        <v/>
      </c>
      <c r="G162" s="106" t="n">
        <v>18.76422033898305</v>
      </c>
      <c r="H162" s="106" t="n">
        <v>18.76422033898305</v>
      </c>
      <c r="I162" s="8" t="inlineStr">
        <is>
          <t>Ready</t>
        </is>
      </c>
      <c r="J162" s="97" t="n">
        <v>11123.34</v>
      </c>
      <c r="K162" s="97" t="n">
        <v>11070.89</v>
      </c>
      <c r="L162" s="107" t="n"/>
    </row>
    <row r="163">
      <c r="A163" s="2" t="n">
        <v>5600436929</v>
      </c>
      <c r="B163" s="8">
        <f>_xlfn.XLOOKUP(A163,'Budget FY26-28'!A:A,'Site Register'!M:M)</f>
        <v/>
      </c>
      <c r="C163" s="8" t="inlineStr">
        <is>
          <t>GJ</t>
        </is>
      </c>
      <c r="D163" s="95" t="n">
        <v>23242.13673913043</v>
      </c>
      <c r="E163" s="105">
        <f>SUMIFS('Rates &amp; Source Data'!$J$1398:$J$1413,'Rates &amp; Source Data'!$A$1398:$A$1413,VALUE($A163))*SUMIFS('Rates &amp; Source Data'!$F$1754:$F$1761,'Rates &amp; Source Data'!$A$1754:$A$1761,VALUE($A163))+12*SUMIFS('Rates &amp; Source Data'!$X$1398:$X$1413,'Rates &amp; Source Data'!$A$1398:$A$1413,VALUE($A163))+SUMIFS('Rates &amp; Source Data'!$O$1398:$O$1413,'Rates &amp; Source Data'!$A$1398:$A$1413,VALUE($A163))+SUMIFS('Rates &amp; Source Data'!$P$1398:$P$1413,'Rates &amp; Source Data'!$A$1398:$A$1413,VALUE($A163))+SUMIFS('Rates &amp; Source Data'!$Q$1398:$Q$1413,'Rates &amp; Source Data'!$A$1398:$A$1413,VALUE($A163))+SUMIFS('Rates &amp; Source Data'!$R$1398:$R$1413,'Rates &amp; Source Data'!$A$1398:$A$1413,VALUE($A163))</f>
        <v/>
      </c>
      <c r="F163" s="105">
        <f>0</f>
        <v/>
      </c>
      <c r="G163" s="106" t="n">
        <v>12.83175034082822</v>
      </c>
      <c r="H163" s="106" t="n">
        <v>12.83175034082822</v>
      </c>
      <c r="I163" s="8" t="inlineStr">
        <is>
          <t>Ready</t>
        </is>
      </c>
      <c r="J163" s="97" t="n">
        <v>328190.5665195652</v>
      </c>
      <c r="K163" s="97" t="n">
        <v>298237.296023913</v>
      </c>
      <c r="L163" s="107" t="n"/>
    </row>
    <row r="164">
      <c r="A164" s="2" t="n">
        <v>5600604830</v>
      </c>
      <c r="B164" s="8">
        <f>_xlfn.XLOOKUP(A164,'Budget FY26-28'!A:A,'Site Register'!M:M)</f>
        <v/>
      </c>
      <c r="C164" s="8" t="inlineStr">
        <is>
          <t>GJ</t>
        </is>
      </c>
      <c r="D164" s="95" t="n">
        <v>9471.607275641016</v>
      </c>
      <c r="E164" s="105">
        <f>SUMIFS('Rates &amp; Source Data'!$J$1398:$J$1413,'Rates &amp; Source Data'!$A$1398:$A$1413,VALUE($A164))*SUMIFS('Rates &amp; Source Data'!$F$1754:$F$1761,'Rates &amp; Source Data'!$A$1754:$A$1761,VALUE($A164))+12*SUMIFS('Rates &amp; Source Data'!$X$1398:$X$1413,'Rates &amp; Source Data'!$A$1398:$A$1413,VALUE($A164))+SUMIFS('Rates &amp; Source Data'!$O$1398:$O$1413,'Rates &amp; Source Data'!$A$1398:$A$1413,VALUE($A164))+SUMIFS('Rates &amp; Source Data'!$P$1398:$P$1413,'Rates &amp; Source Data'!$A$1398:$A$1413,VALUE($A164))+SUMIFS('Rates &amp; Source Data'!$Q$1398:$Q$1413,'Rates &amp; Source Data'!$A$1398:$A$1413,VALUE($A164))+SUMIFS('Rates &amp; Source Data'!$R$1398:$R$1413,'Rates &amp; Source Data'!$A$1398:$A$1413,VALUE($A164))</f>
        <v/>
      </c>
      <c r="F164" s="105">
        <f>0</f>
        <v/>
      </c>
      <c r="G164" s="106" t="n">
        <v>15.17303056401561</v>
      </c>
      <c r="H164" s="106" t="n">
        <v>15.17303056401561</v>
      </c>
      <c r="I164" s="8" t="inlineStr">
        <is>
          <t>Ready</t>
        </is>
      </c>
      <c r="J164" s="97" t="n">
        <v>155489.1582874999</v>
      </c>
      <c r="K164" s="97" t="n">
        <v>143712.9866836538</v>
      </c>
      <c r="L164" s="107" t="n"/>
    </row>
    <row r="165">
      <c r="A165" s="2" t="n">
        <v>5600945901</v>
      </c>
      <c r="B165" s="8">
        <f>_xlfn.XLOOKUP(A165,'Budget FY26-28'!A:A,'Site Register'!M:M)</f>
        <v/>
      </c>
      <c r="C165" s="8" t="inlineStr">
        <is>
          <t>GJ</t>
        </is>
      </c>
      <c r="D165" s="95" t="n">
        <v>34066.92792410716</v>
      </c>
      <c r="E165" s="105">
        <f>SUMIFS('Rates &amp; Source Data'!$J$1398:$J$1413,'Rates &amp; Source Data'!$A$1398:$A$1413,VALUE($A165))*SUMIFS('Rates &amp; Source Data'!$F$1754:$F$1761,'Rates &amp; Source Data'!$A$1754:$A$1761,VALUE($A165))+12*SUMIFS('Rates &amp; Source Data'!$X$1398:$X$1413,'Rates &amp; Source Data'!$A$1398:$A$1413,VALUE($A165))+SUMIFS('Rates &amp; Source Data'!$O$1398:$O$1413,'Rates &amp; Source Data'!$A$1398:$A$1413,VALUE($A165))+SUMIFS('Rates &amp; Source Data'!$P$1398:$P$1413,'Rates &amp; Source Data'!$A$1398:$A$1413,VALUE($A165))+SUMIFS('Rates &amp; Source Data'!$Q$1398:$Q$1413,'Rates &amp; Source Data'!$A$1398:$A$1413,VALUE($A165))+SUMIFS('Rates &amp; Source Data'!$R$1398:$R$1413,'Rates &amp; Source Data'!$A$1398:$A$1413,VALUE($A165))</f>
        <v/>
      </c>
      <c r="F165" s="105">
        <f>0</f>
        <v/>
      </c>
      <c r="G165" s="106" t="n">
        <v>12.42000220578796</v>
      </c>
      <c r="H165" s="106" t="n">
        <v>12.42000220578796</v>
      </c>
      <c r="I165" s="8" t="inlineStr">
        <is>
          <t>Ready</t>
        </is>
      </c>
      <c r="J165" s="97" t="n">
        <v>467353.314821652</v>
      </c>
      <c r="K165" s="97" t="n">
        <v>423111.3199618305</v>
      </c>
      <c r="L165" s="107" t="n"/>
    </row>
    <row r="166">
      <c r="A166" s="2" t="inlineStr">
        <is>
          <t>0000004290DEF89</t>
        </is>
      </c>
      <c r="B166" s="8">
        <f>_xlfn.XLOOKUP(A166,'Budget FY26-28'!A:A,'Site Register'!M:M)</f>
        <v/>
      </c>
      <c r="C166" s="8" t="inlineStr">
        <is>
          <t>kWh</t>
        </is>
      </c>
      <c r="D166" s="95" t="n">
        <v>156484.0425531915</v>
      </c>
      <c r="E166" s="105">
        <f>IFERROR(IF(SUMIFS('Rates &amp; Source Data'!$I$1263:$I$1393,'Rates &amp; Source Data'!$A$1263:$A$1393,$A166)&lt;&gt;0,SUMIFS('Rates &amp; Source Data'!$I$1263:$I$1393,'Rates &amp; Source Data'!$A$1263:$A$1393,$A166),$K166),$K166)</f>
        <v/>
      </c>
      <c r="F166" s="105">
        <f>E166</f>
        <v/>
      </c>
      <c r="G166" s="106" t="n">
        <v>0.204646775077331</v>
      </c>
      <c r="H166" s="106" t="n">
        <v>0.204646775077331</v>
      </c>
      <c r="I166" s="8" t="inlineStr">
        <is>
          <t>Ready</t>
        </is>
      </c>
      <c r="J166" s="97">
        <f>IF(COUNTIF('Rates &amp; Source Data'!$A$1499:$A$1661,$A166)=0,"",SUMIFS('Rates &amp; Source Data'!$B$1499:$B$1661,'Rates &amp; Source Data'!$A$1499:$A$1661,$A166))</f>
        <v/>
      </c>
      <c r="K166" s="97" t="n">
        <v>32023.95465957447</v>
      </c>
      <c r="L166" s="107" t="n">
        <v>32023.95465957447</v>
      </c>
    </row>
    <row r="167">
      <c r="A167" s="2" t="inlineStr">
        <is>
          <t>0000015023HBABD</t>
        </is>
      </c>
      <c r="B167" s="8">
        <f>_xlfn.XLOOKUP(A167,'Budget FY26-28'!A:A,'Site Register'!M:M)</f>
        <v/>
      </c>
      <c r="C167" s="8" t="inlineStr">
        <is>
          <t>kWh</t>
        </is>
      </c>
      <c r="D167" s="95" t="n">
        <v>43948.43000000001</v>
      </c>
      <c r="E167" s="105">
        <f>SUMIFS('Rates &amp; Source Data'!$X$1238:$X$1258,'Rates &amp; Source Data'!$B$1238:$B$1258,$A167)</f>
        <v/>
      </c>
      <c r="F167" s="105">
        <f>E167</f>
        <v/>
      </c>
      <c r="G167" s="106" t="n">
        <v>0.5500609482693692</v>
      </c>
      <c r="H167" s="106" t="n">
        <v>0.5500609482693692</v>
      </c>
      <c r="I167" s="8" t="inlineStr">
        <is>
          <t>Ready</t>
        </is>
      </c>
      <c r="J167" s="97">
        <f>IF(COUNTIF('Rates &amp; Source Data'!$A$1666:$A$1686,$A167)=0,"",SUMIFS('Rates &amp; Source Data'!$B$1666:$B$1686,'Rates &amp; Source Data'!$A$1666:$A$1686,$A167))</f>
        <v/>
      </c>
      <c r="K167" s="97" t="n">
        <v>24174.31508075</v>
      </c>
      <c r="L167" s="107" t="n">
        <v>24174.31508075</v>
      </c>
    </row>
    <row r="168">
      <c r="A168" s="2" t="inlineStr">
        <is>
          <t>0000017346CEE5A</t>
        </is>
      </c>
      <c r="B168" s="8">
        <f>_xlfn.XLOOKUP(A168,'Budget FY26-28'!A:A,'Site Register'!M:M)</f>
        <v/>
      </c>
      <c r="C168" s="8" t="inlineStr">
        <is>
          <t>kWh</t>
        </is>
      </c>
      <c r="D168" s="95" t="n">
        <v>7626.170212765958</v>
      </c>
      <c r="E168" s="105">
        <f>IFERROR(IF(SUMIFS('Rates &amp; Source Data'!$I$1263:$I$1393,'Rates &amp; Source Data'!$A$1263:$A$1393,$A168)&lt;&gt;0,SUMIFS('Rates &amp; Source Data'!$I$1263:$I$1393,'Rates &amp; Source Data'!$A$1263:$A$1393,$A168),$K168),$K168)</f>
        <v/>
      </c>
      <c r="F168" s="105">
        <f>E168</f>
        <v/>
      </c>
      <c r="G168" s="106" t="n">
        <v>0.2590839285216081</v>
      </c>
      <c r="H168" s="106" t="n">
        <v>0.2590839285216081</v>
      </c>
      <c r="I168" s="8" t="inlineStr">
        <is>
          <t>Ready</t>
        </is>
      </c>
      <c r="J168" s="97">
        <f>IF(COUNTIF('Rates &amp; Source Data'!$A$1499:$A$1661,$A168)=0,"",SUMIFS('Rates &amp; Source Data'!$B$1499:$B$1661,'Rates &amp; Source Data'!$A$1499:$A$1661,$A168))</f>
        <v/>
      </c>
      <c r="K168" s="97" t="n">
        <v>1975.818138297872</v>
      </c>
      <c r="L168" s="107" t="n">
        <v>1975.818138297872</v>
      </c>
    </row>
    <row r="169">
      <c r="A169" s="2" t="inlineStr">
        <is>
          <t>0000024050WE5E2</t>
        </is>
      </c>
      <c r="B169" s="8">
        <f>_xlfn.XLOOKUP(A169,'Budget FY26-28'!A:A,'Site Register'!M:M)</f>
        <v/>
      </c>
      <c r="C169" s="8" t="inlineStr">
        <is>
          <t>kWh</t>
        </is>
      </c>
      <c r="D169" s="95" t="n">
        <v>598544.088</v>
      </c>
      <c r="E169" s="105">
        <f>SUMIFS('Rates &amp; Source Data'!$X$1238:$X$1258,'Rates &amp; Source Data'!$B$1238:$B$1258,$A169)</f>
        <v/>
      </c>
      <c r="F169" s="105">
        <f>E169</f>
        <v/>
      </c>
      <c r="G169" s="106" t="n">
        <v>0.2299596686728949</v>
      </c>
      <c r="H169" s="106" t="n">
        <v>0.2299596686728949</v>
      </c>
      <c r="I169" s="8" t="inlineStr">
        <is>
          <t>Ready</t>
        </is>
      </c>
      <c r="J169" s="97">
        <f>IF(COUNTIF('Rates &amp; Source Data'!$A$1666:$A$1686,$A169)=0,"",SUMIFS('Rates &amp; Source Data'!$B$1666:$B$1686,'Rates &amp; Source Data'!$A$1666:$A$1686,$A169))</f>
        <v/>
      </c>
      <c r="K169" s="97" t="n">
        <v>137641.0001626</v>
      </c>
      <c r="L169" s="107" t="n">
        <v>137641.0001626</v>
      </c>
    </row>
    <row r="170">
      <c r="A170" s="2" t="inlineStr">
        <is>
          <t>0000024744TR7DE</t>
        </is>
      </c>
      <c r="B170" s="8">
        <f>_xlfn.XLOOKUP(A170,'Budget FY26-28'!A:A,'Site Register'!M:M)</f>
        <v/>
      </c>
      <c r="C170" s="8" t="inlineStr">
        <is>
          <t>kWh</t>
        </is>
      </c>
      <c r="D170" s="95" t="n">
        <v>105784.4208037825</v>
      </c>
      <c r="E170" s="105">
        <f>IFERROR(IF(SUMIFS('Rates &amp; Source Data'!$I$1263:$I$1393,'Rates &amp; Source Data'!$A$1263:$A$1393,$A170)&lt;&gt;0,SUMIFS('Rates &amp; Source Data'!$I$1263:$I$1393,'Rates &amp; Source Data'!$A$1263:$A$1393,$A170),$K170),$K170)</f>
        <v/>
      </c>
      <c r="F170" s="105">
        <f>E170</f>
        <v/>
      </c>
      <c r="G170" s="106" t="n">
        <v>0.2543356971815421</v>
      </c>
      <c r="H170" s="106" t="n">
        <v>0.2543356971815421</v>
      </c>
      <c r="I170" s="8" t="inlineStr">
        <is>
          <t>Ready</t>
        </is>
      </c>
      <c r="J170" s="97">
        <f>IF(COUNTIF('Rates &amp; Source Data'!$A$1499:$A$1661,$A170)=0,"",SUMIFS('Rates &amp; Source Data'!$B$1499:$B$1661,'Rates &amp; Source Data'!$A$1499:$A$1661,$A170))</f>
        <v/>
      </c>
      <c r="K170" s="97" t="n">
        <v>26904.75441607565</v>
      </c>
      <c r="L170" s="107" t="n">
        <v>26904.75441607565</v>
      </c>
    </row>
    <row r="171">
      <c r="A171" s="2" t="inlineStr">
        <is>
          <t>0000025040UN2AE</t>
        </is>
      </c>
      <c r="B171" s="8">
        <f>_xlfn.XLOOKUP(A171,'Budget FY26-28'!A:A,'Site Register'!M:M)</f>
        <v/>
      </c>
      <c r="C171" s="8" t="inlineStr">
        <is>
          <t>kWh</t>
        </is>
      </c>
      <c r="D171" s="95" t="n">
        <v>14808.81796690307</v>
      </c>
      <c r="E171" s="105">
        <f>IFERROR(IF(SUMIFS('Rates &amp; Source Data'!$I$1263:$I$1393,'Rates &amp; Source Data'!$A$1263:$A$1393,$A171)&lt;&gt;0,SUMIFS('Rates &amp; Source Data'!$I$1263:$I$1393,'Rates &amp; Source Data'!$A$1263:$A$1393,$A171),$K171),$K171)</f>
        <v/>
      </c>
      <c r="F171" s="105">
        <f>E171</f>
        <v/>
      </c>
      <c r="G171" s="106" t="n">
        <v>0.3693520508352157</v>
      </c>
      <c r="H171" s="106" t="n">
        <v>0.3693520508352157</v>
      </c>
      <c r="I171" s="8" t="inlineStr">
        <is>
          <t>Ready</t>
        </is>
      </c>
      <c r="J171" s="97">
        <f>IF(COUNTIF('Rates &amp; Source Data'!$A$1499:$A$1661,$A171)=0,"",SUMIFS('Rates &amp; Source Data'!$B$1499:$B$1661,'Rates &amp; Source Data'!$A$1499:$A$1661,$A171))</f>
        <v/>
      </c>
      <c r="K171" s="97" t="n">
        <v>5469.667286521039</v>
      </c>
      <c r="L171" s="107" t="n">
        <v>5469.667286521039</v>
      </c>
    </row>
    <row r="172">
      <c r="A172" s="2" t="inlineStr">
        <is>
          <t>0000028649TRA01</t>
        </is>
      </c>
      <c r="B172" s="8">
        <f>_xlfn.XLOOKUP(A172,'Budget FY26-28'!A:A,'Site Register'!M:M)</f>
        <v/>
      </c>
      <c r="C172" s="8" t="inlineStr">
        <is>
          <t>kWh</t>
        </is>
      </c>
      <c r="D172" s="95" t="n">
        <v>24229.78723404255</v>
      </c>
      <c r="E172" s="105">
        <f>IFERROR(IF(SUMIFS('Rates &amp; Source Data'!$I$1263:$I$1393,'Rates &amp; Source Data'!$A$1263:$A$1393,$A172)&lt;&gt;0,SUMIFS('Rates &amp; Source Data'!$I$1263:$I$1393,'Rates &amp; Source Data'!$A$1263:$A$1393,$A172),$K172),$K172)</f>
        <v/>
      </c>
      <c r="F172" s="105">
        <f>E172</f>
        <v/>
      </c>
      <c r="G172" s="106" t="n">
        <v>0.3186089159641728</v>
      </c>
      <c r="H172" s="106" t="n">
        <v>0.3186089159641728</v>
      </c>
      <c r="I172" s="8" t="inlineStr">
        <is>
          <t>Ready</t>
        </is>
      </c>
      <c r="J172" s="97">
        <f>IF(COUNTIF('Rates &amp; Source Data'!$A$1499:$A$1661,$A172)=0,"",SUMIFS('Rates &amp; Source Data'!$B$1499:$B$1661,'Rates &amp; Source Data'!$A$1499:$A$1661,$A172))</f>
        <v/>
      </c>
      <c r="K172" s="97" t="n">
        <v>7719.826244680851</v>
      </c>
      <c r="L172" s="107" t="n">
        <v>7719.826244680851</v>
      </c>
    </row>
    <row r="173">
      <c r="A173" s="2" t="inlineStr">
        <is>
          <t>0000029575HBC93</t>
        </is>
      </c>
      <c r="B173" s="8">
        <f>_xlfn.XLOOKUP(A173,'Budget FY26-28'!A:A,'Site Register'!M:M)</f>
        <v/>
      </c>
      <c r="C173" s="8" t="inlineStr">
        <is>
          <t>kWh</t>
        </is>
      </c>
      <c r="D173" s="95" t="n">
        <v>87933.14858490566</v>
      </c>
      <c r="E173" s="105">
        <f>IFERROR(IF(SUMIFS('Rates &amp; Source Data'!$I$1263:$I$1393,'Rates &amp; Source Data'!$A$1263:$A$1393,$A173)&lt;&gt;0,SUMIFS('Rates &amp; Source Data'!$I$1263:$I$1393,'Rates &amp; Source Data'!$A$1263:$A$1393,$A173),$K173),$K173)</f>
        <v/>
      </c>
      <c r="F173" s="105">
        <f>E173</f>
        <v/>
      </c>
      <c r="G173" s="106" t="n">
        <v>0.2892919391620806</v>
      </c>
      <c r="H173" s="106" t="n">
        <v>0.2892919391620806</v>
      </c>
      <c r="I173" s="8" t="inlineStr">
        <is>
          <t>Ready</t>
        </is>
      </c>
      <c r="J173" s="97">
        <f>IF(COUNTIF('Rates &amp; Source Data'!$A$1499:$A$1661,$A173)=0,"",SUMIFS('Rates &amp; Source Data'!$B$1499:$B$1661,'Rates &amp; Source Data'!$A$1499:$A$1661,$A173))</f>
        <v/>
      </c>
      <c r="K173" s="97" t="n">
        <v>25438.35107075472</v>
      </c>
      <c r="L173" s="107" t="n">
        <v>25438.35107075472</v>
      </c>
    </row>
    <row r="174">
      <c r="A174" s="2" t="inlineStr">
        <is>
          <t>0000029746CH3C0</t>
        </is>
      </c>
      <c r="B174" s="8">
        <f>_xlfn.XLOOKUP(A174,'Budget FY26-28'!A:A,'Site Register'!M:M)</f>
        <v/>
      </c>
      <c r="C174" s="8" t="inlineStr">
        <is>
          <t>kWh</t>
        </is>
      </c>
      <c r="D174" s="95" t="n">
        <v>15205.74468085106</v>
      </c>
      <c r="E174" s="105">
        <f>IFERROR(IF(SUMIFS('Rates &amp; Source Data'!$I$1263:$I$1393,'Rates &amp; Source Data'!$A$1263:$A$1393,$A174)&lt;&gt;0,SUMIFS('Rates &amp; Source Data'!$I$1263:$I$1393,'Rates &amp; Source Data'!$A$1263:$A$1393,$A174),$K174),$K174)</f>
        <v/>
      </c>
      <c r="F174" s="105">
        <f>E174</f>
        <v/>
      </c>
      <c r="G174" s="106" t="n">
        <v>0.4352292361533295</v>
      </c>
      <c r="H174" s="106" t="n">
        <v>0.4352292361533295</v>
      </c>
      <c r="I174" s="8" t="inlineStr">
        <is>
          <t>Ready</t>
        </is>
      </c>
      <c r="J174" s="97">
        <f>IF(COUNTIF('Rates &amp; Source Data'!$A$1499:$A$1661,$A174)=0,"",SUMIFS('Rates &amp; Source Data'!$B$1499:$B$1661,'Rates &amp; Source Data'!$A$1499:$A$1661,$A174))</f>
        <v/>
      </c>
      <c r="K174" s="97" t="n">
        <v>6617.984642589361</v>
      </c>
      <c r="L174" s="107" t="n">
        <v>6617.984642589361</v>
      </c>
    </row>
    <row r="175">
      <c r="A175" s="2" t="inlineStr">
        <is>
          <t>0000030443TR776</t>
        </is>
      </c>
      <c r="B175" s="8">
        <f>_xlfn.XLOOKUP(A175,'Budget FY26-28'!A:A,'Site Register'!M:M)</f>
        <v/>
      </c>
      <c r="C175" s="8" t="inlineStr">
        <is>
          <t>kWh</t>
        </is>
      </c>
      <c r="D175" s="95" t="n">
        <v>6507.872340425532</v>
      </c>
      <c r="E175" s="105">
        <f>IFERROR(IF(SUMIFS('Rates &amp; Source Data'!$I$1263:$I$1393,'Rates &amp; Source Data'!$A$1263:$A$1393,$A175)&lt;&gt;0,SUMIFS('Rates &amp; Source Data'!$I$1263:$I$1393,'Rates &amp; Source Data'!$A$1263:$A$1393,$A175),$K175),$K175)</f>
        <v/>
      </c>
      <c r="F175" s="105">
        <f>E175</f>
        <v/>
      </c>
      <c r="G175" s="106" t="n">
        <v>0.4155644794847484</v>
      </c>
      <c r="H175" s="106" t="n">
        <v>0.4155644794847484</v>
      </c>
      <c r="I175" s="8" t="inlineStr">
        <is>
          <t>Ready</t>
        </is>
      </c>
      <c r="J175" s="97">
        <f>IF(COUNTIF('Rates &amp; Source Data'!$A$1499:$A$1661,$A175)=0,"",SUMIFS('Rates &amp; Source Data'!$B$1499:$B$1661,'Rates &amp; Source Data'!$A$1499:$A$1661,$A175))</f>
        <v/>
      </c>
      <c r="K175" s="97" t="n">
        <v>2704.440581702127</v>
      </c>
      <c r="L175" s="107" t="n">
        <v>2704.440581702127</v>
      </c>
    </row>
    <row r="176">
      <c r="A176" s="2" t="inlineStr">
        <is>
          <t>0000030446TRA39</t>
        </is>
      </c>
      <c r="B176" s="8">
        <f>_xlfn.XLOOKUP(A176,'Budget FY26-28'!A:A,'Site Register'!M:M)</f>
        <v/>
      </c>
      <c r="C176" s="8" t="inlineStr">
        <is>
          <t>kWh</t>
        </is>
      </c>
      <c r="D176" s="95" t="n">
        <v>5193.699763593381</v>
      </c>
      <c r="E176" s="105">
        <f>IFERROR(IF(SUMIFS('Rates &amp; Source Data'!$I$1263:$I$1393,'Rates &amp; Source Data'!$A$1263:$A$1393,$A176)&lt;&gt;0,SUMIFS('Rates &amp; Source Data'!$I$1263:$I$1393,'Rates &amp; Source Data'!$A$1263:$A$1393,$A176),$K176),$K176)</f>
        <v/>
      </c>
      <c r="F176" s="105">
        <f>E176</f>
        <v/>
      </c>
      <c r="G176" s="106" t="n">
        <v>0.4557541897780316</v>
      </c>
      <c r="H176" s="106" t="n">
        <v>0.4557541897780316</v>
      </c>
      <c r="I176" s="8" t="inlineStr">
        <is>
          <t>Ready</t>
        </is>
      </c>
      <c r="J176" s="97">
        <f>IF(COUNTIF('Rates &amp; Source Data'!$A$1499:$A$1661,$A176)=0,"",SUMIFS('Rates &amp; Source Data'!$B$1499:$B$1661,'Rates &amp; Source Data'!$A$1499:$A$1661,$A176))</f>
        <v/>
      </c>
      <c r="K176" s="97" t="n">
        <v>2367.050427706856</v>
      </c>
      <c r="L176" s="107" t="n">
        <v>2367.050427706856</v>
      </c>
    </row>
    <row r="177">
      <c r="A177" s="2" t="inlineStr">
        <is>
          <t>0000031643WEA48</t>
        </is>
      </c>
      <c r="B177" s="8">
        <f>_xlfn.XLOOKUP(A177,'Budget FY26-28'!A:A,'Site Register'!M:M)</f>
        <v/>
      </c>
      <c r="C177" s="8" t="inlineStr">
        <is>
          <t>kWh</t>
        </is>
      </c>
      <c r="D177" s="95" t="n">
        <v>181231.47</v>
      </c>
      <c r="E177" s="105">
        <f>SUMIFS('Rates &amp; Source Data'!$X$1238:$X$1258,'Rates &amp; Source Data'!$B$1238:$B$1258,$A177)</f>
        <v/>
      </c>
      <c r="F177" s="105">
        <f>E177</f>
        <v/>
      </c>
      <c r="G177" s="106" t="n">
        <v>0.2602258451526107</v>
      </c>
      <c r="H177" s="106" t="n">
        <v>0.2602258451526107</v>
      </c>
      <c r="I177" s="8" t="inlineStr">
        <is>
          <t>Ready</t>
        </is>
      </c>
      <c r="J177" s="97">
        <f>IF(COUNTIF('Rates &amp; Source Data'!$A$1666:$A$1686,$A177)=0,"",SUMIFS('Rates &amp; Source Data'!$B$1666:$B$1686,'Rates &amp; Source Data'!$A$1666:$A$1686,$A177))</f>
        <v/>
      </c>
      <c r="K177" s="97" t="n">
        <v>47161.112449</v>
      </c>
      <c r="L177" s="107" t="n">
        <v>47161.112449</v>
      </c>
    </row>
    <row r="178">
      <c r="A178" s="2" t="inlineStr">
        <is>
          <t>0000041352NT1D5</t>
        </is>
      </c>
      <c r="B178" s="8">
        <f>_xlfn.XLOOKUP(A178,'Budget FY26-28'!A:A,'Site Register'!M:M)</f>
        <v/>
      </c>
      <c r="C178" s="8" t="inlineStr">
        <is>
          <t>kWh</t>
        </is>
      </c>
      <c r="D178" s="95" t="n">
        <v>21216.59574468085</v>
      </c>
      <c r="E178" s="105">
        <f>IFERROR(IF(SUMIFS('Rates &amp; Source Data'!$I$1263:$I$1393,'Rates &amp; Source Data'!$A$1263:$A$1393,$A178)&lt;&gt;0,SUMIFS('Rates &amp; Source Data'!$I$1263:$I$1393,'Rates &amp; Source Data'!$A$1263:$A$1393,$A178),$K178),$K178)</f>
        <v/>
      </c>
      <c r="F178" s="105">
        <f>E178</f>
        <v/>
      </c>
      <c r="G178" s="106" t="n">
        <v>0.220078154395395</v>
      </c>
      <c r="H178" s="106" t="n">
        <v>0.220078154395395</v>
      </c>
      <c r="I178" s="8" t="inlineStr">
        <is>
          <t>Ready</t>
        </is>
      </c>
      <c r="J178" s="97">
        <f>IF(COUNTIF('Rates &amp; Source Data'!$A$1499:$A$1661,$A178)=0,"",SUMIFS('Rates &amp; Source Data'!$B$1499:$B$1661,'Rates &amp; Source Data'!$A$1499:$A$1661,$A178))</f>
        <v/>
      </c>
      <c r="K178" s="97" t="n">
        <v>4669.309234042553</v>
      </c>
      <c r="L178" s="107" t="n">
        <v>4669.309234042553</v>
      </c>
    </row>
    <row r="179">
      <c r="A179" s="2" t="inlineStr">
        <is>
          <t>0000044234WE347</t>
        </is>
      </c>
      <c r="B179" s="8">
        <f>_xlfn.XLOOKUP(A179,'Budget FY26-28'!A:A,'Site Register'!M:M)</f>
        <v/>
      </c>
      <c r="C179" s="8" t="inlineStr">
        <is>
          <t>kWh</t>
        </is>
      </c>
      <c r="D179" s="95" t="n">
        <v>42182.11627906976</v>
      </c>
      <c r="E179" s="105">
        <f>IFERROR(IF(SUMIFS('Rates &amp; Source Data'!$I$1263:$I$1393,'Rates &amp; Source Data'!$A$1263:$A$1393,$A179)&lt;&gt;0,SUMIFS('Rates &amp; Source Data'!$I$1263:$I$1393,'Rates &amp; Source Data'!$A$1263:$A$1393,$A179),$K179),$K179)</f>
        <v/>
      </c>
      <c r="F179" s="105">
        <f>E179</f>
        <v/>
      </c>
      <c r="G179" s="106" t="n">
        <v>0.3166570191342909</v>
      </c>
      <c r="H179" s="106" t="n">
        <v>0.3166570191342909</v>
      </c>
      <c r="I179" s="8" t="inlineStr">
        <is>
          <t>Ready</t>
        </is>
      </c>
      <c r="J179" s="97">
        <f>IF(COUNTIF('Rates &amp; Source Data'!$A$1499:$A$1661,$A179)=0,"",SUMIFS('Rates &amp; Source Data'!$B$1499:$B$1661,'Rates &amp; Source Data'!$A$1499:$A$1661,$A179))</f>
        <v/>
      </c>
      <c r="K179" s="97" t="n">
        <v>13357.26320170628</v>
      </c>
      <c r="L179" s="107" t="n">
        <v>13357.26320170628</v>
      </c>
    </row>
    <row r="180">
      <c r="A180" s="2" t="inlineStr">
        <is>
          <t>0000044241WEB55</t>
        </is>
      </c>
      <c r="B180" s="8">
        <f>_xlfn.XLOOKUP(A180,'Budget FY26-28'!A:A,'Site Register'!M:M)</f>
        <v/>
      </c>
      <c r="C180" s="8" t="inlineStr">
        <is>
          <t>kWh</t>
        </is>
      </c>
      <c r="D180" s="95" t="n">
        <v>405000</v>
      </c>
      <c r="E180" s="105">
        <f>SUMIFS('Rates &amp; Source Data'!$X$1238:$X$1258,'Rates &amp; Source Data'!$B$1238:$B$1258,$A180)</f>
        <v/>
      </c>
      <c r="F180" s="105">
        <f>E180</f>
        <v/>
      </c>
      <c r="G180" s="106" t="n"/>
      <c r="H180" s="106" t="n"/>
      <c r="I180" s="8" t="inlineStr">
        <is>
          <t>Review required</t>
        </is>
      </c>
      <c r="J180" s="97">
        <f>IF(COUNTIF('Rates &amp; Source Data'!$A$1666:$A$1686,$A180)=0,"",SUMIFS('Rates &amp; Source Data'!$B$1666:$B$1686,'Rates &amp; Source Data'!$A$1666:$A$1686,$A180))</f>
        <v/>
      </c>
      <c r="K180" s="97" t="n"/>
      <c r="L180" s="107" t="n"/>
    </row>
    <row r="181">
      <c r="A181" s="2" t="inlineStr">
        <is>
          <t>0000045869HR155</t>
        </is>
      </c>
      <c r="B181" s="8">
        <f>_xlfn.XLOOKUP(A181,'Budget FY26-28'!A:A,'Site Register'!M:M)</f>
        <v/>
      </c>
      <c r="C181" s="8" t="inlineStr">
        <is>
          <t>kWh</t>
        </is>
      </c>
      <c r="D181" s="95" t="n">
        <v>42282.18676122931</v>
      </c>
      <c r="E181" s="105">
        <f>IFERROR(IF(SUMIFS('Rates &amp; Source Data'!$I$1263:$I$1393,'Rates &amp; Source Data'!$A$1263:$A$1393,$A181)&lt;&gt;0,SUMIFS('Rates &amp; Source Data'!$I$1263:$I$1393,'Rates &amp; Source Data'!$A$1263:$A$1393,$A181),$K181),$K181)</f>
        <v/>
      </c>
      <c r="F181" s="105">
        <f>E181</f>
        <v/>
      </c>
      <c r="G181" s="106" t="n">
        <v>0.3279898789876527</v>
      </c>
      <c r="H181" s="106" t="n">
        <v>0.3279898789876527</v>
      </c>
      <c r="I181" s="8" t="inlineStr">
        <is>
          <t>Ready</t>
        </is>
      </c>
      <c r="J181" s="97">
        <f>IF(COUNTIF('Rates &amp; Source Data'!$A$1499:$A$1661,$A181)=0,"",SUMIFS('Rates &amp; Source Data'!$B$1499:$B$1661,'Rates &amp; Source Data'!$A$1499:$A$1661,$A181))</f>
        <v/>
      </c>
      <c r="K181" s="97" t="n">
        <v>13868.12931914893</v>
      </c>
      <c r="L181" s="107" t="n">
        <v>13868.12931914893</v>
      </c>
    </row>
    <row r="182">
      <c r="A182" s="2" t="inlineStr">
        <is>
          <t>0000048678UN93C</t>
        </is>
      </c>
      <c r="B182" s="8">
        <f>_xlfn.XLOOKUP(A182,'Budget FY26-28'!A:A,'Site Register'!M:M)</f>
        <v/>
      </c>
      <c r="C182" s="8" t="inlineStr">
        <is>
          <t>kWh</t>
        </is>
      </c>
      <c r="D182" s="95" t="n">
        <v>17632.51879699248</v>
      </c>
      <c r="E182" s="105">
        <f>IFERROR(IF(SUMIFS('Rates &amp; Source Data'!$I$1263:$I$1393,'Rates &amp; Source Data'!$A$1263:$A$1393,$A182)&lt;&gt;0,SUMIFS('Rates &amp; Source Data'!$I$1263:$I$1393,'Rates &amp; Source Data'!$A$1263:$A$1393,$A182),$K182),$K182)</f>
        <v/>
      </c>
      <c r="F182" s="105">
        <f>E182</f>
        <v/>
      </c>
      <c r="G182" s="106" t="n">
        <v>0.3565251185842972</v>
      </c>
      <c r="H182" s="106" t="n">
        <v>0.3565251185842972</v>
      </c>
      <c r="I182" s="8" t="inlineStr">
        <is>
          <t>Ready</t>
        </is>
      </c>
      <c r="J182" s="97">
        <f>IF(COUNTIF('Rates &amp; Source Data'!$A$1499:$A$1661,$A182)=0,"",SUMIFS('Rates &amp; Source Data'!$B$1499:$B$1661,'Rates &amp; Source Data'!$A$1499:$A$1661,$A182))</f>
        <v/>
      </c>
      <c r="K182" s="97" t="n">
        <v>6286.435855037594</v>
      </c>
      <c r="L182" s="107" t="n">
        <v>6286.435855037594</v>
      </c>
    </row>
    <row r="183">
      <c r="A183" s="2" t="inlineStr">
        <is>
          <t>0000050496WT310</t>
        </is>
      </c>
      <c r="B183" s="8">
        <f>_xlfn.XLOOKUP(A183,'Budget FY26-28'!A:A,'Site Register'!M:M)</f>
        <v/>
      </c>
      <c r="C183" s="8" t="inlineStr">
        <is>
          <t>kWh</t>
        </is>
      </c>
      <c r="D183" s="95" t="n">
        <v>2658.152173913043</v>
      </c>
      <c r="E183" s="105">
        <f>IFERROR(IF(SUMIFS('Rates &amp; Source Data'!$I$1263:$I$1393,'Rates &amp; Source Data'!$A$1263:$A$1393,$A183)&lt;&gt;0,SUMIFS('Rates &amp; Source Data'!$I$1263:$I$1393,'Rates &amp; Source Data'!$A$1263:$A$1393,$A183),$K183),$K183)</f>
        <v/>
      </c>
      <c r="F183" s="105">
        <f>E183</f>
        <v/>
      </c>
      <c r="G183" s="106" t="n">
        <v>0.941283102009405</v>
      </c>
      <c r="H183" s="106" t="n">
        <v>0.941283102009405</v>
      </c>
      <c r="I183" s="8" t="inlineStr">
        <is>
          <t>Ready</t>
        </is>
      </c>
      <c r="J183" s="97">
        <f>IF(COUNTIF('Rates &amp; Source Data'!$A$1499:$A$1661,$A183)=0,"",SUMIFS('Rates &amp; Source Data'!$B$1499:$B$1661,'Rates &amp; Source Data'!$A$1499:$A$1661,$A183))</f>
        <v/>
      </c>
      <c r="K183" s="97" t="n">
        <v>2502.073723873913</v>
      </c>
      <c r="L183" s="107" t="n">
        <v>2502.073723873913</v>
      </c>
    </row>
    <row r="184">
      <c r="A184" s="2" t="inlineStr">
        <is>
          <t>0000052034NT6A8</t>
        </is>
      </c>
      <c r="B184" s="8">
        <f>_xlfn.XLOOKUP(A184,'Budget FY26-28'!A:A,'Site Register'!M:M)</f>
        <v/>
      </c>
      <c r="C184" s="8" t="inlineStr">
        <is>
          <t>kWh</t>
        </is>
      </c>
      <c r="D184" s="95" t="n">
        <v>108511.31</v>
      </c>
      <c r="E184" s="105">
        <f>SUMIFS('Rates &amp; Source Data'!$X$1238:$X$1258,'Rates &amp; Source Data'!$B$1238:$B$1258,$A184)</f>
        <v/>
      </c>
      <c r="F184" s="105">
        <f>E184</f>
        <v/>
      </c>
      <c r="G184" s="106" t="n">
        <v>0.3659824844686697</v>
      </c>
      <c r="H184" s="106" t="n">
        <v>0.3659824844686697</v>
      </c>
      <c r="I184" s="8" t="inlineStr">
        <is>
          <t>Ready</t>
        </is>
      </c>
      <c r="J184" s="97">
        <f>IF(COUNTIF('Rates &amp; Source Data'!$A$1666:$A$1686,$A184)=0,"",SUMIFS('Rates &amp; Source Data'!$B$1666:$B$1686,'Rates &amp; Source Data'!$A$1666:$A$1686,$A184))</f>
        <v/>
      </c>
      <c r="K184" s="97" t="n">
        <v>39713.23882675</v>
      </c>
      <c r="L184" s="107" t="n">
        <v>39713.23882675</v>
      </c>
    </row>
    <row r="185">
      <c r="A185" s="2" t="inlineStr">
        <is>
          <t>0000052765HB960</t>
        </is>
      </c>
      <c r="B185" s="8">
        <f>_xlfn.XLOOKUP(A185,'Budget FY26-28'!A:A,'Site Register'!M:M)</f>
        <v/>
      </c>
      <c r="C185" s="8" t="inlineStr">
        <is>
          <t>kWh</t>
        </is>
      </c>
      <c r="D185" s="95" t="n">
        <v>1946.666666666667</v>
      </c>
      <c r="E185" s="105">
        <f>IFERROR(IF(SUMIFS('Rates &amp; Source Data'!$I$1263:$I$1393,'Rates &amp; Source Data'!$A$1263:$A$1393,$A185)&lt;&gt;0,SUMIFS('Rates &amp; Source Data'!$I$1263:$I$1393,'Rates &amp; Source Data'!$A$1263:$A$1393,$A185),$K185),$K185)</f>
        <v/>
      </c>
      <c r="F185" s="105">
        <f>E185</f>
        <v/>
      </c>
      <c r="G185" s="106" t="n">
        <v>0.8145652465753425</v>
      </c>
      <c r="H185" s="106" t="n">
        <v>0.8145652465753425</v>
      </c>
      <c r="I185" s="8" t="inlineStr">
        <is>
          <t>Ready</t>
        </is>
      </c>
      <c r="J185" s="97">
        <f>IF(COUNTIF('Rates &amp; Source Data'!$A$1499:$A$1661,$A185)=0,"",SUMIFS('Rates &amp; Source Data'!$B$1499:$B$1661,'Rates &amp; Source Data'!$A$1499:$A$1661,$A185))</f>
        <v/>
      </c>
      <c r="K185" s="97" t="n">
        <v>1585.687013333333</v>
      </c>
      <c r="L185" s="107" t="n">
        <v>1585.687013333333</v>
      </c>
    </row>
    <row r="186">
      <c r="A186" s="2" t="inlineStr">
        <is>
          <t>0000055490UN954</t>
        </is>
      </c>
      <c r="B186" s="8">
        <f>_xlfn.XLOOKUP(A186,'Budget FY26-28'!A:A,'Site Register'!M:M)</f>
        <v/>
      </c>
      <c r="C186" s="8" t="inlineStr">
        <is>
          <t>kWh</t>
        </is>
      </c>
      <c r="D186" s="95" t="n">
        <v>971.6075650118204</v>
      </c>
      <c r="E186" s="105">
        <f>IFERROR(IF(SUMIFS('Rates &amp; Source Data'!$I$1263:$I$1393,'Rates &amp; Source Data'!$A$1263:$A$1393,$A186)&lt;&gt;0,SUMIFS('Rates &amp; Source Data'!$I$1263:$I$1393,'Rates &amp; Source Data'!$A$1263:$A$1393,$A186),$K186),$K186)</f>
        <v/>
      </c>
      <c r="F186" s="105">
        <f>E186</f>
        <v/>
      </c>
      <c r="G186" s="106" t="n">
        <v>1.430952760598555</v>
      </c>
      <c r="H186" s="106" t="n">
        <v>1.430952760598555</v>
      </c>
      <c r="I186" s="8" t="inlineStr">
        <is>
          <t>Ready</t>
        </is>
      </c>
      <c r="J186" s="97">
        <f>IF(COUNTIF('Rates &amp; Source Data'!$A$1499:$A$1661,$A186)=0,"",SUMIFS('Rates &amp; Source Data'!$B$1499:$B$1661,'Rates &amp; Source Data'!$A$1499:$A$1661,$A186))</f>
        <v/>
      </c>
      <c r="K186" s="97" t="n">
        <v>1390.324527372104</v>
      </c>
      <c r="L186" s="107" t="n">
        <v>1390.324527372104</v>
      </c>
    </row>
    <row r="187">
      <c r="A187" s="2" t="inlineStr">
        <is>
          <t>0000055906UN234</t>
        </is>
      </c>
      <c r="B187" s="8">
        <f>_xlfn.XLOOKUP(A187,'Budget FY26-28'!A:A,'Site Register'!M:M)</f>
        <v/>
      </c>
      <c r="C187" s="8" t="inlineStr">
        <is>
          <t>kWh</t>
        </is>
      </c>
      <c r="D187" s="95" t="n">
        <v>22215.81560283688</v>
      </c>
      <c r="E187" s="105">
        <f>IFERROR(IF(SUMIFS('Rates &amp; Source Data'!$I$1263:$I$1393,'Rates &amp; Source Data'!$A$1263:$A$1393,$A187)&lt;&gt;0,SUMIFS('Rates &amp; Source Data'!$I$1263:$I$1393,'Rates &amp; Source Data'!$A$1263:$A$1393,$A187),$K187),$K187)</f>
        <v/>
      </c>
      <c r="F187" s="105">
        <f>E187</f>
        <v/>
      </c>
      <c r="G187" s="106" t="n">
        <v>0.3435984971503912</v>
      </c>
      <c r="H187" s="106" t="n">
        <v>0.3435984971503912</v>
      </c>
      <c r="I187" s="8" t="inlineStr">
        <is>
          <t>Ready</t>
        </is>
      </c>
      <c r="J187" s="97">
        <f>IF(COUNTIF('Rates &amp; Source Data'!$A$1499:$A$1661,$A187)=0,"",SUMIFS('Rates &amp; Source Data'!$B$1499:$B$1661,'Rates &amp; Source Data'!$A$1499:$A$1661,$A187))</f>
        <v/>
      </c>
      <c r="K187" s="97" t="n">
        <v>7633.320854104964</v>
      </c>
      <c r="L187" s="107" t="n">
        <v>7633.320854104964</v>
      </c>
    </row>
    <row r="188">
      <c r="A188" s="2" t="inlineStr">
        <is>
          <t>0000055908UN1AF</t>
        </is>
      </c>
      <c r="B188" s="8">
        <f>_xlfn.XLOOKUP(A188,'Budget FY26-28'!A:A,'Site Register'!M:M)</f>
        <v/>
      </c>
      <c r="C188" s="8" t="inlineStr">
        <is>
          <t>kWh</t>
        </is>
      </c>
      <c r="D188" s="95" t="n">
        <v>1970.827423167849</v>
      </c>
      <c r="E188" s="105">
        <f>IFERROR(IF(SUMIFS('Rates &amp; Source Data'!$I$1263:$I$1393,'Rates &amp; Source Data'!$A$1263:$A$1393,$A188)&lt;&gt;0,SUMIFS('Rates &amp; Source Data'!$I$1263:$I$1393,'Rates &amp; Source Data'!$A$1263:$A$1393,$A188),$K188),$K188)</f>
        <v/>
      </c>
      <c r="F188" s="105">
        <f>E188</f>
        <v/>
      </c>
      <c r="G188" s="106" t="n">
        <v>0.8544448939203032</v>
      </c>
      <c r="H188" s="106" t="n">
        <v>0.8544448939203032</v>
      </c>
      <c r="I188" s="8" t="inlineStr">
        <is>
          <t>Ready</t>
        </is>
      </c>
      <c r="J188" s="97">
        <f>IF(COUNTIF('Rates &amp; Source Data'!$A$1499:$A$1661,$A188)=0,"",SUMIFS('Rates &amp; Source Data'!$B$1499:$B$1661,'Rates &amp; Source Data'!$A$1499:$A$1661,$A188))</f>
        <v/>
      </c>
      <c r="K188" s="97" t="n">
        <v>1683.963428523877</v>
      </c>
      <c r="L188" s="107" t="n">
        <v>1683.963428523877</v>
      </c>
    </row>
    <row r="189">
      <c r="A189" s="2" t="inlineStr">
        <is>
          <t>0000058140WE772</t>
        </is>
      </c>
      <c r="B189" s="8">
        <f>_xlfn.XLOOKUP(A189,'Budget FY26-28'!A:A,'Site Register'!M:M)</f>
        <v/>
      </c>
      <c r="C189" s="8" t="inlineStr">
        <is>
          <t>kWh</t>
        </is>
      </c>
      <c r="D189" s="95" t="n">
        <v>8418.32268370607</v>
      </c>
      <c r="E189" s="105">
        <f>IFERROR(IF(SUMIFS('Rates &amp; Source Data'!$I$1263:$I$1393,'Rates &amp; Source Data'!$A$1263:$A$1393,$A189)&lt;&gt;0,SUMIFS('Rates &amp; Source Data'!$I$1263:$I$1393,'Rates &amp; Source Data'!$A$1263:$A$1393,$A189),$K189),$K189)</f>
        <v/>
      </c>
      <c r="F189" s="105">
        <f>E189</f>
        <v/>
      </c>
      <c r="G189" s="106" t="n">
        <v>0.48104866266054</v>
      </c>
      <c r="H189" s="106" t="n">
        <v>0.48104866266054</v>
      </c>
      <c r="I189" s="8" t="inlineStr">
        <is>
          <t>Ready</t>
        </is>
      </c>
      <c r="J189" s="97">
        <f>IF(COUNTIF('Rates &amp; Source Data'!$A$1499:$A$1661,$A189)=0,"",SUMIFS('Rates &amp; Source Data'!$B$1499:$B$1661,'Rates &amp; Source Data'!$A$1499:$A$1661,$A189))</f>
        <v/>
      </c>
      <c r="K189" s="97" t="n">
        <v>4049.622868841693</v>
      </c>
      <c r="L189" s="107" t="n">
        <v>4049.622868841693</v>
      </c>
    </row>
    <row r="190">
      <c r="A190" s="2" t="inlineStr">
        <is>
          <t>0000058309TR718</t>
        </is>
      </c>
      <c r="B190" s="8">
        <f>_xlfn.XLOOKUP(A190,'Budget FY26-28'!A:A,'Site Register'!M:M)</f>
        <v/>
      </c>
      <c r="C190" s="8" t="inlineStr">
        <is>
          <t>kWh</t>
        </is>
      </c>
      <c r="D190" s="95" t="n">
        <v>17950.49234135667</v>
      </c>
      <c r="E190" s="105">
        <f>IFERROR(IF(SUMIFS('Rates &amp; Source Data'!$I$1263:$I$1393,'Rates &amp; Source Data'!$A$1263:$A$1393,$A190)&lt;&gt;0,SUMIFS('Rates &amp; Source Data'!$I$1263:$I$1393,'Rates &amp; Source Data'!$A$1263:$A$1393,$A190),$K190),$K190)</f>
        <v/>
      </c>
      <c r="F190" s="105">
        <f>E190</f>
        <v/>
      </c>
      <c r="G190" s="106" t="n">
        <v>0.314316019443217</v>
      </c>
      <c r="H190" s="106" t="n">
        <v>0.314316019443217</v>
      </c>
      <c r="I190" s="8" t="inlineStr">
        <is>
          <t>Ready</t>
        </is>
      </c>
      <c r="J190" s="97">
        <f>IF(COUNTIF('Rates &amp; Source Data'!$A$1499:$A$1661,$A190)=0,"",SUMIFS('Rates &amp; Source Data'!$B$1499:$B$1661,'Rates &amp; Source Data'!$A$1499:$A$1661,$A190))</f>
        <v/>
      </c>
      <c r="K190" s="97" t="n">
        <v>5642.127299781181</v>
      </c>
      <c r="L190" s="107" t="n">
        <v>5642.127299781181</v>
      </c>
    </row>
    <row r="191">
      <c r="A191" s="2" t="inlineStr">
        <is>
          <t>0000064350CP5A6</t>
        </is>
      </c>
      <c r="B191" s="8">
        <f>_xlfn.XLOOKUP(A191,'Budget FY26-28'!A:A,'Site Register'!M:M)</f>
        <v/>
      </c>
      <c r="C191" s="8" t="inlineStr">
        <is>
          <t>kWh</t>
        </is>
      </c>
      <c r="D191" s="95" t="n">
        <v>37534.01265822785</v>
      </c>
      <c r="E191" s="105">
        <f>IFERROR(IF(SUMIFS('Rates &amp; Source Data'!$I$1263:$I$1393,'Rates &amp; Source Data'!$A$1263:$A$1393,$A191)&lt;&gt;0,SUMIFS('Rates &amp; Source Data'!$I$1263:$I$1393,'Rates &amp; Source Data'!$A$1263:$A$1393,$A191),$K191),$K191)</f>
        <v/>
      </c>
      <c r="F191" s="105">
        <f>E191</f>
        <v/>
      </c>
      <c r="G191" s="106" t="n">
        <v>0.3239987569150411</v>
      </c>
      <c r="H191" s="106" t="n">
        <v>0.3239987569150411</v>
      </c>
      <c r="I191" s="8" t="inlineStr">
        <is>
          <t>Ready</t>
        </is>
      </c>
      <c r="J191" s="97">
        <f>IF(COUNTIF('Rates &amp; Source Data'!$A$1499:$A$1661,$A191)=0,"",SUMIFS('Rates &amp; Source Data'!$B$1499:$B$1661,'Rates &amp; Source Data'!$A$1499:$A$1661,$A191))</f>
        <v/>
      </c>
      <c r="K191" s="97" t="n">
        <v>12160.97344329924</v>
      </c>
      <c r="L191" s="107" t="n">
        <v>12160.97344329924</v>
      </c>
    </row>
    <row r="192">
      <c r="A192" s="2" t="inlineStr">
        <is>
          <t>0000102308DEAD2</t>
        </is>
      </c>
      <c r="B192" s="8">
        <f>_xlfn.XLOOKUP(A192,'Budget FY26-28'!A:A,'Site Register'!M:M)</f>
        <v/>
      </c>
      <c r="C192" s="8" t="inlineStr">
        <is>
          <t>kWh</t>
        </is>
      </c>
      <c r="D192" s="95" t="n">
        <v>489271.4400000001</v>
      </c>
      <c r="E192" s="105">
        <f>SUMIFS('Rates &amp; Source Data'!$X$1238:$X$1258,'Rates &amp; Source Data'!$B$1238:$B$1258,$A192)</f>
        <v/>
      </c>
      <c r="F192" s="105">
        <f>E192</f>
        <v/>
      </c>
      <c r="G192" s="106" t="n">
        <v>0.197552039597488</v>
      </c>
      <c r="H192" s="106" t="n">
        <v>0.197552039597488</v>
      </c>
      <c r="I192" s="8" t="inlineStr">
        <is>
          <t>Ready</t>
        </is>
      </c>
      <c r="J192" s="97">
        <f>IF(COUNTIF('Rates &amp; Source Data'!$A$1666:$A$1686,$A192)=0,"",SUMIFS('Rates &amp; Source Data'!$B$1666:$B$1686,'Rates &amp; Source Data'!$A$1666:$A$1686,$A192))</f>
        <v/>
      </c>
      <c r="K192" s="97" t="n">
        <v>96656.57088880001</v>
      </c>
      <c r="L192" s="107" t="n">
        <v>96656.57088880001</v>
      </c>
    </row>
    <row r="193">
      <c r="A193" s="2" t="inlineStr">
        <is>
          <t>0000166865CKBDD</t>
        </is>
      </c>
      <c r="B193" s="8">
        <f>_xlfn.XLOOKUP(A193,'Budget FY26-28'!A:A,'Site Register'!M:M)</f>
        <v/>
      </c>
      <c r="C193" s="8" t="inlineStr">
        <is>
          <t>kWh</t>
        </is>
      </c>
      <c r="D193" s="95" t="n">
        <v>27888.04846938775</v>
      </c>
      <c r="E193" s="105">
        <f>IFERROR(IF(SUMIFS('Rates &amp; Source Data'!$I$1263:$I$1393,'Rates &amp; Source Data'!$A$1263:$A$1393,$A193)&lt;&gt;0,SUMIFS('Rates &amp; Source Data'!$I$1263:$I$1393,'Rates &amp; Source Data'!$A$1263:$A$1393,$A193),$K193),$K193)</f>
        <v/>
      </c>
      <c r="F193" s="105">
        <f>E193</f>
        <v/>
      </c>
      <c r="G193" s="106" t="n">
        <v>0.3071822587395028</v>
      </c>
      <c r="H193" s="106" t="n">
        <v>0.3071822587395028</v>
      </c>
      <c r="I193" s="8" t="inlineStr">
        <is>
          <t>Ready</t>
        </is>
      </c>
      <c r="J193" s="97">
        <f>IF(COUNTIF('Rates &amp; Source Data'!$A$1499:$A$1661,$A193)=0,"",SUMIFS('Rates &amp; Source Data'!$B$1499:$B$1661,'Rates &amp; Source Data'!$A$1499:$A$1661,$A193))</f>
        <v/>
      </c>
      <c r="K193" s="97" t="n">
        <v>8566.713720663263</v>
      </c>
      <c r="L193" s="107" t="n">
        <v>8566.713720663263</v>
      </c>
    </row>
    <row r="194">
      <c r="A194" s="2" t="inlineStr">
        <is>
          <t>0000166949CKC92</t>
        </is>
      </c>
      <c r="B194" s="8">
        <f>_xlfn.XLOOKUP(A194,'Budget FY26-28'!A:A,'Site Register'!M:M)</f>
        <v/>
      </c>
      <c r="C194" s="8" t="inlineStr">
        <is>
          <t>kWh</t>
        </is>
      </c>
      <c r="D194" s="95" t="n">
        <v>22321.08747044917</v>
      </c>
      <c r="E194" s="105">
        <f>IFERROR(IF(SUMIFS('Rates &amp; Source Data'!$I$1263:$I$1393,'Rates &amp; Source Data'!$A$1263:$A$1393,$A194)&lt;&gt;0,SUMIFS('Rates &amp; Source Data'!$I$1263:$I$1393,'Rates &amp; Source Data'!$A$1263:$A$1393,$A194),$K194),$K194)</f>
        <v/>
      </c>
      <c r="F194" s="105">
        <f>E194</f>
        <v/>
      </c>
      <c r="G194" s="106" t="n">
        <v>0.3260576913667069</v>
      </c>
      <c r="H194" s="106" t="n">
        <v>0.3260576913667069</v>
      </c>
      <c r="I194" s="8" t="inlineStr">
        <is>
          <t>Ready</t>
        </is>
      </c>
      <c r="J194" s="97">
        <f>IF(COUNTIF('Rates &amp; Source Data'!$A$1499:$A$1661,$A194)=0,"",SUMIFS('Rates &amp; Source Data'!$B$1499:$B$1661,'Rates &amp; Source Data'!$A$1499:$A$1661,$A194))</f>
        <v/>
      </c>
      <c r="K194" s="97" t="n">
        <v>7277.962249408984</v>
      </c>
      <c r="L194" s="107" t="n">
        <v>7277.962249408984</v>
      </c>
    </row>
    <row r="195">
      <c r="A195" s="2" t="inlineStr">
        <is>
          <t>0000170681CKB47</t>
        </is>
      </c>
      <c r="B195" s="8">
        <f>_xlfn.XLOOKUP(A195,'Budget FY26-28'!A:A,'Site Register'!M:M)</f>
        <v/>
      </c>
      <c r="C195" s="8" t="inlineStr">
        <is>
          <t>kWh</t>
        </is>
      </c>
      <c r="D195" s="95" t="n">
        <v>4504.255319148936</v>
      </c>
      <c r="E195" s="105">
        <f>IFERROR(IF(SUMIFS('Rates &amp; Source Data'!$I$1263:$I$1393,'Rates &amp; Source Data'!$A$1263:$A$1393,$A195)&lt;&gt;0,SUMIFS('Rates &amp; Source Data'!$I$1263:$I$1393,'Rates &amp; Source Data'!$A$1263:$A$1393,$A195),$K195),$K195)</f>
        <v/>
      </c>
      <c r="F195" s="105">
        <f>E195</f>
        <v/>
      </c>
      <c r="G195" s="106" t="n">
        <v>0.4862175479452055</v>
      </c>
      <c r="H195" s="106" t="n">
        <v>0.4862175479452055</v>
      </c>
      <c r="I195" s="8" t="inlineStr">
        <is>
          <t>Ready</t>
        </is>
      </c>
      <c r="J195" s="97">
        <f>IF(COUNTIF('Rates &amp; Source Data'!$A$1499:$A$1661,$A195)=0,"",SUMIFS('Rates &amp; Source Data'!$B$1499:$B$1661,'Rates &amp; Source Data'!$A$1499:$A$1661,$A195))</f>
        <v/>
      </c>
      <c r="K195" s="97" t="n">
        <v>2190.047976595745</v>
      </c>
      <c r="L195" s="107" t="n">
        <v>2190.047976595745</v>
      </c>
    </row>
    <row r="196">
      <c r="A196" s="2" t="inlineStr">
        <is>
          <t>0000172164CK0F0</t>
        </is>
      </c>
      <c r="B196" s="8">
        <f>_xlfn.XLOOKUP(A196,'Budget FY26-28'!A:A,'Site Register'!M:M)</f>
        <v/>
      </c>
      <c r="C196" s="8" t="inlineStr">
        <is>
          <t>kWh</t>
        </is>
      </c>
      <c r="D196" s="95" t="n">
        <v>12295.52699228792</v>
      </c>
      <c r="E196" s="105">
        <f>IFERROR(IF(SUMIFS('Rates &amp; Source Data'!$I$1263:$I$1393,'Rates &amp; Source Data'!$A$1263:$A$1393,$A196)&lt;&gt;0,SUMIFS('Rates &amp; Source Data'!$I$1263:$I$1393,'Rates &amp; Source Data'!$A$1263:$A$1393,$A196),$K196),$K196)</f>
        <v/>
      </c>
      <c r="F196" s="105">
        <f>E196</f>
        <v/>
      </c>
      <c r="G196" s="106" t="n">
        <v>0.4031584007601987</v>
      </c>
      <c r="H196" s="106" t="n">
        <v>0.4031584007601987</v>
      </c>
      <c r="I196" s="8" t="inlineStr">
        <is>
          <t>Ready</t>
        </is>
      </c>
      <c r="J196" s="97">
        <f>IF(COUNTIF('Rates &amp; Source Data'!$A$1499:$A$1661,$A196)=0,"",SUMIFS('Rates &amp; Source Data'!$B$1499:$B$1661,'Rates &amp; Source Data'!$A$1499:$A$1661,$A196))</f>
        <v/>
      </c>
      <c r="K196" s="97" t="n">
        <v>4957.044998714653</v>
      </c>
      <c r="L196" s="107" t="n">
        <v>4957.044998714653</v>
      </c>
    </row>
    <row r="197">
      <c r="A197" s="2" t="inlineStr">
        <is>
          <t>0000172288CKA57</t>
        </is>
      </c>
      <c r="B197" s="8">
        <f>_xlfn.XLOOKUP(A197,'Budget FY26-28'!A:A,'Site Register'!M:M)</f>
        <v/>
      </c>
      <c r="C197" s="8" t="inlineStr">
        <is>
          <t>kWh</t>
        </is>
      </c>
      <c r="D197" s="95" t="n">
        <v>1009.574468085106</v>
      </c>
      <c r="E197" s="105">
        <f>IFERROR(IF(SUMIFS('Rates &amp; Source Data'!$I$1263:$I$1393,'Rates &amp; Source Data'!$A$1263:$A$1393,$A197)&lt;&gt;0,SUMIFS('Rates &amp; Source Data'!$I$1263:$I$1393,'Rates &amp; Source Data'!$A$1263:$A$1393,$A197),$K197),$K197)</f>
        <v/>
      </c>
      <c r="F197" s="105">
        <f>E197</f>
        <v/>
      </c>
      <c r="G197" s="106" t="n">
        <v>1.280590598524763</v>
      </c>
      <c r="H197" s="106" t="n">
        <v>1.280590598524763</v>
      </c>
      <c r="I197" s="8" t="inlineStr">
        <is>
          <t>Ready</t>
        </is>
      </c>
      <c r="J197" s="97">
        <f>IF(COUNTIF('Rates &amp; Source Data'!$A$1499:$A$1661,$A197)=0,"",SUMIFS('Rates &amp; Source Data'!$B$1499:$B$1661,'Rates &amp; Source Data'!$A$1499:$A$1661,$A197))</f>
        <v/>
      </c>
      <c r="K197" s="97" t="n">
        <v>1292.851572340425</v>
      </c>
      <c r="L197" s="107" t="n">
        <v>1292.851572340425</v>
      </c>
    </row>
    <row r="198">
      <c r="A198" s="2" t="inlineStr">
        <is>
          <t>0000175917CKD00</t>
        </is>
      </c>
      <c r="B198" s="8">
        <f>_xlfn.XLOOKUP(A198,'Budget FY26-28'!A:A,'Site Register'!M:M)</f>
        <v/>
      </c>
      <c r="C198" s="8" t="inlineStr">
        <is>
          <t>kWh</t>
        </is>
      </c>
      <c r="D198" s="95" t="n">
        <v>9842.574468085106</v>
      </c>
      <c r="E198" s="105">
        <f>IFERROR(IF(SUMIFS('Rates &amp; Source Data'!$I$1263:$I$1393,'Rates &amp; Source Data'!$A$1263:$A$1393,$A198)&lt;&gt;0,SUMIFS('Rates &amp; Source Data'!$I$1263:$I$1393,'Rates &amp; Source Data'!$A$1263:$A$1393,$A198),$K198),$K198)</f>
        <v/>
      </c>
      <c r="F198" s="105">
        <f>E198</f>
        <v/>
      </c>
      <c r="G198" s="106" t="n">
        <v>0.4459388652424012</v>
      </c>
      <c r="H198" s="106" t="n">
        <v>0.4459388652424012</v>
      </c>
      <c r="I198" s="8" t="inlineStr">
        <is>
          <t>Ready</t>
        </is>
      </c>
      <c r="J198" s="97">
        <f>IF(COUNTIF('Rates &amp; Source Data'!$A$1499:$A$1661,$A198)=0,"",SUMIFS('Rates &amp; Source Data'!$B$1499:$B$1661,'Rates &amp; Source Data'!$A$1499:$A$1661,$A198))</f>
        <v/>
      </c>
      <c r="K198" s="97" t="n">
        <v>4389.186489361702</v>
      </c>
      <c r="L198" s="107" t="n">
        <v>4389.186489361702</v>
      </c>
    </row>
    <row r="199">
      <c r="A199" s="2" t="inlineStr">
        <is>
          <t>0000188682UNB66</t>
        </is>
      </c>
      <c r="B199" s="8">
        <f>_xlfn.XLOOKUP(A199,'Budget FY26-28'!A:A,'Site Register'!M:M)</f>
        <v/>
      </c>
      <c r="C199" s="8" t="inlineStr">
        <is>
          <t>kWh</t>
        </is>
      </c>
      <c r="D199" s="95" t="n">
        <v>16550.11820330969</v>
      </c>
      <c r="E199" s="105">
        <f>IFERROR(IF(SUMIFS('Rates &amp; Source Data'!$I$1263:$I$1393,'Rates &amp; Source Data'!$A$1263:$A$1393,$A199)&lt;&gt;0,SUMIFS('Rates &amp; Source Data'!$I$1263:$I$1393,'Rates &amp; Source Data'!$A$1263:$A$1393,$A199),$K199),$K199)</f>
        <v/>
      </c>
      <c r="F199" s="105">
        <f>E199</f>
        <v/>
      </c>
      <c r="G199" s="106" t="n">
        <v>0.2788490959475481</v>
      </c>
      <c r="H199" s="106" t="n">
        <v>0.2788490959475481</v>
      </c>
      <c r="I199" s="8" t="inlineStr">
        <is>
          <t>Ready</t>
        </is>
      </c>
      <c r="J199" s="97">
        <f>IF(COUNTIF('Rates &amp; Source Data'!$A$1499:$A$1661,$A199)=0,"",SUMIFS('Rates &amp; Source Data'!$B$1499:$B$1661,'Rates &amp; Source Data'!$A$1499:$A$1661,$A199))</f>
        <v/>
      </c>
      <c r="K199" s="97" t="n">
        <v>4614.985498817967</v>
      </c>
      <c r="L199" s="107" t="n">
        <v>4614.985498817967</v>
      </c>
    </row>
    <row r="200">
      <c r="A200" s="2" t="inlineStr">
        <is>
          <t>0000188684UNAE9</t>
        </is>
      </c>
      <c r="B200" s="8">
        <f>_xlfn.XLOOKUP(A200,'Budget FY26-28'!A:A,'Site Register'!M:M)</f>
        <v/>
      </c>
      <c r="C200" s="8" t="inlineStr">
        <is>
          <t>kWh</t>
        </is>
      </c>
      <c r="D200" s="95" t="n">
        <v>23071.79669030733</v>
      </c>
      <c r="E200" s="105">
        <f>IFERROR(IF(SUMIFS('Rates &amp; Source Data'!$I$1263:$I$1393,'Rates &amp; Source Data'!$A$1263:$A$1393,$A200)&lt;&gt;0,SUMIFS('Rates &amp; Source Data'!$I$1263:$I$1393,'Rates &amp; Source Data'!$A$1263:$A$1393,$A200),$K200),$K200)</f>
        <v/>
      </c>
      <c r="F200" s="105">
        <f>E200</f>
        <v/>
      </c>
      <c r="G200" s="106" t="n">
        <v>0.2562217091881955</v>
      </c>
      <c r="H200" s="106" t="n">
        <v>0.2562217091881955</v>
      </c>
      <c r="I200" s="8" t="inlineStr">
        <is>
          <t>Ready</t>
        </is>
      </c>
      <c r="J200" s="97">
        <f>IF(COUNTIF('Rates &amp; Source Data'!$A$1499:$A$1661,$A200)=0,"",SUMIFS('Rates &amp; Source Data'!$B$1499:$B$1661,'Rates &amp; Source Data'!$A$1499:$A$1661,$A200))</f>
        <v/>
      </c>
      <c r="K200" s="97" t="n">
        <v>5911.495182033097</v>
      </c>
      <c r="L200" s="107" t="n">
        <v>5911.495182033097</v>
      </c>
    </row>
    <row r="201">
      <c r="A201" s="2" t="inlineStr">
        <is>
          <t>0000207625DE64D</t>
        </is>
      </c>
      <c r="B201" s="8">
        <f>_xlfn.XLOOKUP(A201,'Budget FY26-28'!A:A,'Site Register'!M:M)</f>
        <v/>
      </c>
      <c r="C201" s="8" t="inlineStr">
        <is>
          <t>kWh</t>
        </is>
      </c>
      <c r="D201" s="95" t="n">
        <v>108486.9739952719</v>
      </c>
      <c r="E201" s="105">
        <f>IFERROR(IF(SUMIFS('Rates &amp; Source Data'!$I$1263:$I$1393,'Rates &amp; Source Data'!$A$1263:$A$1393,$A201)&lt;&gt;0,SUMIFS('Rates &amp; Source Data'!$I$1263:$I$1393,'Rates &amp; Source Data'!$A$1263:$A$1393,$A201),$K201),$K201)</f>
        <v/>
      </c>
      <c r="F201" s="105">
        <f>E201</f>
        <v/>
      </c>
      <c r="G201" s="106" t="n">
        <v>0.2072335194015078</v>
      </c>
      <c r="H201" s="106" t="n">
        <v>0.2072335194015078</v>
      </c>
      <c r="I201" s="8" t="inlineStr">
        <is>
          <t>Ready</t>
        </is>
      </c>
      <c r="J201" s="97">
        <f>IF(COUNTIF('Rates &amp; Source Data'!$A$1499:$A$1661,$A201)=0,"",SUMIFS('Rates &amp; Source Data'!$B$1499:$B$1661,'Rates &amp; Source Data'!$A$1499:$A$1661,$A201))</f>
        <v/>
      </c>
      <c r="K201" s="97" t="n">
        <v>22482.13743026005</v>
      </c>
      <c r="L201" s="107" t="n">
        <v>22482.13743026005</v>
      </c>
    </row>
    <row r="202">
      <c r="A202" s="2" t="inlineStr">
        <is>
          <t>0000212636WE1AF</t>
        </is>
      </c>
      <c r="B202" s="8">
        <f>_xlfn.XLOOKUP(A202,'Budget FY26-28'!A:A,'Site Register'!M:M)</f>
        <v/>
      </c>
      <c r="C202" s="8" t="inlineStr">
        <is>
          <t>kWh</t>
        </is>
      </c>
      <c r="D202" s="95" t="n">
        <v>47211.84397163121</v>
      </c>
      <c r="E202" s="105">
        <f>IFERROR(IF(SUMIFS('Rates &amp; Source Data'!$I$1263:$I$1393,'Rates &amp; Source Data'!$A$1263:$A$1393,$A202)&lt;&gt;0,SUMIFS('Rates &amp; Source Data'!$I$1263:$I$1393,'Rates &amp; Source Data'!$A$1263:$A$1393,$A202),$K202),$K202)</f>
        <v/>
      </c>
      <c r="F202" s="105">
        <f>E202</f>
        <v/>
      </c>
      <c r="G202" s="106" t="n">
        <v>0.3187512665689581</v>
      </c>
      <c r="H202" s="106" t="n">
        <v>0.3187512665689581</v>
      </c>
      <c r="I202" s="8" t="inlineStr">
        <is>
          <t>Ready</t>
        </is>
      </c>
      <c r="J202" s="97">
        <f>IF(COUNTIF('Rates &amp; Source Data'!$A$1499:$A$1661,$A202)=0,"",SUMIFS('Rates &amp; Source Data'!$B$1499:$B$1661,'Rates &amp; Source Data'!$A$1499:$A$1661,$A202))</f>
        <v/>
      </c>
      <c r="K202" s="97" t="n">
        <v>15048.83506301348</v>
      </c>
      <c r="L202" s="107" t="n">
        <v>15048.83506301348</v>
      </c>
    </row>
    <row r="203">
      <c r="A203" s="2" t="inlineStr">
        <is>
          <t>0000260933MP6FD</t>
        </is>
      </c>
      <c r="B203" s="8">
        <f>_xlfn.XLOOKUP(A203,'Budget FY26-28'!A:A,'Site Register'!M:M)</f>
        <v/>
      </c>
      <c r="C203" s="8" t="inlineStr">
        <is>
          <t>kWh</t>
        </is>
      </c>
      <c r="D203" s="95" t="n">
        <v>4774.776315789473</v>
      </c>
      <c r="E203" s="105">
        <f>IFERROR(IF(SUMIFS('Rates &amp; Source Data'!$I$1263:$I$1393,'Rates &amp; Source Data'!$A$1263:$A$1393,$A203)&lt;&gt;0,SUMIFS('Rates &amp; Source Data'!$I$1263:$I$1393,'Rates &amp; Source Data'!$A$1263:$A$1393,$A203),$K203),$K203)</f>
        <v/>
      </c>
      <c r="F203" s="105">
        <f>E203</f>
        <v/>
      </c>
      <c r="G203" s="106" t="n">
        <v>0.7272733071265394</v>
      </c>
      <c r="H203" s="106" t="n">
        <v>0.7272733071265394</v>
      </c>
      <c r="I203" s="8" t="inlineStr">
        <is>
          <t>Ready</t>
        </is>
      </c>
      <c r="J203" s="97">
        <f>IF(COUNTIF('Rates &amp; Source Data'!$A$1499:$A$1661,$A203)=0,"",SUMIFS('Rates &amp; Source Data'!$B$1499:$B$1661,'Rates &amp; Source Data'!$A$1499:$A$1661,$A203))</f>
        <v/>
      </c>
      <c r="K203" s="97" t="n">
        <v>3472.567361973684</v>
      </c>
      <c r="L203" s="107" t="n">
        <v>3472.567361973684</v>
      </c>
    </row>
    <row r="204">
      <c r="A204" s="2" t="inlineStr">
        <is>
          <t>0000260936MPBB2</t>
        </is>
      </c>
      <c r="B204" s="8">
        <f>_xlfn.XLOOKUP(A204,'Budget FY26-28'!A:A,'Site Register'!M:M)</f>
        <v/>
      </c>
      <c r="C204" s="8" t="inlineStr">
        <is>
          <t>kWh</t>
        </is>
      </c>
      <c r="D204" s="95" t="n">
        <v>14698.36879432624</v>
      </c>
      <c r="E204" s="105">
        <f>IFERROR(IF(SUMIFS('Rates &amp; Source Data'!$I$1263:$I$1393,'Rates &amp; Source Data'!$A$1263:$A$1393,$A204)&lt;&gt;0,SUMIFS('Rates &amp; Source Data'!$I$1263:$I$1393,'Rates &amp; Source Data'!$A$1263:$A$1393,$A204),$K204),$K204)</f>
        <v/>
      </c>
      <c r="F204" s="105">
        <f>E204</f>
        <v/>
      </c>
      <c r="G204" s="106" t="n">
        <v>0.4005663584756354</v>
      </c>
      <c r="H204" s="106" t="n">
        <v>0.4005663584756354</v>
      </c>
      <c r="I204" s="8" t="inlineStr">
        <is>
          <t>Ready</t>
        </is>
      </c>
      <c r="J204" s="97">
        <f>IF(COUNTIF('Rates &amp; Source Data'!$A$1499:$A$1661,$A204)=0,"",SUMIFS('Rates &amp; Source Data'!$B$1499:$B$1661,'Rates &amp; Source Data'!$A$1499:$A$1661,$A204))</f>
        <v/>
      </c>
      <c r="K204" s="97" t="n">
        <v>5887.672063475178</v>
      </c>
      <c r="L204" s="107" t="n">
        <v>5887.672063475178</v>
      </c>
    </row>
    <row r="205">
      <c r="A205" s="2" t="inlineStr">
        <is>
          <t>0000312551WT450</t>
        </is>
      </c>
      <c r="B205" s="8">
        <f>_xlfn.XLOOKUP(A205,'Budget FY26-28'!A:A,'Site Register'!M:M)</f>
        <v/>
      </c>
      <c r="C205" s="8" t="inlineStr">
        <is>
          <t>kWh</t>
        </is>
      </c>
      <c r="D205" s="95" t="n">
        <v>15185.03546099291</v>
      </c>
      <c r="E205" s="105">
        <f>IFERROR(IF(SUMIFS('Rates &amp; Source Data'!$I$1263:$I$1393,'Rates &amp; Source Data'!$A$1263:$A$1393,$A205)&lt;&gt;0,SUMIFS('Rates &amp; Source Data'!$I$1263:$I$1393,'Rates &amp; Source Data'!$A$1263:$A$1393,$A205),$K205),$K205)</f>
        <v/>
      </c>
      <c r="F205" s="105">
        <f>E205</f>
        <v/>
      </c>
      <c r="G205" s="106" t="n">
        <v>0.3511290305408554</v>
      </c>
      <c r="H205" s="106" t="n">
        <v>0.3511290305408554</v>
      </c>
      <c r="I205" s="8" t="inlineStr">
        <is>
          <t>Ready</t>
        </is>
      </c>
      <c r="J205" s="97">
        <f>IF(COUNTIF('Rates &amp; Source Data'!$A$1499:$A$1661,$A205)=0,"",SUMIFS('Rates &amp; Source Data'!$B$1499:$B$1661,'Rates &amp; Source Data'!$A$1499:$A$1661,$A205))</f>
        <v/>
      </c>
      <c r="K205" s="97" t="n">
        <v>5331.90678014695</v>
      </c>
      <c r="L205" s="107" t="n">
        <v>5331.90678014695</v>
      </c>
    </row>
    <row r="206">
      <c r="A206" s="2" t="inlineStr">
        <is>
          <t>0000351696EN0A9</t>
        </is>
      </c>
      <c r="B206" s="8">
        <f>_xlfn.XLOOKUP(A206,'Budget FY26-28'!A:A,'Site Register'!M:M)</f>
        <v/>
      </c>
      <c r="C206" s="8" t="inlineStr">
        <is>
          <t>kWh</t>
        </is>
      </c>
      <c r="D206" s="95" t="n">
        <v>200</v>
      </c>
      <c r="E206" s="105">
        <f>IFERROR(IF(SUMIFS('Rates &amp; Source Data'!$I$1263:$I$1393,'Rates &amp; Source Data'!$A$1263:$A$1393,$A206)&lt;&gt;0,SUMIFS('Rates &amp; Source Data'!$I$1263:$I$1393,'Rates &amp; Source Data'!$A$1263:$A$1393,$A206),$K206),$K206)</f>
        <v/>
      </c>
      <c r="F206" s="105">
        <f>E206</f>
        <v/>
      </c>
      <c r="G206" s="106" t="n">
        <v>8.539919019999999</v>
      </c>
      <c r="H206" s="106" t="n">
        <v>8.539919019999999</v>
      </c>
      <c r="I206" s="8" t="inlineStr">
        <is>
          <t>Ready</t>
        </is>
      </c>
      <c r="J206" s="97">
        <f>IF(COUNTIF('Rates &amp; Source Data'!$A$1499:$A$1661,$A206)=0,"",SUMIFS('Rates &amp; Source Data'!$B$1499:$B$1661,'Rates &amp; Source Data'!$A$1499:$A$1661,$A206))</f>
        <v/>
      </c>
      <c r="K206" s="97" t="n">
        <v>1707.983804</v>
      </c>
      <c r="L206" s="107" t="n">
        <v>1707.983804</v>
      </c>
    </row>
    <row r="207">
      <c r="A207" s="2" t="inlineStr">
        <is>
          <t>0000351698EN332</t>
        </is>
      </c>
      <c r="B207" s="8">
        <f>_xlfn.XLOOKUP(A207,'Budget FY26-28'!A:A,'Site Register'!M:M)</f>
        <v/>
      </c>
      <c r="C207" s="8" t="inlineStr">
        <is>
          <t>kWh</t>
        </is>
      </c>
      <c r="D207" s="95" t="n">
        <v>7362.127659574468</v>
      </c>
      <c r="E207" s="105">
        <f>IFERROR(IF(SUMIFS('Rates &amp; Source Data'!$I$1263:$I$1393,'Rates &amp; Source Data'!$A$1263:$A$1393,$A207)&lt;&gt;0,SUMIFS('Rates &amp; Source Data'!$I$1263:$I$1393,'Rates &amp; Source Data'!$A$1263:$A$1393,$A207),$K207),$K207)</f>
        <v/>
      </c>
      <c r="F207" s="105">
        <f>E207</f>
        <v/>
      </c>
      <c r="G207" s="106" t="n">
        <v>1.010779936590948</v>
      </c>
      <c r="H207" s="106" t="n">
        <v>1.010779936590948</v>
      </c>
      <c r="I207" s="8" t="inlineStr">
        <is>
          <t>Ready</t>
        </is>
      </c>
      <c r="J207" s="97">
        <f>IF(COUNTIF('Rates &amp; Source Data'!$A$1499:$A$1661,$A207)=0,"",SUMIFS('Rates &amp; Source Data'!$B$1499:$B$1661,'Rates &amp; Source Data'!$A$1499:$A$1661,$A207))</f>
        <v/>
      </c>
      <c r="K207" s="97" t="n">
        <v>7441.490928919149</v>
      </c>
      <c r="L207" s="107" t="n">
        <v>7441.490928919149</v>
      </c>
    </row>
    <row r="208">
      <c r="A208" s="2" t="inlineStr">
        <is>
          <t>0000382532TPE86</t>
        </is>
      </c>
      <c r="B208" s="8">
        <f>_xlfn.XLOOKUP(A208,'Budget FY26-28'!A:A,'Site Register'!M:M)</f>
        <v/>
      </c>
      <c r="C208" s="8" t="inlineStr">
        <is>
          <t>kWh</t>
        </is>
      </c>
      <c r="D208" s="95" t="n">
        <v>1006.12293144208</v>
      </c>
      <c r="E208" s="105">
        <f>IFERROR(IF(SUMIFS('Rates &amp; Source Data'!$I$1263:$I$1393,'Rates &amp; Source Data'!$A$1263:$A$1393,$A208)&lt;&gt;0,SUMIFS('Rates &amp; Source Data'!$I$1263:$I$1393,'Rates &amp; Source Data'!$A$1263:$A$1393,$A208),$K208),$K208)</f>
        <v/>
      </c>
      <c r="F208" s="105">
        <f>E208</f>
        <v/>
      </c>
      <c r="G208" s="106" t="n">
        <v>1.305772445667215</v>
      </c>
      <c r="H208" s="106" t="n">
        <v>1.305772445667215</v>
      </c>
      <c r="I208" s="8" t="inlineStr">
        <is>
          <t>Ready</t>
        </is>
      </c>
      <c r="J208" s="97">
        <f>IF(COUNTIF('Rates &amp; Source Data'!$A$1499:$A$1661,$A208)=0,"",SUMIFS('Rates &amp; Source Data'!$B$1499:$B$1661,'Rates &amp; Source Data'!$A$1499:$A$1661,$A208))</f>
        <v/>
      </c>
      <c r="K208" s="97" t="n">
        <v>1313.767600830993</v>
      </c>
      <c r="L208" s="107" t="n">
        <v>1313.767600830993</v>
      </c>
    </row>
    <row r="209">
      <c r="A209" s="2" t="inlineStr">
        <is>
          <t>0000386961TP0C2</t>
        </is>
      </c>
      <c r="B209" s="8">
        <f>_xlfn.XLOOKUP(A209,'Budget FY26-28'!A:A,'Site Register'!M:M)</f>
        <v/>
      </c>
      <c r="C209" s="8" t="inlineStr">
        <is>
          <t>kWh</t>
        </is>
      </c>
      <c r="D209" s="95" t="n">
        <v>2393.640661938534</v>
      </c>
      <c r="E209" s="105">
        <f>IFERROR(IF(SUMIFS('Rates &amp; Source Data'!$I$1263:$I$1393,'Rates &amp; Source Data'!$A$1263:$A$1393,$A209)&lt;&gt;0,SUMIFS('Rates &amp; Source Data'!$I$1263:$I$1393,'Rates &amp; Source Data'!$A$1263:$A$1393,$A209),$K209),$K209)</f>
        <v/>
      </c>
      <c r="F209" s="105">
        <f>E209</f>
        <v/>
      </c>
      <c r="G209" s="106" t="n">
        <v>0.7100277157750442</v>
      </c>
      <c r="H209" s="106" t="n">
        <v>0.7100277157750442</v>
      </c>
      <c r="I209" s="8" t="inlineStr">
        <is>
          <t>Ready</t>
        </is>
      </c>
      <c r="J209" s="97">
        <f>IF(COUNTIF('Rates &amp; Source Data'!$A$1499:$A$1661,$A209)=0,"",SUMIFS('Rates &amp; Source Data'!$B$1499:$B$1661,'Rates &amp; Source Data'!$A$1499:$A$1661,$A209))</f>
        <v/>
      </c>
      <c r="K209" s="97" t="n">
        <v>1699.551211582482</v>
      </c>
      <c r="L209" s="107" t="n">
        <v>1699.551211582482</v>
      </c>
    </row>
    <row r="210">
      <c r="A210" s="2" t="inlineStr">
        <is>
          <t>0000405525TP7AF</t>
        </is>
      </c>
      <c r="B210" s="8">
        <f>_xlfn.XLOOKUP(A210,'Budget FY26-28'!A:A,'Site Register'!M:M)</f>
        <v/>
      </c>
      <c r="C210" s="8" t="inlineStr">
        <is>
          <t>kWh</t>
        </is>
      </c>
      <c r="D210" s="95" t="n">
        <v>74992.39952718676</v>
      </c>
      <c r="E210" s="105">
        <f>IFERROR(IF(SUMIFS('Rates &amp; Source Data'!$I$1263:$I$1393,'Rates &amp; Source Data'!$A$1263:$A$1393,$A210)&lt;&gt;0,SUMIFS('Rates &amp; Source Data'!$I$1263:$I$1393,'Rates &amp; Source Data'!$A$1263:$A$1393,$A210),$K210),$K210)</f>
        <v/>
      </c>
      <c r="F210" s="105">
        <f>E210</f>
        <v/>
      </c>
      <c r="G210" s="106" t="n">
        <v>0.3234602386700454</v>
      </c>
      <c r="H210" s="106" t="n">
        <v>0.3234602386700454</v>
      </c>
      <c r="I210" s="8" t="inlineStr">
        <is>
          <t>Ready</t>
        </is>
      </c>
      <c r="J210" s="97">
        <f>IF(COUNTIF('Rates &amp; Source Data'!$A$1499:$A$1661,$A210)=0,"",SUMIFS('Rates &amp; Source Data'!$B$1499:$B$1661,'Rates &amp; Source Data'!$A$1499:$A$1661,$A210))</f>
        <v/>
      </c>
      <c r="K210" s="97" t="n">
        <v>24257.05944950323</v>
      </c>
      <c r="L210" s="107" t="n">
        <v>24257.05944950323</v>
      </c>
    </row>
    <row r="211">
      <c r="A211" s="2" t="inlineStr">
        <is>
          <t>0000408379TP09F</t>
        </is>
      </c>
      <c r="B211" s="8">
        <f>_xlfn.XLOOKUP(A211,'Budget FY26-28'!A:A,'Site Register'!M:M)</f>
        <v/>
      </c>
      <c r="C211" s="8" t="inlineStr">
        <is>
          <t>kWh</t>
        </is>
      </c>
      <c r="D211" s="95" t="n">
        <v>11054.40898345154</v>
      </c>
      <c r="E211" s="105">
        <f>IFERROR(IF(SUMIFS('Rates &amp; Source Data'!$I$1263:$I$1393,'Rates &amp; Source Data'!$A$1263:$A$1393,$A211)&lt;&gt;0,SUMIFS('Rates &amp; Source Data'!$I$1263:$I$1393,'Rates &amp; Source Data'!$A$1263:$A$1393,$A211),$K211),$K211)</f>
        <v/>
      </c>
      <c r="F211" s="105">
        <f>E211</f>
        <v/>
      </c>
      <c r="G211" s="106" t="n">
        <v>0.3775679810360606</v>
      </c>
      <c r="H211" s="106" t="n">
        <v>0.3775679810360606</v>
      </c>
      <c r="I211" s="8" t="inlineStr">
        <is>
          <t>Ready</t>
        </is>
      </c>
      <c r="J211" s="97">
        <f>IF(COUNTIF('Rates &amp; Source Data'!$A$1499:$A$1661,$A211)=0,"",SUMIFS('Rates &amp; Source Data'!$B$1499:$B$1661,'Rates &amp; Source Data'!$A$1499:$A$1661,$A211))</f>
        <v/>
      </c>
      <c r="K211" s="97" t="n">
        <v>4173.790881428687</v>
      </c>
      <c r="L211" s="107" t="n">
        <v>4173.790881428687</v>
      </c>
    </row>
    <row r="212">
      <c r="A212" s="2" t="inlineStr">
        <is>
          <t>0000485414CE4EE</t>
        </is>
      </c>
      <c r="B212" s="8">
        <f>_xlfn.XLOOKUP(A212,'Budget FY26-28'!A:A,'Site Register'!M:M)</f>
        <v/>
      </c>
      <c r="C212" s="8" t="inlineStr">
        <is>
          <t>kWh</t>
        </is>
      </c>
      <c r="D212" s="95" t="n">
        <v>42589.37352245863</v>
      </c>
      <c r="E212" s="105">
        <f>IFERROR(IF(SUMIFS('Rates &amp; Source Data'!$I$1263:$I$1393,'Rates &amp; Source Data'!$A$1263:$A$1393,$A212)&lt;&gt;0,SUMIFS('Rates &amp; Source Data'!$I$1263:$I$1393,'Rates &amp; Source Data'!$A$1263:$A$1393,$A212),$K212),$K212)</f>
        <v/>
      </c>
      <c r="F212" s="105">
        <f>E212</f>
        <v/>
      </c>
      <c r="G212" s="106" t="n">
        <v>0.2108012918182623</v>
      </c>
      <c r="H212" s="106" t="n">
        <v>0.2108012918182623</v>
      </c>
      <c r="I212" s="8" t="inlineStr">
        <is>
          <t>Ready</t>
        </is>
      </c>
      <c r="J212" s="97">
        <f>IF(COUNTIF('Rates &amp; Source Data'!$A$1499:$A$1661,$A212)=0,"",SUMIFS('Rates &amp; Source Data'!$B$1499:$B$1661,'Rates &amp; Source Data'!$A$1499:$A$1661,$A212))</f>
        <v/>
      </c>
      <c r="K212" s="97" t="n">
        <v>8977.894956264774</v>
      </c>
      <c r="L212" s="107" t="n">
        <v>8977.894956264774</v>
      </c>
    </row>
    <row r="213">
      <c r="A213" s="2" t="inlineStr">
        <is>
          <t>0000486901CE4E4</t>
        </is>
      </c>
      <c r="B213" s="8">
        <f>_xlfn.XLOOKUP(A213,'Budget FY26-28'!A:A,'Site Register'!M:M)</f>
        <v/>
      </c>
      <c r="C213" s="8" t="inlineStr">
        <is>
          <t>kWh</t>
        </is>
      </c>
      <c r="D213" s="95" t="n">
        <v>115651.5011820331</v>
      </c>
      <c r="E213" s="105">
        <f>IFERROR(IF(SUMIFS('Rates &amp; Source Data'!$I$1263:$I$1393,'Rates &amp; Source Data'!$A$1263:$A$1393,$A213)&lt;&gt;0,SUMIFS('Rates &amp; Source Data'!$I$1263:$I$1393,'Rates &amp; Source Data'!$A$1263:$A$1393,$A213),$K213),$K213)</f>
        <v/>
      </c>
      <c r="F213" s="105">
        <f>E213</f>
        <v/>
      </c>
      <c r="G213" s="106" t="n">
        <v>0.2062932101282109</v>
      </c>
      <c r="H213" s="106" t="n">
        <v>0.2062932101282109</v>
      </c>
      <c r="I213" s="8" t="inlineStr">
        <is>
          <t>Ready</t>
        </is>
      </c>
      <c r="J213" s="97">
        <f>IF(COUNTIF('Rates &amp; Source Data'!$A$1499:$A$1661,$A213)=0,"",SUMIFS('Rates &amp; Source Data'!$B$1499:$B$1661,'Rates &amp; Source Data'!$A$1499:$A$1661,$A213))</f>
        <v/>
      </c>
      <c r="K213" s="97" t="n">
        <v>23858.11943498818</v>
      </c>
      <c r="L213" s="107" t="n">
        <v>23858.11943498818</v>
      </c>
    </row>
    <row r="214">
      <c r="A214" s="2" t="inlineStr">
        <is>
          <t>0000517047DE2D4</t>
        </is>
      </c>
      <c r="B214" s="8">
        <f>_xlfn.XLOOKUP(A214,'Budget FY26-28'!A:A,'Site Register'!M:M)</f>
        <v/>
      </c>
      <c r="C214" s="8" t="inlineStr">
        <is>
          <t>kWh</t>
        </is>
      </c>
      <c r="D214" s="95" t="n">
        <v>4557.75413711584</v>
      </c>
      <c r="E214" s="105">
        <f>IFERROR(IF(SUMIFS('Rates &amp; Source Data'!$I$1263:$I$1393,'Rates &amp; Source Data'!$A$1263:$A$1393,$A214)&lt;&gt;0,SUMIFS('Rates &amp; Source Data'!$I$1263:$I$1393,'Rates &amp; Source Data'!$A$1263:$A$1393,$A214),$K214),$K214)</f>
        <v/>
      </c>
      <c r="F214" s="105">
        <f>E214</f>
        <v/>
      </c>
      <c r="G214" s="106" t="n">
        <v>0.5355539485562235</v>
      </c>
      <c r="H214" s="106" t="n">
        <v>0.5355539485562235</v>
      </c>
      <c r="I214" s="8" t="inlineStr">
        <is>
          <t>Ready</t>
        </is>
      </c>
      <c r="J214" s="97">
        <f>IF(COUNTIF('Rates &amp; Source Data'!$A$1499:$A$1661,$A214)=0,"",SUMIFS('Rates &amp; Source Data'!$B$1499:$B$1661,'Rates &amp; Source Data'!$A$1499:$A$1661,$A214))</f>
        <v/>
      </c>
      <c r="K214" s="97" t="n">
        <v>2440.923224680851</v>
      </c>
      <c r="L214" s="107" t="n">
        <v>2440.923224680851</v>
      </c>
    </row>
    <row r="215">
      <c r="A215" s="2" t="inlineStr">
        <is>
          <t>0000519132NR7B9</t>
        </is>
      </c>
      <c r="B215" s="8">
        <f>_xlfn.XLOOKUP(A215,'Budget FY26-28'!A:A,'Site Register'!M:M)</f>
        <v/>
      </c>
      <c r="C215" s="8" t="inlineStr">
        <is>
          <t>kWh</t>
        </is>
      </c>
      <c r="D215" s="95" t="n">
        <v>511657.968</v>
      </c>
      <c r="E215" s="105">
        <f>SUMIFS('Rates &amp; Source Data'!$X$1238:$X$1258,'Rates &amp; Source Data'!$B$1238:$B$1258,$A215)</f>
        <v/>
      </c>
      <c r="F215" s="105">
        <f>E215</f>
        <v/>
      </c>
      <c r="G215" s="106" t="n">
        <v>0.2831970174333336</v>
      </c>
      <c r="H215" s="106" t="n">
        <v>0.2831970174333336</v>
      </c>
      <c r="I215" s="8" t="inlineStr">
        <is>
          <t>Ready</t>
        </is>
      </c>
      <c r="J215" s="97">
        <f>IF(COUNTIF('Rates &amp; Source Data'!$A$1666:$A$1686,$A215)=0,"",SUMIFS('Rates &amp; Source Data'!$B$1666:$B$1686,'Rates &amp; Source Data'!$A$1666:$A$1686,$A215))</f>
        <v/>
      </c>
      <c r="K215" s="97" t="n">
        <v>144900.0104836</v>
      </c>
      <c r="L215" s="107" t="n">
        <v>144900.0104836</v>
      </c>
    </row>
    <row r="216">
      <c r="A216" s="2" t="inlineStr">
        <is>
          <t>0000526222NR65B</t>
        </is>
      </c>
      <c r="B216" s="8">
        <f>_xlfn.XLOOKUP(A216,'Budget FY26-28'!A:A,'Site Register'!M:M)</f>
        <v/>
      </c>
      <c r="C216" s="8" t="inlineStr">
        <is>
          <t>kWh</t>
        </is>
      </c>
      <c r="D216" s="95" t="n">
        <v>9537.458628841609</v>
      </c>
      <c r="E216" s="105">
        <f>IFERROR(IF(SUMIFS('Rates &amp; Source Data'!$I$1263:$I$1393,'Rates &amp; Source Data'!$A$1263:$A$1393,$A216)&lt;&gt;0,SUMIFS('Rates &amp; Source Data'!$I$1263:$I$1393,'Rates &amp; Source Data'!$A$1263:$A$1393,$A216),$K216),$K216)</f>
        <v/>
      </c>
      <c r="F216" s="105">
        <f>E216</f>
        <v/>
      </c>
      <c r="G216" s="106" t="n">
        <v>0.4761443321373358</v>
      </c>
      <c r="H216" s="106" t="n">
        <v>0.4761443321373358</v>
      </c>
      <c r="I216" s="8" t="inlineStr">
        <is>
          <t>Ready</t>
        </is>
      </c>
      <c r="J216" s="97">
        <f>IF(COUNTIF('Rates &amp; Source Data'!$A$1499:$A$1661,$A216)=0,"",SUMIFS('Rates &amp; Source Data'!$B$1499:$B$1661,'Rates &amp; Source Data'!$A$1499:$A$1661,$A216))</f>
        <v/>
      </c>
      <c r="K216" s="97" t="n">
        <v>4541.206869117258</v>
      </c>
      <c r="L216" s="107" t="n">
        <v>4541.206869117258</v>
      </c>
    </row>
    <row r="217">
      <c r="A217" s="2" t="inlineStr">
        <is>
          <t>0000548841NR5F9</t>
        </is>
      </c>
      <c r="B217" s="8">
        <f>_xlfn.XLOOKUP(A217,'Budget FY26-28'!A:A,'Site Register'!M:M)</f>
        <v/>
      </c>
      <c r="C217" s="8" t="inlineStr">
        <is>
          <t>kWh</t>
        </is>
      </c>
      <c r="D217" s="95" t="n">
        <v>42082.94486215539</v>
      </c>
      <c r="E217" s="105">
        <f>IFERROR(IF(SUMIFS('Rates &amp; Source Data'!$I$1263:$I$1393,'Rates &amp; Source Data'!$A$1263:$A$1393,$A217)&lt;&gt;0,SUMIFS('Rates &amp; Source Data'!$I$1263:$I$1393,'Rates &amp; Source Data'!$A$1263:$A$1393,$A217),$K217),$K217)</f>
        <v/>
      </c>
      <c r="F217" s="105">
        <f>E217</f>
        <v/>
      </c>
      <c r="G217" s="106" t="n">
        <v>0.3350608200672202</v>
      </c>
      <c r="H217" s="106" t="n">
        <v>0.3350608200672202</v>
      </c>
      <c r="I217" s="8" t="inlineStr">
        <is>
          <t>Ready</t>
        </is>
      </c>
      <c r="J217" s="97">
        <f>IF(COUNTIF('Rates &amp; Source Data'!$A$1499:$A$1661,$A217)=0,"",SUMIFS('Rates &amp; Source Data'!$B$1499:$B$1661,'Rates &amp; Source Data'!$A$1499:$A$1661,$A217))</f>
        <v/>
      </c>
      <c r="K217" s="97" t="n">
        <v>14100.34601635739</v>
      </c>
      <c r="L217" s="107" t="n">
        <v>14100.34601635739</v>
      </c>
    </row>
    <row r="218">
      <c r="A218" s="2" t="inlineStr">
        <is>
          <t>0000549182NR67F</t>
        </is>
      </c>
      <c r="B218" s="8">
        <f>_xlfn.XLOOKUP(A218,'Budget FY26-28'!A:A,'Site Register'!M:M)</f>
        <v/>
      </c>
      <c r="C218" s="8" t="inlineStr">
        <is>
          <t>kWh</t>
        </is>
      </c>
      <c r="D218" s="95" t="n">
        <v>35317.84869976359</v>
      </c>
      <c r="E218" s="105">
        <f>IFERROR(IF(SUMIFS('Rates &amp; Source Data'!$I$1263:$I$1393,'Rates &amp; Source Data'!$A$1263:$A$1393,$A218)&lt;&gt;0,SUMIFS('Rates &amp; Source Data'!$I$1263:$I$1393,'Rates &amp; Source Data'!$A$1263:$A$1393,$A218),$K218),$K218)</f>
        <v/>
      </c>
      <c r="F218" s="105">
        <f>E218</f>
        <v/>
      </c>
      <c r="G218" s="106" t="n">
        <v>0.3429803225182989</v>
      </c>
      <c r="H218" s="106" t="n">
        <v>0.3429803225182989</v>
      </c>
      <c r="I218" s="8" t="inlineStr">
        <is>
          <t>Ready</t>
        </is>
      </c>
      <c r="J218" s="97">
        <f>IF(COUNTIF('Rates &amp; Source Data'!$A$1499:$A$1661,$A218)=0,"",SUMIFS('Rates &amp; Source Data'!$B$1499:$B$1661,'Rates &amp; Source Data'!$A$1499:$A$1661,$A218))</f>
        <v/>
      </c>
      <c r="K218" s="97" t="n">
        <v>12113.3271376974</v>
      </c>
      <c r="L218" s="107" t="n">
        <v>12113.3271376974</v>
      </c>
    </row>
    <row r="219">
      <c r="A219" s="2" t="inlineStr">
        <is>
          <t>0000560159NR084</t>
        </is>
      </c>
      <c r="B219" s="8">
        <f>_xlfn.XLOOKUP(A219,'Budget FY26-28'!A:A,'Site Register'!M:M)</f>
        <v/>
      </c>
      <c r="C219" s="8" t="inlineStr">
        <is>
          <t>kWh</t>
        </is>
      </c>
      <c r="D219" s="95" t="n">
        <v>9631.002444987775</v>
      </c>
      <c r="E219" s="105">
        <f>IFERROR(IF(SUMIFS('Rates &amp; Source Data'!$I$1263:$I$1393,'Rates &amp; Source Data'!$A$1263:$A$1393,$A219)&lt;&gt;0,SUMIFS('Rates &amp; Source Data'!$I$1263:$I$1393,'Rates &amp; Source Data'!$A$1263:$A$1393,$A219),$K219),$K219)</f>
        <v/>
      </c>
      <c r="F219" s="105">
        <f>E219</f>
        <v/>
      </c>
      <c r="G219" s="106" t="n">
        <v>0.4823561684454238</v>
      </c>
      <c r="H219" s="106" t="n">
        <v>0.4823561684454238</v>
      </c>
      <c r="I219" s="8" t="inlineStr">
        <is>
          <t>Ready</t>
        </is>
      </c>
      <c r="J219" s="97">
        <f>IF(COUNTIF('Rates &amp; Source Data'!$A$1499:$A$1661,$A219)=0,"",SUMIFS('Rates &amp; Source Data'!$B$1499:$B$1661,'Rates &amp; Source Data'!$A$1499:$A$1661,$A219))</f>
        <v/>
      </c>
      <c r="K219" s="97" t="n">
        <v>4645.573437652812</v>
      </c>
      <c r="L219" s="107" t="n">
        <v>4645.573437652812</v>
      </c>
    </row>
    <row r="220">
      <c r="A220" s="2" t="inlineStr">
        <is>
          <t>0000584375WTD6A</t>
        </is>
      </c>
      <c r="B220" s="8">
        <f>_xlfn.XLOOKUP(A220,'Budget FY26-28'!A:A,'Site Register'!M:M)</f>
        <v/>
      </c>
      <c r="C220" s="8" t="inlineStr">
        <is>
          <t>kWh</t>
        </is>
      </c>
      <c r="D220" s="95" t="n">
        <v>1597.443890274314</v>
      </c>
      <c r="E220" s="105">
        <f>IFERROR(IF(SUMIFS('Rates &amp; Source Data'!$I$1263:$I$1393,'Rates &amp; Source Data'!$A$1263:$A$1393,$A220)&lt;&gt;0,SUMIFS('Rates &amp; Source Data'!$I$1263:$I$1393,'Rates &amp; Source Data'!$A$1263:$A$1393,$A220),$K220),$K220)</f>
        <v/>
      </c>
      <c r="F220" s="105">
        <f>E220</f>
        <v/>
      </c>
      <c r="G220" s="106" t="n">
        <v>2.029063984833314</v>
      </c>
      <c r="H220" s="106" t="n">
        <v>2.029063984833314</v>
      </c>
      <c r="I220" s="8" t="inlineStr">
        <is>
          <t>Ready</t>
        </is>
      </c>
      <c r="J220" s="97">
        <f>IF(COUNTIF('Rates &amp; Source Data'!$A$1499:$A$1661,$A220)=0,"",SUMIFS('Rates &amp; Source Data'!$B$1499:$B$1661,'Rates &amp; Source Data'!$A$1499:$A$1661,$A220))</f>
        <v/>
      </c>
      <c r="K220" s="97" t="n">
        <v>3241.315865547631</v>
      </c>
      <c r="L220" s="107" t="n">
        <v>3241.315865547631</v>
      </c>
    </row>
    <row r="221">
      <c r="A221" s="2" t="inlineStr">
        <is>
          <t>0000624842MP24B</t>
        </is>
      </c>
      <c r="B221" s="8">
        <f>_xlfn.XLOOKUP(A221,'Budget FY26-28'!A:A,'Site Register'!M:M)</f>
        <v/>
      </c>
      <c r="C221" s="8" t="inlineStr">
        <is>
          <t>kWh</t>
        </is>
      </c>
      <c r="D221" s="95" t="n">
        <v>58753.01767676767</v>
      </c>
      <c r="E221" s="105">
        <f>IFERROR(IF(SUMIFS('Rates &amp; Source Data'!$I$1263:$I$1393,'Rates &amp; Source Data'!$A$1263:$A$1393,$A221)&lt;&gt;0,SUMIFS('Rates &amp; Source Data'!$I$1263:$I$1393,'Rates &amp; Source Data'!$A$1263:$A$1393,$A221),$K221),$K221)</f>
        <v/>
      </c>
      <c r="F221" s="105">
        <f>E221</f>
        <v/>
      </c>
      <c r="G221" s="106" t="n">
        <v>0.2826961510874468</v>
      </c>
      <c r="H221" s="106" t="n">
        <v>0.2826961510874468</v>
      </c>
      <c r="I221" s="8" t="inlineStr">
        <is>
          <t>Ready</t>
        </is>
      </c>
      <c r="J221" s="97">
        <f>IF(COUNTIF('Rates &amp; Source Data'!$A$1499:$A$1661,$A221)=0,"",SUMIFS('Rates &amp; Source Data'!$B$1499:$B$1661,'Rates &amp; Source Data'!$A$1499:$A$1661,$A221))</f>
        <v/>
      </c>
      <c r="K221" s="97" t="n">
        <v>16609.25196199495</v>
      </c>
      <c r="L221" s="107" t="n">
        <v>16609.25196199495</v>
      </c>
    </row>
    <row r="222">
      <c r="A222" s="2" t="inlineStr">
        <is>
          <t>0000660398UN329</t>
        </is>
      </c>
      <c r="B222" s="8">
        <f>_xlfn.XLOOKUP(A222,'Budget FY26-28'!A:A,'Site Register'!M:M)</f>
        <v/>
      </c>
      <c r="C222" s="8" t="inlineStr">
        <is>
          <t>kWh</t>
        </is>
      </c>
      <c r="D222" s="95" t="n">
        <v>3844.148936170212</v>
      </c>
      <c r="E222" s="105">
        <f>IFERROR(IF(SUMIFS('Rates &amp; Source Data'!$I$1263:$I$1393,'Rates &amp; Source Data'!$A$1263:$A$1393,$A222)&lt;&gt;0,SUMIFS('Rates &amp; Source Data'!$I$1263:$I$1393,'Rates &amp; Source Data'!$A$1263:$A$1393,$A222),$K222),$K222)</f>
        <v/>
      </c>
      <c r="F222" s="105">
        <f>E222</f>
        <v/>
      </c>
      <c r="G222" s="106" t="n">
        <v>0.5434333693095337</v>
      </c>
      <c r="H222" s="106" t="n">
        <v>0.5434333693095337</v>
      </c>
      <c r="I222" s="8" t="inlineStr">
        <is>
          <t>Ready</t>
        </is>
      </c>
      <c r="J222" s="97">
        <f>IF(COUNTIF('Rates &amp; Source Data'!$A$1499:$A$1661,$A222)=0,"",SUMIFS('Rates &amp; Source Data'!$B$1499:$B$1661,'Rates &amp; Source Data'!$A$1499:$A$1661,$A222))</f>
        <v/>
      </c>
      <c r="K222" s="97" t="n">
        <v>2089.038808510638</v>
      </c>
      <c r="L222" s="107" t="n">
        <v>2089.038808510638</v>
      </c>
    </row>
    <row r="223">
      <c r="A223" s="2" t="inlineStr">
        <is>
          <t>0000700385MP041</t>
        </is>
      </c>
      <c r="B223" s="8">
        <f>_xlfn.XLOOKUP(A223,'Budget FY26-28'!A:A,'Site Register'!M:M)</f>
        <v/>
      </c>
      <c r="C223" s="8" t="inlineStr">
        <is>
          <t>kWh</t>
        </is>
      </c>
      <c r="D223" s="95" t="n">
        <v>1050.130023640662</v>
      </c>
      <c r="E223" s="105">
        <f>IFERROR(IF(SUMIFS('Rates &amp; Source Data'!$I$1263:$I$1393,'Rates &amp; Source Data'!$A$1263:$A$1393,$A223)&lt;&gt;0,SUMIFS('Rates &amp; Source Data'!$I$1263:$I$1393,'Rates &amp; Source Data'!$A$1263:$A$1393,$A223),$K223),$K223)</f>
        <v/>
      </c>
      <c r="F223" s="105">
        <f>E223</f>
        <v/>
      </c>
      <c r="G223" s="106" t="n">
        <v>2.443602350266206</v>
      </c>
      <c r="H223" s="106" t="n">
        <v>2.443602350266206</v>
      </c>
      <c r="I223" s="8" t="inlineStr">
        <is>
          <t>Ready</t>
        </is>
      </c>
      <c r="J223" s="97">
        <f>IF(COUNTIF('Rates &amp; Source Data'!$A$1499:$A$1661,$A223)=0,"",SUMIFS('Rates &amp; Source Data'!$B$1499:$B$1661,'Rates &amp; Source Data'!$A$1499:$A$1661,$A223))</f>
        <v/>
      </c>
      <c r="K223" s="97" t="n">
        <v>2566.100193853428</v>
      </c>
      <c r="L223" s="107" t="n">
        <v>2566.100193853428</v>
      </c>
    </row>
    <row r="224">
      <c r="A224" s="2" t="inlineStr">
        <is>
          <t>0000700787MPCC5</t>
        </is>
      </c>
      <c r="B224" s="8">
        <f>_xlfn.XLOOKUP(A224,'Budget FY26-28'!A:A,'Site Register'!M:M)</f>
        <v/>
      </c>
      <c r="C224" s="8" t="inlineStr">
        <is>
          <t>kWh</t>
        </is>
      </c>
      <c r="D224" s="95" t="n">
        <v>3791.513002364066</v>
      </c>
      <c r="E224" s="105">
        <f>IFERROR(IF(SUMIFS('Rates &amp; Source Data'!$I$1263:$I$1393,'Rates &amp; Source Data'!$A$1263:$A$1393,$A224)&lt;&gt;0,SUMIFS('Rates &amp; Source Data'!$I$1263:$I$1393,'Rates &amp; Source Data'!$A$1263:$A$1393,$A224),$K224),$K224)</f>
        <v/>
      </c>
      <c r="F224" s="105">
        <f>E224</f>
        <v/>
      </c>
      <c r="G224" s="106" t="n">
        <v>0.8527652595070487</v>
      </c>
      <c r="H224" s="106" t="n">
        <v>0.8527652595070487</v>
      </c>
      <c r="I224" s="8" t="inlineStr">
        <is>
          <t>Ready</t>
        </is>
      </c>
      <c r="J224" s="97">
        <f>IF(COUNTIF('Rates &amp; Source Data'!$A$1499:$A$1661,$A224)=0,"",SUMIFS('Rates &amp; Source Data'!$B$1499:$B$1661,'Rates &amp; Source Data'!$A$1499:$A$1661,$A224))</f>
        <v/>
      </c>
      <c r="K224" s="97" t="n">
        <v>3233.270569385342</v>
      </c>
      <c r="L224" s="107" t="n">
        <v>3233.270569385342</v>
      </c>
    </row>
    <row r="225">
      <c r="A225" s="2" t="inlineStr">
        <is>
          <t>0000721777NV28C</t>
        </is>
      </c>
      <c r="B225" s="8">
        <f>_xlfn.XLOOKUP(A225,'Budget FY26-28'!A:A,'Site Register'!M:M)</f>
        <v/>
      </c>
      <c r="C225" s="8" t="inlineStr">
        <is>
          <t>kWh</t>
        </is>
      </c>
      <c r="D225" s="95" t="n">
        <v>13574.89361702128</v>
      </c>
      <c r="E225" s="105">
        <f>IFERROR(IF(SUMIFS('Rates &amp; Source Data'!$I$1263:$I$1393,'Rates &amp; Source Data'!$A$1263:$A$1393,$A225)&lt;&gt;0,SUMIFS('Rates &amp; Source Data'!$I$1263:$I$1393,'Rates &amp; Source Data'!$A$1263:$A$1393,$A225),$K225),$K225)</f>
        <v/>
      </c>
      <c r="F225" s="105">
        <f>E225</f>
        <v/>
      </c>
      <c r="G225" s="106" t="n">
        <v>0.3593307203250682</v>
      </c>
      <c r="H225" s="106" t="n">
        <v>0.3593307203250682</v>
      </c>
      <c r="I225" s="8" t="inlineStr">
        <is>
          <t>Ready</t>
        </is>
      </c>
      <c r="J225" s="97">
        <f>IF(COUNTIF('Rates &amp; Source Data'!$A$1499:$A$1661,$A225)=0,"",SUMIFS('Rates &amp; Source Data'!$B$1499:$B$1661,'Rates &amp; Source Data'!$A$1499:$A$1661,$A225))</f>
        <v/>
      </c>
      <c r="K225" s="97" t="n">
        <v>4877.876301740425</v>
      </c>
      <c r="L225" s="107" t="n">
        <v>4877.876301740425</v>
      </c>
    </row>
    <row r="226">
      <c r="A226" s="2" t="inlineStr">
        <is>
          <t>0000734355NVC9C</t>
        </is>
      </c>
      <c r="B226" s="8">
        <f>_xlfn.XLOOKUP(A226,'Budget FY26-28'!A:A,'Site Register'!M:M)</f>
        <v/>
      </c>
      <c r="C226" s="8" t="inlineStr">
        <is>
          <t>kWh</t>
        </is>
      </c>
      <c r="D226" s="95" t="n">
        <v>241963.668</v>
      </c>
      <c r="E226" s="105">
        <f>SUMIFS('Rates &amp; Source Data'!$X$1238:$X$1258,'Rates &amp; Source Data'!$B$1238:$B$1258,$A226)</f>
        <v/>
      </c>
      <c r="F226" s="105">
        <f>E226</f>
        <v/>
      </c>
      <c r="G226" s="106" t="n">
        <v>0.2405091473100828</v>
      </c>
      <c r="H226" s="106" t="n">
        <v>0.2405091473100828</v>
      </c>
      <c r="I226" s="8" t="inlineStr">
        <is>
          <t>Ready</t>
        </is>
      </c>
      <c r="J226" s="97">
        <f>IF(COUNTIF('Rates &amp; Source Data'!$A$1666:$A$1686,$A226)=0,"",SUMIFS('Rates &amp; Source Data'!$B$1666:$B$1686,'Rates &amp; Source Data'!$A$1666:$A$1686,$A226))</f>
        <v/>
      </c>
      <c r="K226" s="97" t="n">
        <v>58194.47547069998</v>
      </c>
      <c r="L226" s="107" t="n">
        <v>58194.47547069998</v>
      </c>
    </row>
    <row r="227">
      <c r="A227" s="2" t="inlineStr">
        <is>
          <t>0000922160TUF69</t>
        </is>
      </c>
      <c r="B227" s="8">
        <f>_xlfn.XLOOKUP(A227,'Budget FY26-28'!A:A,'Site Register'!M:M)</f>
        <v/>
      </c>
      <c r="C227" s="8" t="inlineStr">
        <is>
          <t>kWh</t>
        </is>
      </c>
      <c r="D227" s="95" t="n">
        <v>4472.328605200945</v>
      </c>
      <c r="E227" s="105">
        <f>IFERROR(IF(SUMIFS('Rates &amp; Source Data'!$I$1263:$I$1393,'Rates &amp; Source Data'!$A$1263:$A$1393,$A227)&lt;&gt;0,SUMIFS('Rates &amp; Source Data'!$I$1263:$I$1393,'Rates &amp; Source Data'!$A$1263:$A$1393,$A227),$K227),$K227)</f>
        <v/>
      </c>
      <c r="F227" s="105">
        <f>E227</f>
        <v/>
      </c>
      <c r="G227" s="106" t="n">
        <v>0.5074277237958659</v>
      </c>
      <c r="H227" s="106" t="n">
        <v>0.5074277237958659</v>
      </c>
      <c r="I227" s="8" t="inlineStr">
        <is>
          <t>Ready</t>
        </is>
      </c>
      <c r="J227" s="97">
        <f>IF(COUNTIF('Rates &amp; Source Data'!$A$1499:$A$1661,$A227)=0,"",SUMIFS('Rates &amp; Source Data'!$B$1499:$B$1661,'Rates &amp; Source Data'!$A$1499:$A$1661,$A227))</f>
        <v/>
      </c>
      <c r="K227" s="97" t="n">
        <v>2269.383524204255</v>
      </c>
      <c r="L227" s="107" t="n">
        <v>2269.383524204255</v>
      </c>
    </row>
    <row r="228">
      <c r="A228" s="2" t="inlineStr">
        <is>
          <t>0000931749NV418</t>
        </is>
      </c>
      <c r="B228" s="8">
        <f>_xlfn.XLOOKUP(A228,'Budget FY26-28'!A:A,'Site Register'!M:M)</f>
        <v/>
      </c>
      <c r="C228" s="8" t="inlineStr">
        <is>
          <t>kWh</t>
        </is>
      </c>
      <c r="D228" s="95" t="n">
        <v>994727.3999999999</v>
      </c>
      <c r="E228" s="105">
        <f>SUMIFS('Rates &amp; Source Data'!$X$1238:$X$1258,'Rates &amp; Source Data'!$B$1238:$B$1258,$A228)</f>
        <v/>
      </c>
      <c r="F228" s="105">
        <f>E228</f>
        <v/>
      </c>
      <c r="G228" s="106" t="n">
        <v>0.1408937316668366</v>
      </c>
      <c r="H228" s="106" t="n">
        <v>0.1408937316668366</v>
      </c>
      <c r="I228" s="8" t="inlineStr">
        <is>
          <t>Ready</t>
        </is>
      </c>
      <c r="J228" s="97">
        <f>IF(COUNTIF('Rates &amp; Source Data'!$A$1666:$A$1686,$A228)=0,"",SUMIFS('Rates &amp; Source Data'!$B$1666:$B$1686,'Rates &amp; Source Data'!$A$1666:$A$1686,$A228))</f>
        <v/>
      </c>
      <c r="K228" s="97" t="n">
        <v>140150.85537725</v>
      </c>
      <c r="L228" s="107" t="n">
        <v>140150.85537725</v>
      </c>
    </row>
    <row r="229">
      <c r="A229" s="2" t="inlineStr">
        <is>
          <t>0000933506TU456</t>
        </is>
      </c>
      <c r="B229" s="8">
        <f>_xlfn.XLOOKUP(A229,'Budget FY26-28'!A:A,'Site Register'!M:M)</f>
        <v/>
      </c>
      <c r="C229" s="8" t="inlineStr">
        <is>
          <t>kWh</t>
        </is>
      </c>
      <c r="D229" s="95" t="n">
        <v>7981.678486997636</v>
      </c>
      <c r="E229" s="105">
        <f>IFERROR(IF(SUMIFS('Rates &amp; Source Data'!$I$1263:$I$1393,'Rates &amp; Source Data'!$A$1263:$A$1393,$A229)&lt;&gt;0,SUMIFS('Rates &amp; Source Data'!$I$1263:$I$1393,'Rates &amp; Source Data'!$A$1263:$A$1393,$A229),$K229),$K229)</f>
        <v/>
      </c>
      <c r="F229" s="105">
        <f>E229</f>
        <v/>
      </c>
      <c r="G229" s="106" t="n">
        <v>0.4041970616512403</v>
      </c>
      <c r="H229" s="106" t="n">
        <v>0.4041970616512403</v>
      </c>
      <c r="I229" s="8" t="inlineStr">
        <is>
          <t>Ready</t>
        </is>
      </c>
      <c r="J229" s="97">
        <f>IF(COUNTIF('Rates &amp; Source Data'!$A$1499:$A$1661,$A229)=0,"",SUMIFS('Rates &amp; Source Data'!$B$1499:$B$1661,'Rates &amp; Source Data'!$A$1499:$A$1661,$A229))</f>
        <v/>
      </c>
      <c r="K229" s="97" t="n">
        <v>3226.170991489362</v>
      </c>
      <c r="L229" s="107" t="n">
        <v>3226.170991489362</v>
      </c>
    </row>
    <row r="230">
      <c r="A230" s="2" t="inlineStr">
        <is>
          <t>0000935815TU2F3</t>
        </is>
      </c>
      <c r="B230" s="8">
        <f>_xlfn.XLOOKUP(A230,'Budget FY26-28'!A:A,'Site Register'!M:M)</f>
        <v/>
      </c>
      <c r="C230" s="8" t="inlineStr">
        <is>
          <t>kWh</t>
        </is>
      </c>
      <c r="D230" s="95" t="n">
        <v>3084.838709677419</v>
      </c>
      <c r="E230" s="105">
        <f>IFERROR(IF(SUMIFS('Rates &amp; Source Data'!$I$1263:$I$1393,'Rates &amp; Source Data'!$A$1263:$A$1393,$A230)&lt;&gt;0,SUMIFS('Rates &amp; Source Data'!$I$1263:$I$1393,'Rates &amp; Source Data'!$A$1263:$A$1393,$A230),$K230),$K230)</f>
        <v/>
      </c>
      <c r="F230" s="105">
        <f>E230</f>
        <v/>
      </c>
      <c r="G230" s="106" t="n">
        <v>0.6130300878134477</v>
      </c>
      <c r="H230" s="106" t="n">
        <v>0.6130300878134477</v>
      </c>
      <c r="I230" s="8" t="inlineStr">
        <is>
          <t>Ready</t>
        </is>
      </c>
      <c r="J230" s="97">
        <f>IF(COUNTIF('Rates &amp; Source Data'!$A$1499:$A$1661,$A230)=0,"",SUMIFS('Rates &amp; Source Data'!$B$1499:$B$1661,'Rates &amp; Source Data'!$A$1499:$A$1661,$A230))</f>
        <v/>
      </c>
      <c r="K230" s="97" t="n">
        <v>1891.098945083871</v>
      </c>
      <c r="L230" s="107" t="n">
        <v>1891.098945083871</v>
      </c>
    </row>
    <row r="231">
      <c r="A231" s="2" t="inlineStr">
        <is>
          <t>0000939570TUEC4</t>
        </is>
      </c>
      <c r="B231" s="8">
        <f>_xlfn.XLOOKUP(A231,'Budget FY26-28'!A:A,'Site Register'!M:M)</f>
        <v/>
      </c>
      <c r="C231" s="8" t="inlineStr">
        <is>
          <t>kWh</t>
        </is>
      </c>
      <c r="D231" s="95" t="n">
        <v>1483122.656</v>
      </c>
      <c r="E231" s="105">
        <f>SUMIFS('Rates &amp; Source Data'!$X$1238:$X$1258,'Rates &amp; Source Data'!$B$1238:$B$1258,$A231)</f>
        <v/>
      </c>
      <c r="F231" s="105">
        <f>E231</f>
        <v/>
      </c>
      <c r="G231" s="106" t="n">
        <v>0.1999186300853057</v>
      </c>
      <c r="H231" s="106" t="n">
        <v>0.1999186300853057</v>
      </c>
      <c r="I231" s="8" t="inlineStr">
        <is>
          <t>Ready</t>
        </is>
      </c>
      <c r="J231" s="97">
        <f>IF(COUNTIF('Rates &amp; Source Data'!$A$1666:$A$1686,$A231)=0,"",SUMIFS('Rates &amp; Source Data'!$B$1666:$B$1686,'Rates &amp; Source Data'!$A$1666:$A$1686,$A231))</f>
        <v/>
      </c>
      <c r="K231" s="97" t="n">
        <v>296503.8496360001</v>
      </c>
      <c r="L231" s="107" t="n">
        <v>296503.8496360001</v>
      </c>
    </row>
    <row r="232">
      <c r="A232" s="2" t="inlineStr">
        <is>
          <t>0000967277TU7B8</t>
        </is>
      </c>
      <c r="B232" s="8">
        <f>_xlfn.XLOOKUP(A232,'Budget FY26-28'!A:A,'Site Register'!M:M)</f>
        <v/>
      </c>
      <c r="C232" s="8" t="inlineStr">
        <is>
          <t>kWh</t>
        </is>
      </c>
      <c r="D232" s="95" t="n">
        <v>24502.45862884161</v>
      </c>
      <c r="E232" s="105">
        <f>IFERROR(IF(SUMIFS('Rates &amp; Source Data'!$I$1263:$I$1393,'Rates &amp; Source Data'!$A$1263:$A$1393,$A232)&lt;&gt;0,SUMIFS('Rates &amp; Source Data'!$I$1263:$I$1393,'Rates &amp; Source Data'!$A$1263:$A$1393,$A232),$K232),$K232)</f>
        <v/>
      </c>
      <c r="F232" s="105">
        <f>E232</f>
        <v/>
      </c>
      <c r="G232" s="106" t="n">
        <v>0.3883549816972099</v>
      </c>
      <c r="H232" s="106" t="n">
        <v>0.3883549816972099</v>
      </c>
      <c r="I232" s="8" t="inlineStr">
        <is>
          <t>Ready</t>
        </is>
      </c>
      <c r="J232" s="97">
        <f>IF(COUNTIF('Rates &amp; Source Data'!$A$1499:$A$1661,$A232)=0,"",SUMIFS('Rates &amp; Source Data'!$B$1499:$B$1661,'Rates &amp; Source Data'!$A$1499:$A$1661,$A232))</f>
        <v/>
      </c>
      <c r="K232" s="97" t="n">
        <v>9515.651872340424</v>
      </c>
      <c r="L232" s="107" t="n">
        <v>9515.651872340424</v>
      </c>
    </row>
    <row r="233">
      <c r="A233" s="2" t="inlineStr">
        <is>
          <t>0000968029TUF4C</t>
        </is>
      </c>
      <c r="B233" s="8">
        <f>_xlfn.XLOOKUP(A233,'Budget FY26-28'!A:A,'Site Register'!M:M)</f>
        <v/>
      </c>
      <c r="C233" s="8" t="inlineStr">
        <is>
          <t>kWh</t>
        </is>
      </c>
      <c r="D233" s="95" t="n">
        <v>12055.60532687651</v>
      </c>
      <c r="E233" s="105">
        <f>IFERROR(IF(SUMIFS('Rates &amp; Source Data'!$I$1263:$I$1393,'Rates &amp; Source Data'!$A$1263:$A$1393,$A233)&lt;&gt;0,SUMIFS('Rates &amp; Source Data'!$I$1263:$I$1393,'Rates &amp; Source Data'!$A$1263:$A$1393,$A233),$K233),$K233)</f>
        <v/>
      </c>
      <c r="F233" s="105">
        <f>E233</f>
        <v/>
      </c>
      <c r="G233" s="106" t="n">
        <v>0.5365688415162588</v>
      </c>
      <c r="H233" s="106" t="n">
        <v>0.5365688415162588</v>
      </c>
      <c r="I233" s="8" t="inlineStr">
        <is>
          <t>Ready</t>
        </is>
      </c>
      <c r="J233" s="97">
        <f>IF(COUNTIF('Rates &amp; Source Data'!$A$1499:$A$1661,$A233)=0,"",SUMIFS('Rates &amp; Source Data'!$B$1499:$B$1661,'Rates &amp; Source Data'!$A$1499:$A$1661,$A233))</f>
        <v/>
      </c>
      <c r="K233" s="97" t="n">
        <v>6468.662184019369</v>
      </c>
      <c r="L233" s="107" t="n">
        <v>6468.662184019369</v>
      </c>
    </row>
    <row r="234">
      <c r="A234" s="2" t="inlineStr">
        <is>
          <t>0001001775PCC89</t>
        </is>
      </c>
      <c r="B234" s="8">
        <f>_xlfn.XLOOKUP(A234,'Budget FY26-28'!A:A,'Site Register'!M:M)</f>
        <v/>
      </c>
      <c r="C234" s="8" t="inlineStr">
        <is>
          <t>kWh</t>
        </is>
      </c>
      <c r="D234" s="95" t="n">
        <v>164843.4959349594</v>
      </c>
      <c r="E234" s="105">
        <f>IFERROR(IF(SUMIFS('Rates &amp; Source Data'!$I$1263:$I$1393,'Rates &amp; Source Data'!$A$1263:$A$1393,$A234)&lt;&gt;0,SUMIFS('Rates &amp; Source Data'!$I$1263:$I$1393,'Rates &amp; Source Data'!$A$1263:$A$1393,$A234),$K234),$K234)</f>
        <v/>
      </c>
      <c r="F234" s="105">
        <f>E234</f>
        <v/>
      </c>
      <c r="G234" s="106" t="n">
        <v>0.3054448507966413</v>
      </c>
      <c r="H234" s="106" t="n">
        <v>0.3054448507966413</v>
      </c>
      <c r="I234" s="8" t="inlineStr">
        <is>
          <t>Ready</t>
        </is>
      </c>
      <c r="J234" s="97">
        <f>IF(COUNTIF('Rates &amp; Source Data'!$A$1499:$A$1661,$A234)=0,"",SUMIFS('Rates &amp; Source Data'!$B$1499:$B$1661,'Rates &amp; Source Data'!$A$1499:$A$1661,$A234))</f>
        <v/>
      </c>
      <c r="K234" s="97" t="n">
        <v>50350.59702065041</v>
      </c>
      <c r="L234" s="107" t="n">
        <v>50350.59702065041</v>
      </c>
    </row>
    <row r="235">
      <c r="A235" s="2" t="inlineStr">
        <is>
          <t>0001051206TG35C</t>
        </is>
      </c>
      <c r="B235" s="8">
        <f>_xlfn.XLOOKUP(A235,'Budget FY26-28'!A:A,'Site Register'!M:M)</f>
        <v/>
      </c>
      <c r="C235" s="8" t="inlineStr">
        <is>
          <t>kWh</t>
        </is>
      </c>
      <c r="D235" s="95" t="n">
        <v>1974.813432835821</v>
      </c>
      <c r="E235" s="105">
        <f>IFERROR(IF(SUMIFS('Rates &amp; Source Data'!$I$1263:$I$1393,'Rates &amp; Source Data'!$A$1263:$A$1393,$A235)&lt;&gt;0,SUMIFS('Rates &amp; Source Data'!$I$1263:$I$1393,'Rates &amp; Source Data'!$A$1263:$A$1393,$A235),$K235),$K235)</f>
        <v/>
      </c>
      <c r="F235" s="105">
        <f>E235</f>
        <v/>
      </c>
      <c r="G235" s="106" t="n">
        <v>0.4976353103448276</v>
      </c>
      <c r="H235" s="106" t="n">
        <v>0.4976353103448276</v>
      </c>
      <c r="I235" s="8" t="inlineStr">
        <is>
          <t>Ready</t>
        </is>
      </c>
      <c r="J235" s="97">
        <f>IF(COUNTIF('Rates &amp; Source Data'!$A$1499:$A$1661,$A235)=0,"",SUMIFS('Rates &amp; Source Data'!$B$1499:$B$1661,'Rates &amp; Source Data'!$A$1499:$A$1661,$A235))</f>
        <v/>
      </c>
      <c r="K235" s="97" t="n">
        <v>982.7368955223881</v>
      </c>
      <c r="L235" s="107" t="n">
        <v>982.7368955223881</v>
      </c>
    </row>
    <row r="236">
      <c r="A236" s="2" t="inlineStr">
        <is>
          <t>0001129467MLF12</t>
        </is>
      </c>
      <c r="B236" s="8">
        <f>_xlfn.XLOOKUP(A236,'Budget FY26-28'!A:A,'Site Register'!M:M)</f>
        <v/>
      </c>
      <c r="C236" s="8" t="inlineStr">
        <is>
          <t>kWh</t>
        </is>
      </c>
      <c r="D236" s="95" t="n">
        <v>452.1513002364066</v>
      </c>
      <c r="E236" s="105">
        <f>IFERROR(IF(SUMIFS('Rates &amp; Source Data'!$I$1263:$I$1393,'Rates &amp; Source Data'!$A$1263:$A$1393,$A236)&lt;&gt;0,SUMIFS('Rates &amp; Source Data'!$I$1263:$I$1393,'Rates &amp; Source Data'!$A$1263:$A$1393,$A236),$K236),$K236)</f>
        <v/>
      </c>
      <c r="F236" s="105">
        <f>E236</f>
        <v/>
      </c>
      <c r="G236" s="106" t="n">
        <v>4.415907928156437</v>
      </c>
      <c r="H236" s="106" t="n">
        <v>4.415907928156437</v>
      </c>
      <c r="I236" s="8" t="inlineStr">
        <is>
          <t>Ready</t>
        </is>
      </c>
      <c r="J236" s="97">
        <f>IF(COUNTIF('Rates &amp; Source Data'!$A$1499:$A$1661,$A236)=0,"",SUMIFS('Rates &amp; Source Data'!$B$1499:$B$1661,'Rates &amp; Source Data'!$A$1499:$A$1661,$A236))</f>
        <v/>
      </c>
      <c r="K236" s="97" t="n">
        <v>1996.658511440189</v>
      </c>
      <c r="L236" s="107" t="n">
        <v>1996.658511440189</v>
      </c>
    </row>
    <row r="237">
      <c r="A237" s="2" t="inlineStr">
        <is>
          <t>0001259077UN7C4</t>
        </is>
      </c>
      <c r="B237" s="8">
        <f>_xlfn.XLOOKUP(A237,'Budget FY26-28'!A:A,'Site Register'!M:M)</f>
        <v/>
      </c>
      <c r="C237" s="8" t="inlineStr">
        <is>
          <t>kWh</t>
        </is>
      </c>
      <c r="D237" s="95" t="n">
        <v>21618.69976359338</v>
      </c>
      <c r="E237" s="105">
        <f>IFERROR(IF(SUMIFS('Rates &amp; Source Data'!$I$1263:$I$1393,'Rates &amp; Source Data'!$A$1263:$A$1393,$A237)&lt;&gt;0,SUMIFS('Rates &amp; Source Data'!$I$1263:$I$1393,'Rates &amp; Source Data'!$A$1263:$A$1393,$A237),$K237),$K237)</f>
        <v/>
      </c>
      <c r="F237" s="105">
        <f>E237</f>
        <v/>
      </c>
      <c r="G237" s="106" t="n">
        <v>0.2600812988055389</v>
      </c>
      <c r="H237" s="106" t="n">
        <v>0.2600812988055389</v>
      </c>
      <c r="I237" s="8" t="inlineStr">
        <is>
          <t>Ready</t>
        </is>
      </c>
      <c r="J237" s="97">
        <f>IF(COUNTIF('Rates &amp; Source Data'!$A$1499:$A$1661,$A237)=0,"",SUMIFS('Rates &amp; Source Data'!$B$1499:$B$1661,'Rates &amp; Source Data'!$A$1499:$A$1661,$A237))</f>
        <v/>
      </c>
      <c r="K237" s="97" t="n">
        <v>5622.619513002364</v>
      </c>
      <c r="L237" s="107" t="n">
        <v>5622.619513002364</v>
      </c>
    </row>
    <row r="238">
      <c r="A238" s="2" t="inlineStr">
        <is>
          <t>0001302906EN76C</t>
        </is>
      </c>
      <c r="B238" s="8">
        <f>_xlfn.XLOOKUP(A238,'Budget FY26-28'!A:A,'Site Register'!M:M)</f>
        <v/>
      </c>
      <c r="C238" s="8" t="inlineStr">
        <is>
          <t>kWh</t>
        </is>
      </c>
      <c r="D238" s="95" t="n">
        <v>116472.9669030733</v>
      </c>
      <c r="E238" s="105">
        <f>IFERROR(IF(SUMIFS('Rates &amp; Source Data'!$I$1263:$I$1393,'Rates &amp; Source Data'!$A$1263:$A$1393,$A238)&lt;&gt;0,SUMIFS('Rates &amp; Source Data'!$I$1263:$I$1393,'Rates &amp; Source Data'!$A$1263:$A$1393,$A238),$K238),$K238)</f>
        <v/>
      </c>
      <c r="F238" s="105">
        <f>E238</f>
        <v/>
      </c>
      <c r="G238" s="106" t="n">
        <v>0.3011135008651141</v>
      </c>
      <c r="H238" s="106" t="n">
        <v>0.3011135008651141</v>
      </c>
      <c r="I238" s="8" t="inlineStr">
        <is>
          <t>Ready</t>
        </is>
      </c>
      <c r="J238" s="97">
        <f>IF(COUNTIF('Rates &amp; Source Data'!$A$1499:$A$1661,$A238)=0,"",SUMIFS('Rates &amp; Source Data'!$B$1499:$B$1661,'Rates &amp; Source Data'!$A$1499:$A$1661,$A238))</f>
        <v/>
      </c>
      <c r="K238" s="97" t="n">
        <v>35071.58282033096</v>
      </c>
      <c r="L238" s="107" t="n">
        <v>35071.58282033096</v>
      </c>
    </row>
    <row r="239">
      <c r="A239" s="2" t="inlineStr">
        <is>
          <t>0001302909EN8B2</t>
        </is>
      </c>
      <c r="B239" s="8">
        <f>_xlfn.XLOOKUP(A239,'Budget FY26-28'!A:A,'Site Register'!M:M)</f>
        <v/>
      </c>
      <c r="C239" s="8" t="inlineStr">
        <is>
          <t>kWh</t>
        </is>
      </c>
      <c r="D239" s="95" t="n">
        <v>133.8630806845966</v>
      </c>
      <c r="E239" s="105">
        <f>IFERROR(IF(SUMIFS('Rates &amp; Source Data'!$I$1263:$I$1393,'Rates &amp; Source Data'!$A$1263:$A$1393,$A239)&lt;&gt;0,SUMIFS('Rates &amp; Source Data'!$I$1263:$I$1393,'Rates &amp; Source Data'!$A$1263:$A$1393,$A239),$K239),$K239)</f>
        <v/>
      </c>
      <c r="F239" s="105">
        <f>E239</f>
        <v/>
      </c>
      <c r="G239" s="106" t="n">
        <v>12.63704665242009</v>
      </c>
      <c r="H239" s="106" t="n">
        <v>12.63704665242009</v>
      </c>
      <c r="I239" s="8" t="inlineStr">
        <is>
          <t>Ready</t>
        </is>
      </c>
      <c r="J239" s="97">
        <f>IF(COUNTIF('Rates &amp; Source Data'!$A$1499:$A$1661,$A239)=0,"",SUMIFS('Rates &amp; Source Data'!$B$1499:$B$1661,'Rates &amp; Source Data'!$A$1499:$A$1661,$A239))</f>
        <v/>
      </c>
      <c r="K239" s="97" t="n">
        <v>1691.633995647922</v>
      </c>
      <c r="L239" s="107" t="n">
        <v>1691.633995647922</v>
      </c>
    </row>
    <row r="240">
      <c r="A240" s="2" t="inlineStr">
        <is>
          <t>0001302912ENCCB</t>
        </is>
      </c>
      <c r="B240" s="8">
        <f>_xlfn.XLOOKUP(A240,'Budget FY26-28'!A:A,'Site Register'!M:M)</f>
        <v/>
      </c>
      <c r="C240" s="8" t="inlineStr">
        <is>
          <t>kWh</t>
        </is>
      </c>
      <c r="D240" s="95" t="n">
        <v>25629.3853427896</v>
      </c>
      <c r="E240" s="105">
        <f>IFERROR(IF(SUMIFS('Rates &amp; Source Data'!$I$1263:$I$1393,'Rates &amp; Source Data'!$A$1263:$A$1393,$A240)&lt;&gt;0,SUMIFS('Rates &amp; Source Data'!$I$1263:$I$1393,'Rates &amp; Source Data'!$A$1263:$A$1393,$A240),$K240),$K240)</f>
        <v/>
      </c>
      <c r="F240" s="105">
        <f>E240</f>
        <v/>
      </c>
      <c r="G240" s="106" t="n">
        <v>0.3119240161374309</v>
      </c>
      <c r="H240" s="106" t="n">
        <v>0.3119240161374309</v>
      </c>
      <c r="I240" s="8" t="inlineStr">
        <is>
          <t>Ready</t>
        </is>
      </c>
      <c r="J240" s="97">
        <f>IF(COUNTIF('Rates &amp; Source Data'!$A$1499:$A$1661,$A240)=0,"",SUMIFS('Rates &amp; Source Data'!$B$1499:$B$1661,'Rates &amp; Source Data'!$A$1499:$A$1661,$A240))</f>
        <v/>
      </c>
      <c r="K240" s="97" t="n">
        <v>7994.420807256738</v>
      </c>
      <c r="L240" s="107" t="n">
        <v>7994.420807256738</v>
      </c>
    </row>
    <row r="241">
      <c r="A241" s="2" t="inlineStr">
        <is>
          <t>0001428711HRE6D</t>
        </is>
      </c>
      <c r="B241" s="8">
        <f>_xlfn.XLOOKUP(A241,'Budget FY26-28'!A:A,'Site Register'!M:M)</f>
        <v/>
      </c>
      <c r="C241" s="8" t="inlineStr">
        <is>
          <t>kWh</t>
        </is>
      </c>
      <c r="D241" s="95" t="n">
        <v>14077.95508274232</v>
      </c>
      <c r="E241" s="105">
        <f>IFERROR(IF(SUMIFS('Rates &amp; Source Data'!$I$1263:$I$1393,'Rates &amp; Source Data'!$A$1263:$A$1393,$A241)&lt;&gt;0,SUMIFS('Rates &amp; Source Data'!$I$1263:$I$1393,'Rates &amp; Source Data'!$A$1263:$A$1393,$A241),$K241),$K241)</f>
        <v/>
      </c>
      <c r="F241" s="105">
        <f>E241</f>
        <v/>
      </c>
      <c r="G241" s="106" t="n">
        <v>0.3746762956956158</v>
      </c>
      <c r="H241" s="106" t="n">
        <v>0.3746762956956158</v>
      </c>
      <c r="I241" s="8" t="inlineStr">
        <is>
          <t>Ready</t>
        </is>
      </c>
      <c r="J241" s="97">
        <f>IF(COUNTIF('Rates &amp; Source Data'!$A$1499:$A$1661,$A241)=0,"",SUMIFS('Rates &amp; Source Data'!$B$1499:$B$1661,'Rates &amp; Source Data'!$A$1499:$A$1661,$A241))</f>
        <v/>
      </c>
      <c r="K241" s="97" t="n">
        <v>5274.676061371159</v>
      </c>
      <c r="L241" s="107" t="n">
        <v>5274.676061371159</v>
      </c>
    </row>
    <row r="242">
      <c r="A242" s="2" t="inlineStr">
        <is>
          <t>0001429135HR594</t>
        </is>
      </c>
      <c r="B242" s="8">
        <f>_xlfn.XLOOKUP(A242,'Budget FY26-28'!A:A,'Site Register'!M:M)</f>
        <v/>
      </c>
      <c r="C242" s="8" t="inlineStr">
        <is>
          <t>kWh</t>
        </is>
      </c>
      <c r="D242" s="95" t="n">
        <v>17482.89598108747</v>
      </c>
      <c r="E242" s="105">
        <f>IFERROR(IF(SUMIFS('Rates &amp; Source Data'!$I$1263:$I$1393,'Rates &amp; Source Data'!$A$1263:$A$1393,$A242)&lt;&gt;0,SUMIFS('Rates &amp; Source Data'!$I$1263:$I$1393,'Rates &amp; Source Data'!$A$1263:$A$1393,$A242),$K242),$K242)</f>
        <v/>
      </c>
      <c r="F242" s="105">
        <f>E242</f>
        <v/>
      </c>
      <c r="G242" s="106" t="n">
        <v>0.3578268317394982</v>
      </c>
      <c r="H242" s="106" t="n">
        <v>0.3578268317394982</v>
      </c>
      <c r="I242" s="8" t="inlineStr">
        <is>
          <t>Ready</t>
        </is>
      </c>
      <c r="J242" s="97">
        <f>IF(COUNTIF('Rates &amp; Source Data'!$A$1499:$A$1661,$A242)=0,"",SUMIFS('Rates &amp; Source Data'!$B$1499:$B$1661,'Rates &amp; Source Data'!$A$1499:$A$1661,$A242))</f>
        <v/>
      </c>
      <c r="K242" s="97" t="n">
        <v>6255.849278543735</v>
      </c>
      <c r="L242" s="107" t="n">
        <v>6255.849278543735</v>
      </c>
    </row>
    <row r="243">
      <c r="A243" s="2" t="inlineStr">
        <is>
          <t>0001430190TG470</t>
        </is>
      </c>
      <c r="B243" s="8">
        <f>_xlfn.XLOOKUP(A243,'Budget FY26-28'!A:A,'Site Register'!M:M)</f>
        <v/>
      </c>
      <c r="C243" s="8" t="inlineStr">
        <is>
          <t>kWh</t>
        </is>
      </c>
      <c r="D243" s="95" t="n">
        <v>4021.903073286051</v>
      </c>
      <c r="E243" s="105">
        <f>IFERROR(IF(SUMIFS('Rates &amp; Source Data'!$I$1263:$I$1393,'Rates &amp; Source Data'!$A$1263:$A$1393,$A243)&lt;&gt;0,SUMIFS('Rates &amp; Source Data'!$I$1263:$I$1393,'Rates &amp; Source Data'!$A$1263:$A$1393,$A243),$K243),$K243)</f>
        <v/>
      </c>
      <c r="F243" s="105">
        <f>E243</f>
        <v/>
      </c>
      <c r="G243" s="106" t="n">
        <v>0.3987723878995924</v>
      </c>
      <c r="H243" s="106" t="n">
        <v>0.3987723878995924</v>
      </c>
      <c r="I243" s="8" t="inlineStr">
        <is>
          <t>Ready</t>
        </is>
      </c>
      <c r="J243" s="97">
        <f>IF(COUNTIF('Rates &amp; Source Data'!$A$1499:$A$1661,$A243)=0,"",SUMIFS('Rates &amp; Source Data'!$B$1499:$B$1661,'Rates &amp; Source Data'!$A$1499:$A$1661,$A243))</f>
        <v/>
      </c>
      <c r="K243" s="97" t="n">
        <v>1603.823892434988</v>
      </c>
      <c r="L243" s="107" t="n">
        <v>1603.823892434988</v>
      </c>
    </row>
    <row r="244">
      <c r="A244" s="2" t="inlineStr">
        <is>
          <t>0001430191TG835</t>
        </is>
      </c>
      <c r="B244" s="8">
        <f>_xlfn.XLOOKUP(A244,'Budget FY26-28'!A:A,'Site Register'!M:M)</f>
        <v/>
      </c>
      <c r="C244" s="8" t="inlineStr">
        <is>
          <t>kWh</t>
        </is>
      </c>
      <c r="D244" s="95" t="n">
        <v>55.54347826086957</v>
      </c>
      <c r="E244" s="105">
        <f>IFERROR(IF(SUMIFS('Rates &amp; Source Data'!$I$1263:$I$1393,'Rates &amp; Source Data'!$A$1263:$A$1393,$A244)&lt;&gt;0,SUMIFS('Rates &amp; Source Data'!$I$1263:$I$1393,'Rates &amp; Source Data'!$A$1263:$A$1393,$A244),$K244),$K244)</f>
        <v/>
      </c>
      <c r="F244" s="105">
        <f>E244</f>
        <v/>
      </c>
      <c r="G244" s="106" t="n">
        <v>7.209314285714284</v>
      </c>
      <c r="H244" s="106" t="n">
        <v>7.209314285714284</v>
      </c>
      <c r="I244" s="8" t="inlineStr">
        <is>
          <t>Ready</t>
        </is>
      </c>
      <c r="J244" s="97">
        <f>IF(COUNTIF('Rates &amp; Source Data'!$A$1499:$A$1661,$A244)=0,"",SUMIFS('Rates &amp; Source Data'!$B$1499:$B$1661,'Rates &amp; Source Data'!$A$1499:$A$1661,$A244))</f>
        <v/>
      </c>
      <c r="K244" s="97" t="n">
        <v>400.4303913043478</v>
      </c>
      <c r="L244" s="107" t="n">
        <v>400.4303913043478</v>
      </c>
    </row>
    <row r="245">
      <c r="A245" s="2" t="inlineStr">
        <is>
          <t>0001430880PC7ED</t>
        </is>
      </c>
      <c r="B245" s="8">
        <f>_xlfn.XLOOKUP(A245,'Budget FY26-28'!A:A,'Site Register'!M:M)</f>
        <v/>
      </c>
      <c r="C245" s="8" t="inlineStr">
        <is>
          <t>kWh</t>
        </is>
      </c>
      <c r="D245" s="95" t="n">
        <v>12587.75413711584</v>
      </c>
      <c r="E245" s="105">
        <f>IFERROR(IF(SUMIFS('Rates &amp; Source Data'!$I$1263:$I$1393,'Rates &amp; Source Data'!$A$1263:$A$1393,$A245)&lt;&gt;0,SUMIFS('Rates &amp; Source Data'!$I$1263:$I$1393,'Rates &amp; Source Data'!$A$1263:$A$1393,$A245),$K245),$K245)</f>
        <v/>
      </c>
      <c r="F245" s="105">
        <f>E245</f>
        <v/>
      </c>
      <c r="G245" s="106" t="n">
        <v>0.3763576657275824</v>
      </c>
      <c r="H245" s="106" t="n">
        <v>0.3763576657275824</v>
      </c>
      <c r="I245" s="8" t="inlineStr">
        <is>
          <t>Ready</t>
        </is>
      </c>
      <c r="J245" s="97">
        <f>IF(COUNTIF('Rates &amp; Source Data'!$A$1499:$A$1661,$A245)=0,"",SUMIFS('Rates &amp; Source Data'!$B$1499:$B$1661,'Rates &amp; Source Data'!$A$1499:$A$1661,$A245))</f>
        <v/>
      </c>
      <c r="K245" s="97" t="n">
        <v>4737.497763797635</v>
      </c>
      <c r="L245" s="107" t="n">
        <v>4737.497763797635</v>
      </c>
    </row>
    <row r="246">
      <c r="A246" s="2" t="inlineStr">
        <is>
          <t>0001510110PCCA2</t>
        </is>
      </c>
      <c r="B246" s="8">
        <f>_xlfn.XLOOKUP(A246,'Budget FY26-28'!A:A,'Site Register'!M:M)</f>
        <v/>
      </c>
      <c r="C246" s="8" t="inlineStr">
        <is>
          <t>kWh</t>
        </is>
      </c>
      <c r="D246" s="95" t="n">
        <v>822956.5259999998</v>
      </c>
      <c r="E246" s="105">
        <f>SUMIFS('Rates &amp; Source Data'!$X$1238:$X$1258,'Rates &amp; Source Data'!$B$1238:$B$1258,$A246)</f>
        <v/>
      </c>
      <c r="F246" s="105">
        <f>E246</f>
        <v/>
      </c>
      <c r="G246" s="106" t="n">
        <v>0.2219729885451447</v>
      </c>
      <c r="H246" s="106" t="n">
        <v>0.2219729885451447</v>
      </c>
      <c r="I246" s="8" t="inlineStr">
        <is>
          <t>Ready</t>
        </is>
      </c>
      <c r="J246" s="97">
        <f>IF(COUNTIF('Rates &amp; Source Data'!$A$1666:$A$1686,$A246)=0,"",SUMIFS('Rates &amp; Source Data'!$B$1666:$B$1686,'Rates &amp; Source Data'!$A$1666:$A$1686,$A246))</f>
        <v/>
      </c>
      <c r="K246" s="97" t="n">
        <v>182674.11951895</v>
      </c>
      <c r="L246" s="107" t="n">
        <v>182674.11951895</v>
      </c>
    </row>
    <row r="247">
      <c r="A247" s="2" t="inlineStr">
        <is>
          <t>0001620723TGC3D</t>
        </is>
      </c>
      <c r="B247" s="8">
        <f>_xlfn.XLOOKUP(A247,'Budget FY26-28'!A:A,'Site Register'!M:M)</f>
        <v/>
      </c>
      <c r="C247" s="8" t="inlineStr">
        <is>
          <t>kWh</t>
        </is>
      </c>
      <c r="D247" s="95" t="n">
        <v>1661.314432989691</v>
      </c>
      <c r="E247" s="105">
        <f>IFERROR(IF(SUMIFS('Rates &amp; Source Data'!$I$1263:$I$1393,'Rates &amp; Source Data'!$A$1263:$A$1393,$A247)&lt;&gt;0,SUMIFS('Rates &amp; Source Data'!$I$1263:$I$1393,'Rates &amp; Source Data'!$A$1263:$A$1393,$A247),$K247),$K247)</f>
        <v/>
      </c>
      <c r="F247" s="105">
        <f>E247</f>
        <v/>
      </c>
      <c r="G247" s="106" t="n">
        <v>0.5521746319365799</v>
      </c>
      <c r="H247" s="106" t="n">
        <v>0.5521746319365799</v>
      </c>
      <c r="I247" s="8" t="inlineStr">
        <is>
          <t>Ready</t>
        </is>
      </c>
      <c r="J247" s="97">
        <f>IF(COUNTIF('Rates &amp; Source Data'!$A$1499:$A$1661,$A247)=0,"",SUMIFS('Rates &amp; Source Data'!$B$1499:$B$1661,'Rates &amp; Source Data'!$A$1499:$A$1661,$A247))</f>
        <v/>
      </c>
      <c r="K247" s="97" t="n">
        <v>917.3356855670104</v>
      </c>
      <c r="L247" s="107" t="n">
        <v>917.3356855670104</v>
      </c>
    </row>
    <row r="248">
      <c r="A248" s="2" t="inlineStr">
        <is>
          <t>0001702030PCB8A</t>
        </is>
      </c>
      <c r="B248" s="8">
        <f>_xlfn.XLOOKUP(A248,'Budget FY26-28'!A:A,'Site Register'!M:M)</f>
        <v/>
      </c>
      <c r="C248" s="8" t="inlineStr">
        <is>
          <t>kWh</t>
        </is>
      </c>
      <c r="D248" s="95" t="n">
        <v>5360.236406619386</v>
      </c>
      <c r="E248" s="105">
        <f>IFERROR(IF(SUMIFS('Rates &amp; Source Data'!$I$1263:$I$1393,'Rates &amp; Source Data'!$A$1263:$A$1393,$A248)&lt;&gt;0,SUMIFS('Rates &amp; Source Data'!$I$1263:$I$1393,'Rates &amp; Source Data'!$A$1263:$A$1393,$A248),$K248),$K248)</f>
        <v/>
      </c>
      <c r="F248" s="105">
        <f>E248</f>
        <v/>
      </c>
      <c r="G248" s="106" t="n">
        <v>0.4825798887498346</v>
      </c>
      <c r="H248" s="106" t="n">
        <v>0.4825798887498346</v>
      </c>
      <c r="I248" s="8" t="inlineStr">
        <is>
          <t>Ready</t>
        </is>
      </c>
      <c r="J248" s="97">
        <f>IF(COUNTIF('Rates &amp; Source Data'!$A$1499:$A$1661,$A248)=0,"",SUMIFS('Rates &amp; Source Data'!$B$1499:$B$1661,'Rates &amp; Source Data'!$A$1499:$A$1661,$A248))</f>
        <v/>
      </c>
      <c r="K248" s="97" t="n">
        <v>2586.742288779196</v>
      </c>
      <c r="L248" s="107" t="n">
        <v>2586.742288779196</v>
      </c>
    </row>
    <row r="249">
      <c r="A249" s="2" t="inlineStr">
        <is>
          <t>0001740830PC352</t>
        </is>
      </c>
      <c r="B249" s="8">
        <f>_xlfn.XLOOKUP(A249,'Budget FY26-28'!A:A,'Site Register'!M:M)</f>
        <v/>
      </c>
      <c r="C249" s="8" t="inlineStr">
        <is>
          <t>kWh</t>
        </is>
      </c>
      <c r="D249" s="95" t="n">
        <v>6272.236842105263</v>
      </c>
      <c r="E249" s="105">
        <f>IFERROR(IF(SUMIFS('Rates &amp; Source Data'!$I$1263:$I$1393,'Rates &amp; Source Data'!$A$1263:$A$1393,$A249)&lt;&gt;0,SUMIFS('Rates &amp; Source Data'!$I$1263:$I$1393,'Rates &amp; Source Data'!$A$1263:$A$1393,$A249),$K249),$K249)</f>
        <v/>
      </c>
      <c r="F249" s="105">
        <f>E249</f>
        <v/>
      </c>
      <c r="G249" s="106" t="n">
        <v>0.4556802115353794</v>
      </c>
      <c r="H249" s="106" t="n">
        <v>0.4556802115353794</v>
      </c>
      <c r="I249" s="8" t="inlineStr">
        <is>
          <t>Ready</t>
        </is>
      </c>
      <c r="J249" s="97">
        <f>IF(COUNTIF('Rates &amp; Source Data'!$A$1499:$A$1661,$A249)=0,"",SUMIFS('Rates &amp; Source Data'!$B$1499:$B$1661,'Rates &amp; Source Data'!$A$1499:$A$1661,$A249))</f>
        <v/>
      </c>
      <c r="K249" s="97" t="n">
        <v>2858.134211010527</v>
      </c>
      <c r="L249" s="107" t="n">
        <v>2858.134211010527</v>
      </c>
    </row>
    <row r="250">
      <c r="A250" s="2" t="inlineStr">
        <is>
          <t>0001742361PC751</t>
        </is>
      </c>
      <c r="B250" s="8">
        <f>_xlfn.XLOOKUP(A250,'Budget FY26-28'!A:A,'Site Register'!M:M)</f>
        <v/>
      </c>
      <c r="C250" s="8" t="inlineStr">
        <is>
          <t>kWh</t>
        </is>
      </c>
      <c r="D250" s="95" t="n">
        <v>511831.8203309693</v>
      </c>
      <c r="E250" s="105">
        <f>IFERROR(IF(SUMIFS('Rates &amp; Source Data'!$I$1263:$I$1393,'Rates &amp; Source Data'!$A$1263:$A$1393,$A250)&lt;&gt;0,SUMIFS('Rates &amp; Source Data'!$I$1263:$I$1393,'Rates &amp; Source Data'!$A$1263:$A$1393,$A250),$K250),$K250)</f>
        <v/>
      </c>
      <c r="F250" s="105">
        <f>E250</f>
        <v/>
      </c>
      <c r="G250" s="106" t="n">
        <v>0.3001121312661489</v>
      </c>
      <c r="H250" s="106" t="n">
        <v>0.3001121312661489</v>
      </c>
      <c r="I250" s="8" t="inlineStr">
        <is>
          <t>Ready</t>
        </is>
      </c>
      <c r="J250" s="97">
        <f>IF(COUNTIF('Rates &amp; Source Data'!$A$1499:$A$1661,$A250)=0,"",SUMIFS('Rates &amp; Source Data'!$B$1499:$B$1661,'Rates &amp; Source Data'!$A$1499:$A$1661,$A250))</f>
        <v/>
      </c>
      <c r="K250" s="97" t="n">
        <v>153606.9384493598</v>
      </c>
      <c r="L250" s="107" t="n">
        <v>153606.9384493598</v>
      </c>
    </row>
    <row r="251">
      <c r="A251" s="2" t="inlineStr">
        <is>
          <t>0001931780PCFE0</t>
        </is>
      </c>
      <c r="B251" s="8">
        <f>_xlfn.XLOOKUP(A251,'Budget FY26-28'!A:A,'Site Register'!M:M)</f>
        <v/>
      </c>
      <c r="C251" s="8" t="inlineStr">
        <is>
          <t>kWh</t>
        </is>
      </c>
      <c r="D251" s="95" t="n">
        <v>6525.992907801419</v>
      </c>
      <c r="E251" s="105">
        <f>IFERROR(IF(SUMIFS('Rates &amp; Source Data'!$I$1263:$I$1393,'Rates &amp; Source Data'!$A$1263:$A$1393,$A251)&lt;&gt;0,SUMIFS('Rates &amp; Source Data'!$I$1263:$I$1393,'Rates &amp; Source Data'!$A$1263:$A$1393,$A251),$K251),$K251)</f>
        <v/>
      </c>
      <c r="F251" s="105">
        <f>E251</f>
        <v/>
      </c>
      <c r="G251" s="106" t="n">
        <v>0.4495326087047431</v>
      </c>
      <c r="H251" s="106" t="n">
        <v>0.4495326087047431</v>
      </c>
      <c r="I251" s="8" t="inlineStr">
        <is>
          <t>Ready</t>
        </is>
      </c>
      <c r="J251" s="97">
        <f>IF(COUNTIF('Rates &amp; Source Data'!$A$1499:$A$1661,$A251)=0,"",SUMIFS('Rates &amp; Source Data'!$B$1499:$B$1661,'Rates &amp; Source Data'!$A$1499:$A$1661,$A251))</f>
        <v/>
      </c>
      <c r="K251" s="97" t="n">
        <v>2933.646616232624</v>
      </c>
      <c r="L251" s="107" t="n">
        <v>2933.646616232624</v>
      </c>
    </row>
    <row r="252">
      <c r="A252" s="2" t="inlineStr">
        <is>
          <t>0002105740WM96B</t>
        </is>
      </c>
      <c r="B252" s="8">
        <f>_xlfn.XLOOKUP(A252,'Budget FY26-28'!A:A,'Site Register'!M:M)</f>
        <v/>
      </c>
      <c r="C252" s="8" t="inlineStr">
        <is>
          <t>kWh</t>
        </is>
      </c>
      <c r="D252" s="95" t="n">
        <v>4335.645569620253</v>
      </c>
      <c r="E252" s="105">
        <f>IFERROR(IF(SUMIFS('Rates &amp; Source Data'!$I$1263:$I$1393,'Rates &amp; Source Data'!$A$1263:$A$1393,$A252)&lt;&gt;0,SUMIFS('Rates &amp; Source Data'!$I$1263:$I$1393,'Rates &amp; Source Data'!$A$1263:$A$1393,$A252),$K252),$K252)</f>
        <v/>
      </c>
      <c r="F252" s="105">
        <f>E252</f>
        <v/>
      </c>
      <c r="G252" s="106" t="n">
        <v>0.6709517503947261</v>
      </c>
      <c r="H252" s="106" t="n">
        <v>0.6709517503947261</v>
      </c>
      <c r="I252" s="8" t="inlineStr">
        <is>
          <t>Ready</t>
        </is>
      </c>
      <c r="J252" s="97">
        <f>IF(COUNTIF('Rates &amp; Source Data'!$A$1499:$A$1661,$A252)=0,"",SUMIFS('Rates &amp; Source Data'!$B$1499:$B$1661,'Rates &amp; Source Data'!$A$1499:$A$1661,$A252))</f>
        <v/>
      </c>
      <c r="K252" s="97" t="n">
        <v>2909.008984027848</v>
      </c>
      <c r="L252" s="107" t="n">
        <v>2909.008984027848</v>
      </c>
    </row>
    <row r="253">
      <c r="A253" s="2" t="inlineStr">
        <is>
          <t>0003140222AAD30</t>
        </is>
      </c>
      <c r="B253" s="8">
        <f>_xlfn.XLOOKUP(A253,'Budget FY26-28'!A:A,'Site Register'!M:M)</f>
        <v/>
      </c>
      <c r="C253" s="8" t="inlineStr">
        <is>
          <t>kWh</t>
        </is>
      </c>
      <c r="D253" s="95" t="n">
        <v>16794.5625</v>
      </c>
      <c r="E253" s="105">
        <f>IFERROR(IF(SUMIFS('Rates &amp; Source Data'!$I$1263:$I$1393,'Rates &amp; Source Data'!$A$1263:$A$1393,$A253)&lt;&gt;0,SUMIFS('Rates &amp; Source Data'!$I$1263:$I$1393,'Rates &amp; Source Data'!$A$1263:$A$1393,$A253),$K253),$K253)</f>
        <v/>
      </c>
      <c r="F253" s="105">
        <f>E253</f>
        <v/>
      </c>
      <c r="G253" s="106" t="n">
        <v>0.2256807240438684</v>
      </c>
      <c r="H253" s="106" t="n">
        <v>0.2256807240438684</v>
      </c>
      <c r="I253" s="8" t="inlineStr">
        <is>
          <t>Ready</t>
        </is>
      </c>
      <c r="J253" s="97">
        <f>IF(COUNTIF('Rates &amp; Source Data'!$A$1499:$A$1661,$A253)=0,"",SUMIFS('Rates &amp; Source Data'!$B$1499:$B$1661,'Rates &amp; Source Data'!$A$1499:$A$1661,$A253))</f>
        <v/>
      </c>
      <c r="K253" s="97" t="n">
        <v>3790.209025</v>
      </c>
      <c r="L253" s="107" t="n">
        <v>3790.209025</v>
      </c>
    </row>
    <row r="254">
      <c r="A254" s="2" t="inlineStr">
        <is>
          <t>0003860192TP8AB</t>
        </is>
      </c>
      <c r="B254" s="8">
        <f>_xlfn.XLOOKUP(A254,'Budget FY26-28'!A:A,'Site Register'!M:M)</f>
        <v/>
      </c>
      <c r="C254" s="8" t="inlineStr">
        <is>
          <t>kWh</t>
        </is>
      </c>
      <c r="D254" s="95" t="n">
        <v>3579.243498817967</v>
      </c>
      <c r="E254" s="105">
        <f>IFERROR(IF(SUMIFS('Rates &amp; Source Data'!$I$1263:$I$1393,'Rates &amp; Source Data'!$A$1263:$A$1393,$A254)&lt;&gt;0,SUMIFS('Rates &amp; Source Data'!$I$1263:$I$1393,'Rates &amp; Source Data'!$A$1263:$A$1393,$A254),$K254),$K254)</f>
        <v/>
      </c>
      <c r="F254" s="105">
        <f>E254</f>
        <v/>
      </c>
      <c r="G254" s="106" t="n">
        <v>0.5669339542540918</v>
      </c>
      <c r="H254" s="106" t="n">
        <v>0.5669339542540918</v>
      </c>
      <c r="I254" s="8" t="inlineStr">
        <is>
          <t>Ready</t>
        </is>
      </c>
      <c r="J254" s="97">
        <f>IF(COUNTIF('Rates &amp; Source Data'!$A$1499:$A$1661,$A254)=0,"",SUMIFS('Rates &amp; Source Data'!$B$1499:$B$1661,'Rates &amp; Source Data'!$A$1499:$A$1661,$A254))</f>
        <v/>
      </c>
      <c r="K254" s="97" t="n">
        <v>2029.194670023121</v>
      </c>
      <c r="L254" s="107" t="n">
        <v>2029.194670023121</v>
      </c>
    </row>
    <row r="255">
      <c r="A255" s="2" t="inlineStr">
        <is>
          <t>0004067806HB1B8</t>
        </is>
      </c>
      <c r="B255" s="8">
        <f>_xlfn.XLOOKUP(A255,'Budget FY26-28'!A:A,'Site Register'!M:M)</f>
        <v/>
      </c>
      <c r="C255" s="8" t="inlineStr">
        <is>
          <t>kWh</t>
        </is>
      </c>
      <c r="D255" s="95" t="n">
        <v>5496.253164556962</v>
      </c>
      <c r="E255" s="105">
        <f>IFERROR(IF(SUMIFS('Rates &amp; Source Data'!$I$1263:$I$1393,'Rates &amp; Source Data'!$A$1263:$A$1393,$A255)&lt;&gt;0,SUMIFS('Rates &amp; Source Data'!$I$1263:$I$1393,'Rates &amp; Source Data'!$A$1263:$A$1393,$A255),$K255),$K255)</f>
        <v/>
      </c>
      <c r="F255" s="105">
        <f>E255</f>
        <v/>
      </c>
      <c r="G255" s="106" t="n">
        <v>0.5173964155097603</v>
      </c>
      <c r="H255" s="106" t="n">
        <v>0.5173964155097603</v>
      </c>
      <c r="I255" s="8" t="inlineStr">
        <is>
          <t>Ready</t>
        </is>
      </c>
      <c r="J255" s="97">
        <f>IF(COUNTIF('Rates &amp; Source Data'!$A$1499:$A$1661,$A255)=0,"",SUMIFS('Rates &amp; Source Data'!$B$1499:$B$1661,'Rates &amp; Source Data'!$A$1499:$A$1661,$A255))</f>
        <v/>
      </c>
      <c r="K255" s="97" t="n">
        <v>2843.741686075949</v>
      </c>
      <c r="L255" s="107" t="n">
        <v>2843.741686075949</v>
      </c>
    </row>
    <row r="256">
      <c r="A256" s="2" t="inlineStr">
        <is>
          <t>0004620439TP3C6</t>
        </is>
      </c>
      <c r="B256" s="8">
        <f>_xlfn.XLOOKUP(A256,'Budget FY26-28'!A:A,'Site Register'!M:M)</f>
        <v/>
      </c>
      <c r="C256" s="8" t="inlineStr">
        <is>
          <t>kWh</t>
        </is>
      </c>
      <c r="D256" s="95" t="n">
        <v>6594.713541666666</v>
      </c>
      <c r="E256" s="105">
        <f>IFERROR(IF(SUMIFS('Rates &amp; Source Data'!$I$1263:$I$1393,'Rates &amp; Source Data'!$A$1263:$A$1393,$A256)&lt;&gt;0,SUMIFS('Rates &amp; Source Data'!$I$1263:$I$1393,'Rates &amp; Source Data'!$A$1263:$A$1393,$A256),$K256),$K256)</f>
        <v/>
      </c>
      <c r="F256" s="105">
        <f>E256</f>
        <v/>
      </c>
      <c r="G256" s="106" t="n">
        <v>0.4448749727973914</v>
      </c>
      <c r="H256" s="106" t="n">
        <v>0.4448749727973914</v>
      </c>
      <c r="I256" s="8" t="inlineStr">
        <is>
          <t>Ready</t>
        </is>
      </c>
      <c r="J256" s="97">
        <f>IF(COUNTIF('Rates &amp; Source Data'!$A$1499:$A$1661,$A256)=0,"",SUMIFS('Rates &amp; Source Data'!$B$1499:$B$1661,'Rates &amp; Source Data'!$A$1499:$A$1661,$A256))</f>
        <v/>
      </c>
      <c r="K256" s="97" t="n">
        <v>2933.823007455547</v>
      </c>
      <c r="L256" s="107" t="n">
        <v>2933.823007455547</v>
      </c>
    </row>
    <row r="257">
      <c r="A257" s="2" t="inlineStr">
        <is>
          <t>0004670663ALAA1</t>
        </is>
      </c>
      <c r="B257" s="8">
        <f>_xlfn.XLOOKUP(A257,'Budget FY26-28'!A:A,'Site Register'!M:M)</f>
        <v/>
      </c>
      <c r="C257" s="8" t="inlineStr">
        <is>
          <t>kWh</t>
        </is>
      </c>
      <c r="D257" s="95" t="n">
        <v>66562.80722891566</v>
      </c>
      <c r="E257" s="105">
        <f>IFERROR(IF(SUMIFS('Rates &amp; Source Data'!$I$1263:$I$1393,'Rates &amp; Source Data'!$A$1263:$A$1393,$A257)&lt;&gt;0,SUMIFS('Rates &amp; Source Data'!$I$1263:$I$1393,'Rates &amp; Source Data'!$A$1263:$A$1393,$A257),$K257),$K257)</f>
        <v/>
      </c>
      <c r="F257" s="105">
        <f>E257</f>
        <v/>
      </c>
      <c r="G257" s="106" t="n">
        <v>0.2845653606266226</v>
      </c>
      <c r="H257" s="106" t="n">
        <v>0.2845653606266226</v>
      </c>
      <c r="I257" s="8" t="inlineStr">
        <is>
          <t>Ready</t>
        </is>
      </c>
      <c r="J257" s="97">
        <f>IF(COUNTIF('Rates &amp; Source Data'!$A$1499:$A$1661,$A257)=0,"",SUMIFS('Rates &amp; Source Data'!$B$1499:$B$1661,'Rates &amp; Source Data'!$A$1499:$A$1661,$A257))</f>
        <v/>
      </c>
      <c r="K257" s="97" t="n">
        <v>18941.46924341674</v>
      </c>
      <c r="L257" s="107" t="n">
        <v>18941.46924341674</v>
      </c>
    </row>
    <row r="258">
      <c r="A258" s="2" t="inlineStr">
        <is>
          <t>0005302990ENBEF</t>
        </is>
      </c>
      <c r="B258" s="8">
        <f>_xlfn.XLOOKUP(A258,'Budget FY26-28'!A:A,'Site Register'!M:M)</f>
        <v/>
      </c>
      <c r="C258" s="8" t="inlineStr">
        <is>
          <t>kWh</t>
        </is>
      </c>
      <c r="D258" s="95" t="n">
        <v>4999.228855721393</v>
      </c>
      <c r="E258" s="105">
        <f>IFERROR(IF(SUMIFS('Rates &amp; Source Data'!$I$1263:$I$1393,'Rates &amp; Source Data'!$A$1263:$A$1393,$A258)&lt;&gt;0,SUMIFS('Rates &amp; Source Data'!$I$1263:$I$1393,'Rates &amp; Source Data'!$A$1263:$A$1393,$A258),$K258),$K258)</f>
        <v/>
      </c>
      <c r="F258" s="105">
        <f>E258</f>
        <v/>
      </c>
      <c r="G258" s="106" t="n">
        <v>0.5789709868829521</v>
      </c>
      <c r="H258" s="106" t="n">
        <v>0.5789709868829521</v>
      </c>
      <c r="I258" s="8" t="inlineStr">
        <is>
          <t>Ready</t>
        </is>
      </c>
      <c r="J258" s="97">
        <f>IF(COUNTIF('Rates &amp; Source Data'!$A$1499:$A$1661,$A258)=0,"",SUMIFS('Rates &amp; Source Data'!$B$1499:$B$1661,'Rates &amp; Source Data'!$A$1499:$A$1661,$A258))</f>
        <v/>
      </c>
      <c r="K258" s="97" t="n">
        <v>2894.408464250746</v>
      </c>
      <c r="L258" s="107" t="n">
        <v>2894.408464250746</v>
      </c>
    </row>
    <row r="259">
      <c r="A259" s="2" t="inlineStr">
        <is>
          <t>0005302992ENB6A</t>
        </is>
      </c>
      <c r="B259" s="8">
        <f>_xlfn.XLOOKUP(A259,'Budget FY26-28'!A:A,'Site Register'!M:M)</f>
        <v/>
      </c>
      <c r="C259" s="8" t="inlineStr">
        <is>
          <t>kWh</t>
        </is>
      </c>
      <c r="D259" s="95" t="n">
        <v>75702.264</v>
      </c>
      <c r="E259" s="105">
        <f>SUMIFS('Rates &amp; Source Data'!$X$1238:$X$1258,'Rates &amp; Source Data'!$B$1238:$B$1258,$A259)</f>
        <v/>
      </c>
      <c r="F259" s="105">
        <f>E259</f>
        <v/>
      </c>
      <c r="G259" s="106" t="n">
        <v>0.3489361437459784</v>
      </c>
      <c r="H259" s="106" t="n">
        <v>0.3489361437459784</v>
      </c>
      <c r="I259" s="8" t="inlineStr">
        <is>
          <t>Ready</t>
        </is>
      </c>
      <c r="J259" s="97">
        <f>IF(COUNTIF('Rates &amp; Source Data'!$A$1666:$A$1686,$A259)=0,"",SUMIFS('Rates &amp; Source Data'!$B$1666:$B$1686,'Rates &amp; Source Data'!$A$1666:$A$1686,$A259))</f>
        <v/>
      </c>
      <c r="K259" s="97" t="n">
        <v>26415.256073</v>
      </c>
      <c r="L259" s="107" t="n">
        <v>26415.256073</v>
      </c>
    </row>
    <row r="260">
      <c r="A260" s="2" t="inlineStr">
        <is>
          <t>0006725275TUA67</t>
        </is>
      </c>
      <c r="B260" s="8">
        <f>_xlfn.XLOOKUP(A260,'Budget FY26-28'!A:A,'Site Register'!M:M)</f>
        <v/>
      </c>
      <c r="C260" s="8" t="inlineStr">
        <is>
          <t>kWh</t>
        </is>
      </c>
      <c r="D260" s="95" t="n">
        <v>1801.138014527845</v>
      </c>
      <c r="E260" s="105">
        <f>IFERROR(IF(SUMIFS('Rates &amp; Source Data'!$I$1263:$I$1393,'Rates &amp; Source Data'!$A$1263:$A$1393,$A260)&lt;&gt;0,SUMIFS('Rates &amp; Source Data'!$I$1263:$I$1393,'Rates &amp; Source Data'!$A$1263:$A$1393,$A260),$K260),$K260)</f>
        <v/>
      </c>
      <c r="F260" s="105">
        <f>E260</f>
        <v/>
      </c>
      <c r="G260" s="106" t="n">
        <v>2.197704203691505</v>
      </c>
      <c r="H260" s="106" t="n">
        <v>2.197704203691505</v>
      </c>
      <c r="I260" s="8" t="inlineStr">
        <is>
          <t>Ready</t>
        </is>
      </c>
      <c r="J260" s="97">
        <f>IF(COUNTIF('Rates &amp; Source Data'!$A$1499:$A$1661,$A260)=0,"",SUMIFS('Rates &amp; Source Data'!$B$1499:$B$1661,'Rates &amp; Source Data'!$A$1499:$A$1661,$A260))</f>
        <v/>
      </c>
      <c r="K260" s="97" t="n">
        <v>3958.368585956416</v>
      </c>
      <c r="L260" s="107" t="n">
        <v>3958.368585956416</v>
      </c>
    </row>
    <row r="261">
      <c r="A261" s="2" t="inlineStr">
        <is>
          <t>0006863450RN0A4</t>
        </is>
      </c>
      <c r="B261" s="8">
        <f>_xlfn.XLOOKUP(A261,'Budget FY26-28'!A:A,'Site Register'!M:M)</f>
        <v/>
      </c>
      <c r="C261" s="8" t="inlineStr">
        <is>
          <t>kWh</t>
        </is>
      </c>
      <c r="D261" s="95" t="n">
        <v>650828.848</v>
      </c>
      <c r="E261" s="105">
        <f>SUMIFS('Rates &amp; Source Data'!$X$1238:$X$1258,'Rates &amp; Source Data'!$B$1238:$B$1258,$A261)</f>
        <v/>
      </c>
      <c r="F261" s="105">
        <f>E261</f>
        <v/>
      </c>
      <c r="G261" s="106" t="n">
        <v>0.1874472642902885</v>
      </c>
      <c r="H261" s="106" t="n">
        <v>0.1874472642902885</v>
      </c>
      <c r="I261" s="8" t="inlineStr">
        <is>
          <t>Ready</t>
        </is>
      </c>
      <c r="J261" s="97">
        <f>IF(COUNTIF('Rates &amp; Source Data'!$A$1666:$A$1686,$A261)=0,"",SUMIFS('Rates &amp; Source Data'!$B$1666:$B$1686,'Rates &amp; Source Data'!$A$1666:$A$1686,$A261))</f>
        <v/>
      </c>
      <c r="K261" s="97" t="n">
        <v>121996.0870788</v>
      </c>
      <c r="L261" s="107" t="n">
        <v>121996.0870788</v>
      </c>
    </row>
    <row r="262">
      <c r="A262" s="2" t="inlineStr">
        <is>
          <t>0007109860WM4E3</t>
        </is>
      </c>
      <c r="B262" s="8">
        <f>_xlfn.XLOOKUP(A262,'Budget FY26-28'!A:A,'Site Register'!M:M)</f>
        <v/>
      </c>
      <c r="C262" s="8" t="inlineStr">
        <is>
          <t>kWh</t>
        </is>
      </c>
      <c r="D262" s="95" t="n">
        <v>56751.02836879432</v>
      </c>
      <c r="E262" s="105">
        <f>IFERROR(IF(SUMIFS('Rates &amp; Source Data'!$I$1263:$I$1393,'Rates &amp; Source Data'!$A$1263:$A$1393,$A262)&lt;&gt;0,SUMIFS('Rates &amp; Source Data'!$I$1263:$I$1393,'Rates &amp; Source Data'!$A$1263:$A$1393,$A262),$K262),$K262)</f>
        <v/>
      </c>
      <c r="F262" s="105">
        <f>E262</f>
        <v/>
      </c>
      <c r="G262" s="106" t="n">
        <v>0.3255255926800464</v>
      </c>
      <c r="H262" s="106" t="n">
        <v>0.3255255926800464</v>
      </c>
      <c r="I262" s="8" t="inlineStr">
        <is>
          <t>Ready</t>
        </is>
      </c>
      <c r="J262" s="97">
        <f>IF(COUNTIF('Rates &amp; Source Data'!$A$1499:$A$1661,$A262)=0,"",SUMIFS('Rates &amp; Source Data'!$B$1499:$B$1661,'Rates &amp; Source Data'!$A$1499:$A$1661,$A262))</f>
        <v/>
      </c>
      <c r="K262" s="97" t="n">
        <v>18473.9121449539</v>
      </c>
      <c r="L262" s="107" t="n">
        <v>18473.9121449539</v>
      </c>
    </row>
    <row r="263">
      <c r="A263" s="2" t="inlineStr">
        <is>
          <t>0007114916TUD0B</t>
        </is>
      </c>
      <c r="B263" s="8">
        <f>_xlfn.XLOOKUP(A263,'Budget FY26-28'!A:A,'Site Register'!M:M)</f>
        <v/>
      </c>
      <c r="C263" s="8" t="inlineStr">
        <is>
          <t>kWh</t>
        </is>
      </c>
      <c r="D263" s="95" t="n">
        <v>6357.730496453901</v>
      </c>
      <c r="E263" s="105">
        <f>IFERROR(IF(SUMIFS('Rates &amp; Source Data'!$I$1263:$I$1393,'Rates &amp; Source Data'!$A$1263:$A$1393,$A263)&lt;&gt;0,SUMIFS('Rates &amp; Source Data'!$I$1263:$I$1393,'Rates &amp; Source Data'!$A$1263:$A$1393,$A263),$K263),$K263)</f>
        <v/>
      </c>
      <c r="F263" s="105">
        <f>E263</f>
        <v/>
      </c>
      <c r="G263" s="106" t="n">
        <v>0.4797315321761635</v>
      </c>
      <c r="H263" s="106" t="n">
        <v>0.4797315321761635</v>
      </c>
      <c r="I263" s="8" t="inlineStr">
        <is>
          <t>Ready</t>
        </is>
      </c>
      <c r="J263" s="97">
        <f>IF(COUNTIF('Rates &amp; Source Data'!$A$1499:$A$1661,$A263)=0,"",SUMIFS('Rates &amp; Source Data'!$B$1499:$B$1661,'Rates &amp; Source Data'!$A$1499:$A$1661,$A263))</f>
        <v/>
      </c>
      <c r="K263" s="97" t="n">
        <v>3050.00379222695</v>
      </c>
      <c r="L263" s="107" t="n">
        <v>3050.00379222695</v>
      </c>
    </row>
    <row r="264">
      <c r="A264" s="2" t="inlineStr">
        <is>
          <t>0007118408RN645</t>
        </is>
      </c>
      <c r="B264" s="8">
        <f>_xlfn.XLOOKUP(A264,'Budget FY26-28'!A:A,'Site Register'!M:M)</f>
        <v/>
      </c>
      <c r="C264" s="8" t="inlineStr">
        <is>
          <t>kWh</t>
        </is>
      </c>
      <c r="D264" s="95" t="n">
        <v>281187.1985815603</v>
      </c>
      <c r="E264" s="105">
        <f>IFERROR(IF(SUMIFS('Rates &amp; Source Data'!$I$1263:$I$1393,'Rates &amp; Source Data'!$A$1263:$A$1393,$A264)&lt;&gt;0,SUMIFS('Rates &amp; Source Data'!$I$1263:$I$1393,'Rates &amp; Source Data'!$A$1263:$A$1393,$A264),$K264),$K264)</f>
        <v/>
      </c>
      <c r="F264" s="105">
        <f>E264</f>
        <v/>
      </c>
      <c r="G264" s="106" t="n">
        <v>0.2598706725984796</v>
      </c>
      <c r="H264" s="106" t="n">
        <v>0.2598706725984796</v>
      </c>
      <c r="I264" s="8" t="inlineStr">
        <is>
          <t>Ready</t>
        </is>
      </c>
      <c r="J264" s="97">
        <f>IF(COUNTIF('Rates &amp; Source Data'!$A$1499:$A$1661,$A264)=0,"",SUMIFS('Rates &amp; Source Data'!$B$1499:$B$1661,'Rates &amp; Source Data'!$A$1499:$A$1661,$A264))</f>
        <v/>
      </c>
      <c r="K264" s="97" t="n">
        <v>73072.30642147233</v>
      </c>
      <c r="L264" s="107" t="n">
        <v>73072.30642147233</v>
      </c>
    </row>
    <row r="265">
      <c r="A265" s="2" t="inlineStr">
        <is>
          <t>0007131142RN619</t>
        </is>
      </c>
      <c r="B265" s="8">
        <f>_xlfn.XLOOKUP(A265,'Budget FY26-28'!A:A,'Site Register'!M:M)</f>
        <v/>
      </c>
      <c r="C265" s="8" t="inlineStr">
        <is>
          <t>kWh</t>
        </is>
      </c>
      <c r="D265" s="95" t="n">
        <v>14387.7304964539</v>
      </c>
      <c r="E265" s="105">
        <f>IFERROR(IF(SUMIFS('Rates &amp; Source Data'!$I$1263:$I$1393,'Rates &amp; Source Data'!$A$1263:$A$1393,$A265)&lt;&gt;0,SUMIFS('Rates &amp; Source Data'!$I$1263:$I$1393,'Rates &amp; Source Data'!$A$1263:$A$1393,$A265),$K265),$K265)</f>
        <v/>
      </c>
      <c r="F265" s="105">
        <f>E265</f>
        <v/>
      </c>
      <c r="G265" s="106" t="n">
        <v>0.3556763435629107</v>
      </c>
      <c r="H265" s="106" t="n">
        <v>0.3556763435629107</v>
      </c>
      <c r="I265" s="8" t="inlineStr">
        <is>
          <t>Ready</t>
        </is>
      </c>
      <c r="J265" s="97">
        <f>IF(COUNTIF('Rates &amp; Source Data'!$A$1499:$A$1661,$A265)=0,"",SUMIFS('Rates &amp; Source Data'!$B$1499:$B$1661,'Rates &amp; Source Data'!$A$1499:$A$1661,$A265))</f>
        <v/>
      </c>
      <c r="K265" s="97" t="n">
        <v>5117.375375147305</v>
      </c>
      <c r="L265" s="107" t="n">
        <v>5117.375375147305</v>
      </c>
    </row>
    <row r="266">
      <c r="A266" s="2" t="inlineStr">
        <is>
          <t>0007143106RNC4F</t>
        </is>
      </c>
      <c r="B266" s="8">
        <f>_xlfn.XLOOKUP(A266,'Budget FY26-28'!A:A,'Site Register'!M:M)</f>
        <v/>
      </c>
      <c r="C266" s="8" t="inlineStr">
        <is>
          <t>kWh</t>
        </is>
      </c>
      <c r="D266" s="95" t="n">
        <v>192285.9692671395</v>
      </c>
      <c r="E266" s="105">
        <f>IFERROR(IF(SUMIFS('Rates &amp; Source Data'!$I$1263:$I$1393,'Rates &amp; Source Data'!$A$1263:$A$1393,$A266)&lt;&gt;0,SUMIFS('Rates &amp; Source Data'!$I$1263:$I$1393,'Rates &amp; Source Data'!$A$1263:$A$1393,$A266),$K266),$K266)</f>
        <v/>
      </c>
      <c r="F266" s="105">
        <f>E266</f>
        <v/>
      </c>
      <c r="G266" s="106" t="n">
        <v>0.2683933267951318</v>
      </c>
      <c r="H266" s="106" t="n">
        <v>0.2683933267951318</v>
      </c>
      <c r="I266" s="8" t="inlineStr">
        <is>
          <t>Ready</t>
        </is>
      </c>
      <c r="J266" s="97">
        <f>IF(COUNTIF('Rates &amp; Source Data'!$A$1499:$A$1661,$A266)=0,"",SUMIFS('Rates &amp; Source Data'!$B$1499:$B$1661,'Rates &amp; Source Data'!$A$1499:$A$1661,$A266))</f>
        <v/>
      </c>
      <c r="K266" s="97" t="n">
        <v>51608.27098763404</v>
      </c>
      <c r="L266" s="107" t="n">
        <v>51608.27098763404</v>
      </c>
    </row>
    <row r="267">
      <c r="A267" s="2" t="inlineStr">
        <is>
          <t>0007186219RN9AF</t>
        </is>
      </c>
      <c r="B267" s="8">
        <f>_xlfn.XLOOKUP(A267,'Budget FY26-28'!A:A,'Site Register'!M:M)</f>
        <v/>
      </c>
      <c r="C267" s="8" t="inlineStr">
        <is>
          <t>kWh</t>
        </is>
      </c>
      <c r="D267" s="95" t="n">
        <v>862000</v>
      </c>
      <c r="E267" s="105">
        <f>SUMIFS('Rates &amp; Source Data'!$X$1238:$X$1258,'Rates &amp; Source Data'!$B$1238:$B$1258,$A267)</f>
        <v/>
      </c>
      <c r="F267" s="105">
        <f>E267</f>
        <v/>
      </c>
      <c r="G267" s="106" t="n"/>
      <c r="H267" s="106" t="n"/>
      <c r="I267" s="8" t="inlineStr">
        <is>
          <t>Review required</t>
        </is>
      </c>
      <c r="J267" s="97">
        <f>IF(COUNTIF('Rates &amp; Source Data'!$A$1666:$A$1686,$A267)=0,"",SUMIFS('Rates &amp; Source Data'!$B$1666:$B$1686,'Rates &amp; Source Data'!$A$1666:$A$1686,$A267))</f>
        <v/>
      </c>
      <c r="K267" s="97" t="n"/>
      <c r="L267" s="107" t="n"/>
    </row>
    <row r="268">
      <c r="A268" s="2" t="inlineStr">
        <is>
          <t>0007186221RNC43</t>
        </is>
      </c>
      <c r="B268" s="8">
        <f>_xlfn.XLOOKUP(A268,'Budget FY26-28'!A:A,'Site Register'!M:M)</f>
        <v/>
      </c>
      <c r="C268" s="8" t="inlineStr">
        <is>
          <t>kWh</t>
        </is>
      </c>
      <c r="D268" s="95" t="n">
        <v>998000</v>
      </c>
      <c r="E268" s="105">
        <f>SUMIFS('Rates &amp; Source Data'!$X$1238:$X$1258,'Rates &amp; Source Data'!$B$1238:$B$1258,$A268)</f>
        <v/>
      </c>
      <c r="F268" s="105">
        <f>E268</f>
        <v/>
      </c>
      <c r="G268" s="106" t="n"/>
      <c r="H268" s="106" t="n"/>
      <c r="I268" s="8" t="inlineStr">
        <is>
          <t>Review required</t>
        </is>
      </c>
      <c r="J268" s="97">
        <f>IF(COUNTIF('Rates &amp; Source Data'!$A$1666:$A$1686,$A268)=0,"",SUMIFS('Rates &amp; Source Data'!$B$1666:$B$1686,'Rates &amp; Source Data'!$A$1666:$A$1686,$A268))</f>
        <v/>
      </c>
      <c r="K268" s="97" t="n"/>
      <c r="L268" s="107" t="n"/>
    </row>
    <row r="269">
      <c r="A269" s="2" t="inlineStr">
        <is>
          <t>0007186223RNCC6</t>
        </is>
      </c>
      <c r="B269" s="8">
        <f>_xlfn.XLOOKUP(A269,'Budget FY26-28'!A:A,'Site Register'!M:M)</f>
        <v/>
      </c>
      <c r="C269" s="8" t="inlineStr">
        <is>
          <t>kWh</t>
        </is>
      </c>
      <c r="D269" s="95" t="n">
        <v>631000</v>
      </c>
      <c r="E269" s="105">
        <f>SUMIFS('Rates &amp; Source Data'!$X$1238:$X$1258,'Rates &amp; Source Data'!$B$1238:$B$1258,$A269)</f>
        <v/>
      </c>
      <c r="F269" s="105">
        <f>E269</f>
        <v/>
      </c>
      <c r="G269" s="106" t="n"/>
      <c r="H269" s="106" t="n"/>
      <c r="I269" s="8" t="inlineStr">
        <is>
          <t>Review required</t>
        </is>
      </c>
      <c r="J269" s="97">
        <f>IF(COUNTIF('Rates &amp; Source Data'!$A$1666:$A$1686,$A269)=0,"",SUMIFS('Rates &amp; Source Data'!$B$1666:$B$1686,'Rates &amp; Source Data'!$A$1666:$A$1686,$A269))</f>
        <v/>
      </c>
      <c r="K269" s="97" t="n"/>
      <c r="L269" s="107" t="n"/>
    </row>
    <row r="270">
      <c r="A270" s="2" t="inlineStr">
        <is>
          <t>0007194919RN100</t>
        </is>
      </c>
      <c r="B270" s="8">
        <f>_xlfn.XLOOKUP(A270,'Budget FY26-28'!A:A,'Site Register'!M:M)</f>
        <v/>
      </c>
      <c r="C270" s="8" t="inlineStr">
        <is>
          <t>kWh</t>
        </is>
      </c>
      <c r="D270" s="95" t="n">
        <v>1787.895981087471</v>
      </c>
      <c r="E270" s="105">
        <f>IFERROR(IF(SUMIFS('Rates &amp; Source Data'!$I$1263:$I$1393,'Rates &amp; Source Data'!$A$1263:$A$1393,$A270)&lt;&gt;0,SUMIFS('Rates &amp; Source Data'!$I$1263:$I$1393,'Rates &amp; Source Data'!$A$1263:$A$1393,$A270),$K270),$K270)</f>
        <v/>
      </c>
      <c r="F270" s="105">
        <f>E270</f>
        <v/>
      </c>
      <c r="G270" s="106" t="n">
        <v>0.6869169105260485</v>
      </c>
      <c r="H270" s="106" t="n">
        <v>0.6869169105260485</v>
      </c>
      <c r="I270" s="8" t="inlineStr">
        <is>
          <t>Ready</t>
        </is>
      </c>
      <c r="J270" s="97">
        <f>IF(COUNTIF('Rates &amp; Source Data'!$A$1499:$A$1661,$A270)=0,"",SUMIFS('Rates &amp; Source Data'!$B$1499:$B$1661,'Rates &amp; Source Data'!$A$1499:$A$1661,$A270))</f>
        <v/>
      </c>
      <c r="K270" s="97" t="n">
        <v>1228.135983670544</v>
      </c>
      <c r="L270" s="107" t="n">
        <v>1228.135983670544</v>
      </c>
    </row>
    <row r="271">
      <c r="A271" s="2" t="inlineStr">
        <is>
          <t>0007202058RN859</t>
        </is>
      </c>
      <c r="B271" s="8">
        <f>_xlfn.XLOOKUP(A271,'Budget FY26-28'!A:A,'Site Register'!M:M)</f>
        <v/>
      </c>
      <c r="C271" s="8" t="inlineStr">
        <is>
          <t>kWh</t>
        </is>
      </c>
      <c r="D271" s="95" t="n">
        <v>872761.4399999999</v>
      </c>
      <c r="E271" s="105">
        <f>SUMIFS('Rates &amp; Source Data'!$X$1238:$X$1258,'Rates &amp; Source Data'!$B$1238:$B$1258,$A271)</f>
        <v/>
      </c>
      <c r="F271" s="105">
        <f>E271</f>
        <v/>
      </c>
      <c r="G271" s="106" t="n">
        <v>0.1646770788636125</v>
      </c>
      <c r="H271" s="106" t="n">
        <v>0.1646770788636125</v>
      </c>
      <c r="I271" s="8" t="inlineStr">
        <is>
          <t>Ready</t>
        </is>
      </c>
      <c r="J271" s="97">
        <f>IF(COUNTIF('Rates &amp; Source Data'!$A$1666:$A$1686,$A271)=0,"",SUMIFS('Rates &amp; Source Data'!$B$1666:$B$1686,'Rates &amp; Source Data'!$A$1666:$A$1686,$A271))</f>
        <v/>
      </c>
      <c r="K271" s="97" t="n">
        <v>143723.804484</v>
      </c>
      <c r="L271" s="107" t="n">
        <v>143723.804484</v>
      </c>
    </row>
    <row r="272">
      <c r="A272" s="2" t="inlineStr">
        <is>
          <t>0007392206ALC3A</t>
        </is>
      </c>
      <c r="B272" s="8">
        <f>_xlfn.XLOOKUP(A272,'Budget FY26-28'!A:A,'Site Register'!M:M)</f>
        <v/>
      </c>
      <c r="C272" s="8" t="inlineStr">
        <is>
          <t>kWh</t>
        </is>
      </c>
      <c r="D272" s="95" t="n">
        <v>13291.86761229314</v>
      </c>
      <c r="E272" s="105">
        <f>IFERROR(IF(SUMIFS('Rates &amp; Source Data'!$I$1263:$I$1393,'Rates &amp; Source Data'!$A$1263:$A$1393,$A272)&lt;&gt;0,SUMIFS('Rates &amp; Source Data'!$I$1263:$I$1393,'Rates &amp; Source Data'!$A$1263:$A$1393,$A272),$K272),$K272)</f>
        <v/>
      </c>
      <c r="F272" s="105">
        <f>E272</f>
        <v/>
      </c>
      <c r="G272" s="106" t="n">
        <v>0.5941197611006215</v>
      </c>
      <c r="H272" s="106" t="n">
        <v>0.5941197611006215</v>
      </c>
      <c r="I272" s="8" t="inlineStr">
        <is>
          <t>Ready</t>
        </is>
      </c>
      <c r="J272" s="97">
        <f>IF(COUNTIF('Rates &amp; Source Data'!$A$1499:$A$1661,$A272)=0,"",SUMIFS('Rates &amp; Source Data'!$B$1499:$B$1661,'Rates &amp; Source Data'!$A$1499:$A$1661,$A272))</f>
        <v/>
      </c>
      <c r="K272" s="97" t="n">
        <v>7896.96121039669</v>
      </c>
      <c r="L272" s="107" t="n">
        <v>7896.96121039669</v>
      </c>
    </row>
    <row r="273">
      <c r="A273" s="2" t="inlineStr">
        <is>
          <t>0007731600WM053</t>
        </is>
      </c>
      <c r="B273" s="8">
        <f>_xlfn.XLOOKUP(A273,'Budget FY26-28'!A:A,'Site Register'!M:M)</f>
        <v/>
      </c>
      <c r="C273" s="8" t="inlineStr">
        <is>
          <t>kWh</t>
        </is>
      </c>
      <c r="D273" s="95" t="n">
        <v>3121.052009456265</v>
      </c>
      <c r="E273" s="105">
        <f>IFERROR(IF(SUMIFS('Rates &amp; Source Data'!$I$1263:$I$1393,'Rates &amp; Source Data'!$A$1263:$A$1393,$A273)&lt;&gt;0,SUMIFS('Rates &amp; Source Data'!$I$1263:$I$1393,'Rates &amp; Source Data'!$A$1263:$A$1393,$A273),$K273),$K273)</f>
        <v/>
      </c>
      <c r="F273" s="105">
        <f>E273</f>
        <v/>
      </c>
      <c r="G273" s="106" t="n">
        <v>1.008624424225594</v>
      </c>
      <c r="H273" s="106" t="n">
        <v>1.008624424225594</v>
      </c>
      <c r="I273" s="8" t="inlineStr">
        <is>
          <t>Ready</t>
        </is>
      </c>
      <c r="J273" s="97">
        <f>IF(COUNTIF('Rates &amp; Source Data'!$A$1499:$A$1661,$A273)=0,"",SUMIFS('Rates &amp; Source Data'!$B$1499:$B$1661,'Rates &amp; Source Data'!$A$1499:$A$1661,$A273))</f>
        <v/>
      </c>
      <c r="K273" s="97" t="n">
        <v>3147.969286015958</v>
      </c>
      <c r="L273" s="107" t="n">
        <v>3147.969286015958</v>
      </c>
    </row>
    <row r="274">
      <c r="A274" s="2" t="inlineStr">
        <is>
          <t>0007821200WMAC9</t>
        </is>
      </c>
      <c r="B274" s="8">
        <f>_xlfn.XLOOKUP(A274,'Budget FY26-28'!A:A,'Site Register'!M:M)</f>
        <v/>
      </c>
      <c r="C274" s="8" t="inlineStr">
        <is>
          <t>kWh</t>
        </is>
      </c>
      <c r="D274" s="95" t="n">
        <v>5713.514851485149</v>
      </c>
      <c r="E274" s="105">
        <f>IFERROR(IF(SUMIFS('Rates &amp; Source Data'!$I$1263:$I$1393,'Rates &amp; Source Data'!$A$1263:$A$1393,$A274)&lt;&gt;0,SUMIFS('Rates &amp; Source Data'!$I$1263:$I$1393,'Rates &amp; Source Data'!$A$1263:$A$1393,$A274),$K274),$K274)</f>
        <v/>
      </c>
      <c r="F274" s="105">
        <f>E274</f>
        <v/>
      </c>
      <c r="G274" s="106" t="n">
        <v>0.5778004219936228</v>
      </c>
      <c r="H274" s="106" t="n">
        <v>0.5778004219936228</v>
      </c>
      <c r="I274" s="8" t="inlineStr">
        <is>
          <t>Ready</t>
        </is>
      </c>
      <c r="J274" s="97">
        <f>IF(COUNTIF('Rates &amp; Source Data'!$A$1499:$A$1661,$A274)=0,"",SUMIFS('Rates &amp; Source Data'!$B$1499:$B$1661,'Rates &amp; Source Data'!$A$1499:$A$1661,$A274))</f>
        <v/>
      </c>
      <c r="K274" s="97" t="n">
        <v>3301.27129225495</v>
      </c>
      <c r="L274" s="107" t="n">
        <v>3301.27129225495</v>
      </c>
    </row>
    <row r="275">
      <c r="A275" s="2" t="inlineStr">
        <is>
          <t>0008803763NV80A</t>
        </is>
      </c>
      <c r="B275" s="8">
        <f>_xlfn.XLOOKUP(A275,'Budget FY26-28'!A:A,'Site Register'!M:M)</f>
        <v/>
      </c>
      <c r="C275" s="8" t="inlineStr">
        <is>
          <t>kWh</t>
        </is>
      </c>
      <c r="D275" s="95" t="n">
        <v>148068.3333333333</v>
      </c>
      <c r="E275" s="105">
        <f>IFERROR(IF(SUMIFS('Rates &amp; Source Data'!$I$1263:$I$1393,'Rates &amp; Source Data'!$A$1263:$A$1393,$A275)&lt;&gt;0,SUMIFS('Rates &amp; Source Data'!$I$1263:$I$1393,'Rates &amp; Source Data'!$A$1263:$A$1393,$A275),$K275),$K275)</f>
        <v/>
      </c>
      <c r="F275" s="105">
        <f>E275</f>
        <v/>
      </c>
      <c r="G275" s="106" t="n">
        <v>0.2688161080322148</v>
      </c>
      <c r="H275" s="106" t="n">
        <v>0.2688161080322148</v>
      </c>
      <c r="I275" s="8" t="inlineStr">
        <is>
          <t>Ready</t>
        </is>
      </c>
      <c r="J275" s="97">
        <f>IF(COUNTIF('Rates &amp; Source Data'!$A$1499:$A$1661,$A275)=0,"",SUMIFS('Rates &amp; Source Data'!$B$1499:$B$1661,'Rates &amp; Source Data'!$A$1499:$A$1661,$A275))</f>
        <v/>
      </c>
      <c r="K275" s="97" t="n">
        <v>39803.15308948333</v>
      </c>
      <c r="L275" s="107" t="n">
        <v>39803.15308948333</v>
      </c>
    </row>
    <row r="276">
      <c r="A276" s="2" t="inlineStr">
        <is>
          <t>0011001339PC3B8</t>
        </is>
      </c>
      <c r="B276" s="8">
        <f>_xlfn.XLOOKUP(A276,'Budget FY26-28'!A:A,'Site Register'!M:M)</f>
        <v/>
      </c>
      <c r="C276" s="8" t="inlineStr">
        <is>
          <t>kWh</t>
        </is>
      </c>
      <c r="D276" s="95" t="n">
        <v>11327.47863247863</v>
      </c>
      <c r="E276" s="105">
        <f>IFERROR(IF(SUMIFS('Rates &amp; Source Data'!$I$1263:$I$1393,'Rates &amp; Source Data'!$A$1263:$A$1393,$A276)&lt;&gt;0,SUMIFS('Rates &amp; Source Data'!$I$1263:$I$1393,'Rates &amp; Source Data'!$A$1263:$A$1393,$A276),$K276),$K276)</f>
        <v/>
      </c>
      <c r="F276" s="105">
        <f>E276</f>
        <v/>
      </c>
      <c r="G276" s="106" t="n">
        <v>0.3851224737491087</v>
      </c>
      <c r="H276" s="106" t="n">
        <v>0.3851224737491087</v>
      </c>
      <c r="I276" s="8" t="inlineStr">
        <is>
          <t>Ready</t>
        </is>
      </c>
      <c r="J276" s="97">
        <f>IF(COUNTIF('Rates &amp; Source Data'!$A$1499:$A$1661,$A276)=0,"",SUMIFS('Rates &amp; Source Data'!$B$1499:$B$1661,'Rates &amp; Source Data'!$A$1499:$A$1661,$A276))</f>
        <v/>
      </c>
      <c r="K276" s="97" t="n">
        <v>4362.466592280342</v>
      </c>
      <c r="L276" s="107" t="n">
        <v>4362.466592280342</v>
      </c>
    </row>
    <row r="277">
      <c r="A277" s="2" t="inlineStr">
        <is>
          <t>0011006140PC6D3</t>
        </is>
      </c>
      <c r="B277" s="8">
        <f>_xlfn.XLOOKUP(A277,'Budget FY26-28'!A:A,'Site Register'!M:M)</f>
        <v/>
      </c>
      <c r="C277" s="8" t="inlineStr">
        <is>
          <t>kWh</t>
        </is>
      </c>
      <c r="D277" s="95" t="n">
        <v>14493.86524822695</v>
      </c>
      <c r="E277" s="105">
        <f>IFERROR(IF(SUMIFS('Rates &amp; Source Data'!$I$1263:$I$1393,'Rates &amp; Source Data'!$A$1263:$A$1393,$A277)&lt;&gt;0,SUMIFS('Rates &amp; Source Data'!$I$1263:$I$1393,'Rates &amp; Source Data'!$A$1263:$A$1393,$A277),$K277),$K277)</f>
        <v/>
      </c>
      <c r="F277" s="105">
        <f>E277</f>
        <v/>
      </c>
      <c r="G277" s="106" t="n">
        <v>0.3659973221476437</v>
      </c>
      <c r="H277" s="106" t="n">
        <v>0.3659973221476437</v>
      </c>
      <c r="I277" s="8" t="inlineStr">
        <is>
          <t>Ready</t>
        </is>
      </c>
      <c r="J277" s="97">
        <f>IF(COUNTIF('Rates &amp; Source Data'!$A$1499:$A$1661,$A277)=0,"",SUMIFS('Rates &amp; Source Data'!$B$1499:$B$1661,'Rates &amp; Source Data'!$A$1499:$A$1661,$A277))</f>
        <v/>
      </c>
      <c r="K277" s="97" t="n">
        <v>5304.715868419858</v>
      </c>
      <c r="L277" s="107" t="n">
        <v>5304.715868419858</v>
      </c>
    </row>
    <row r="278">
      <c r="A278" s="2" t="inlineStr">
        <is>
          <t>0011006852PC5F2</t>
        </is>
      </c>
      <c r="B278" s="8">
        <f>_xlfn.XLOOKUP(A278,'Budget FY26-28'!A:A,'Site Register'!M:M)</f>
        <v/>
      </c>
      <c r="C278" s="8" t="inlineStr">
        <is>
          <t>kWh</t>
        </is>
      </c>
      <c r="D278" s="95" t="n">
        <v>4443.853427895981</v>
      </c>
      <c r="E278" s="105">
        <f>IFERROR(IF(SUMIFS('Rates &amp; Source Data'!$I$1263:$I$1393,'Rates &amp; Source Data'!$A$1263:$A$1393,$A278)&lt;&gt;0,SUMIFS('Rates &amp; Source Data'!$I$1263:$I$1393,'Rates &amp; Source Data'!$A$1263:$A$1393,$A278),$K278),$K278)</f>
        <v/>
      </c>
      <c r="F278" s="105">
        <f>E278</f>
        <v/>
      </c>
      <c r="G278" s="106" t="n">
        <v>0.5207296443250431</v>
      </c>
      <c r="H278" s="106" t="n">
        <v>0.5207296443250431</v>
      </c>
      <c r="I278" s="8" t="inlineStr">
        <is>
          <t>Ready</t>
        </is>
      </c>
      <c r="J278" s="97">
        <f>IF(COUNTIF('Rates &amp; Source Data'!$A$1499:$A$1661,$A278)=0,"",SUMIFS('Rates &amp; Source Data'!$B$1499:$B$1661,'Rates &amp; Source Data'!$A$1499:$A$1661,$A278))</f>
        <v/>
      </c>
      <c r="K278" s="97" t="n">
        <v>2314.046214940898</v>
      </c>
      <c r="L278" s="107" t="n">
        <v>2314.046214940898</v>
      </c>
    </row>
    <row r="279">
      <c r="A279" s="2" t="inlineStr">
        <is>
          <t>0011007482PC51C</t>
        </is>
      </c>
      <c r="B279" s="8">
        <f>_xlfn.XLOOKUP(A279,'Budget FY26-28'!A:A,'Site Register'!M:M)</f>
        <v/>
      </c>
      <c r="C279" s="8" t="inlineStr">
        <is>
          <t>kWh</t>
        </is>
      </c>
      <c r="D279" s="95" t="n">
        <v>1429.799054373522</v>
      </c>
      <c r="E279" s="105">
        <f>IFERROR(IF(SUMIFS('Rates &amp; Source Data'!$I$1263:$I$1393,'Rates &amp; Source Data'!$A$1263:$A$1393,$A279)&lt;&gt;0,SUMIFS('Rates &amp; Source Data'!$I$1263:$I$1393,'Rates &amp; Source Data'!$A$1263:$A$1393,$A279),$K279),$K279)</f>
        <v/>
      </c>
      <c r="F279" s="105">
        <f>E279</f>
        <v/>
      </c>
      <c r="G279" s="106" t="n">
        <v>0.9911377183548417</v>
      </c>
      <c r="H279" s="106" t="n">
        <v>0.9911377183548417</v>
      </c>
      <c r="I279" s="8" t="inlineStr">
        <is>
          <t>Ready</t>
        </is>
      </c>
      <c r="J279" s="97">
        <f>IF(COUNTIF('Rates &amp; Source Data'!$A$1499:$A$1661,$A279)=0,"",SUMIFS('Rates &amp; Source Data'!$B$1499:$B$1661,'Rates &amp; Source Data'!$A$1499:$A$1661,$A279))</f>
        <v/>
      </c>
      <c r="K279" s="97" t="n">
        <v>1417.127772457683</v>
      </c>
      <c r="L279" s="107" t="n">
        <v>1417.127772457683</v>
      </c>
    </row>
    <row r="280">
      <c r="A280" s="2" t="inlineStr">
        <is>
          <t>0030306524PCB33</t>
        </is>
      </c>
      <c r="B280" s="8">
        <f>_xlfn.XLOOKUP(A280,'Budget FY26-28'!A:A,'Site Register'!M:M)</f>
        <v/>
      </c>
      <c r="C280" s="8" t="inlineStr">
        <is>
          <t>kWh</t>
        </is>
      </c>
      <c r="D280" s="95" t="n">
        <v>106100.2364066194</v>
      </c>
      <c r="E280" s="105">
        <f>IFERROR(IF(SUMIFS('Rates &amp; Source Data'!$I$1263:$I$1393,'Rates &amp; Source Data'!$A$1263:$A$1393,$A280)&lt;&gt;0,SUMIFS('Rates &amp; Source Data'!$I$1263:$I$1393,'Rates &amp; Source Data'!$A$1263:$A$1393,$A280),$K280),$K280)</f>
        <v/>
      </c>
      <c r="F280" s="105">
        <f>E280</f>
        <v/>
      </c>
      <c r="G280" s="106" t="n">
        <v>0.3097999981414604</v>
      </c>
      <c r="H280" s="106" t="n">
        <v>0.3097999981414604</v>
      </c>
      <c r="I280" s="8" t="inlineStr">
        <is>
          <t>Ready</t>
        </is>
      </c>
      <c r="J280" s="97">
        <f>IF(COUNTIF('Rates &amp; Source Data'!$A$1499:$A$1661,$A280)=0,"",SUMIFS('Rates &amp; Source Data'!$B$1499:$B$1661,'Rates &amp; Source Data'!$A$1499:$A$1661,$A280))</f>
        <v/>
      </c>
      <c r="K280" s="97" t="n">
        <v>32869.85304157919</v>
      </c>
      <c r="L280" s="107" t="n">
        <v>32869.85304157919</v>
      </c>
    </row>
    <row r="281">
      <c r="A281" s="2" t="inlineStr">
        <is>
          <t>0030530098PCA11</t>
        </is>
      </c>
      <c r="B281" s="8">
        <f>_xlfn.XLOOKUP(A281,'Budget FY26-28'!A:A,'Site Register'!M:M)</f>
        <v/>
      </c>
      <c r="C281" s="8" t="inlineStr">
        <is>
          <t>kWh</t>
        </is>
      </c>
      <c r="D281" s="95" t="n">
        <v>44466.14657210401</v>
      </c>
      <c r="E281" s="105">
        <f>IFERROR(IF(SUMIFS('Rates &amp; Source Data'!$I$1263:$I$1393,'Rates &amp; Source Data'!$A$1263:$A$1393,$A281)&lt;&gt;0,SUMIFS('Rates &amp; Source Data'!$I$1263:$I$1393,'Rates &amp; Source Data'!$A$1263:$A$1393,$A281),$K281),$K281)</f>
        <v/>
      </c>
      <c r="F281" s="105">
        <f>E281</f>
        <v/>
      </c>
      <c r="G281" s="106" t="n">
        <v>0.3198799553542259</v>
      </c>
      <c r="H281" s="106" t="n">
        <v>0.3198799553542259</v>
      </c>
      <c r="I281" s="8" t="inlineStr">
        <is>
          <t>Ready</t>
        </is>
      </c>
      <c r="J281" s="97">
        <f>IF(COUNTIF('Rates &amp; Source Data'!$A$1499:$A$1661,$A281)=0,"",SUMIFS('Rates &amp; Source Data'!$B$1499:$B$1661,'Rates &amp; Source Data'!$A$1499:$A$1661,$A281))</f>
        <v/>
      </c>
      <c r="K281" s="97" t="n">
        <v>14223.8289802591</v>
      </c>
      <c r="L281" s="107" t="n">
        <v>14223.8289802591</v>
      </c>
    </row>
    <row r="282">
      <c r="A282" s="2" t="inlineStr">
        <is>
          <t>0035529024PCBAE</t>
        </is>
      </c>
      <c r="B282" s="8">
        <f>_xlfn.XLOOKUP(A282,'Budget FY26-28'!A:A,'Site Register'!M:M)</f>
        <v/>
      </c>
      <c r="C282" s="8" t="inlineStr">
        <is>
          <t>kWh</t>
        </is>
      </c>
      <c r="D282" s="95" t="n">
        <v>29600.37825059102</v>
      </c>
      <c r="E282" s="105">
        <f>IFERROR(IF(SUMIFS('Rates &amp; Source Data'!$I$1263:$I$1393,'Rates &amp; Source Data'!$A$1263:$A$1393,$A282)&lt;&gt;0,SUMIFS('Rates &amp; Source Data'!$I$1263:$I$1393,'Rates &amp; Source Data'!$A$1263:$A$1393,$A282),$K282),$K282)</f>
        <v/>
      </c>
      <c r="F282" s="105">
        <f>E282</f>
        <v/>
      </c>
      <c r="G282" s="106" t="n">
        <v>0.3635918904324269</v>
      </c>
      <c r="H282" s="106" t="n">
        <v>0.3635918904324269</v>
      </c>
      <c r="I282" s="8" t="inlineStr">
        <is>
          <t>Ready</t>
        </is>
      </c>
      <c r="J282" s="97">
        <f>IF(COUNTIF('Rates &amp; Source Data'!$A$1499:$A$1661,$A282)=0,"",SUMIFS('Rates &amp; Source Data'!$B$1499:$B$1661,'Rates &amp; Source Data'!$A$1499:$A$1661,$A282))</f>
        <v/>
      </c>
      <c r="K282" s="97" t="n">
        <v>10762.45748564728</v>
      </c>
      <c r="L282" s="107" t="n">
        <v>10762.45748564728</v>
      </c>
    </row>
    <row r="283">
      <c r="A283" s="2" t="inlineStr">
        <is>
          <t>0035880213PC771</t>
        </is>
      </c>
      <c r="B283" s="8">
        <f>_xlfn.XLOOKUP(A283,'Budget FY26-28'!A:A,'Site Register'!M:M)</f>
        <v/>
      </c>
      <c r="C283" s="8" t="inlineStr">
        <is>
          <t>kWh</t>
        </is>
      </c>
      <c r="D283" s="95" t="n">
        <v>2290.30534351145</v>
      </c>
      <c r="E283" s="105">
        <f>IFERROR(IF(SUMIFS('Rates &amp; Source Data'!$I$1263:$I$1393,'Rates &amp; Source Data'!$A$1263:$A$1393,$A283)&lt;&gt;0,SUMIFS('Rates &amp; Source Data'!$I$1263:$I$1393,'Rates &amp; Source Data'!$A$1263:$A$1393,$A283),$K283),$K283)</f>
        <v/>
      </c>
      <c r="F283" s="105">
        <f>E283</f>
        <v/>
      </c>
      <c r="G283" s="106" t="n">
        <v>0.802767679360064</v>
      </c>
      <c r="H283" s="106" t="n">
        <v>0.802767679360064</v>
      </c>
      <c r="I283" s="8" t="inlineStr">
        <is>
          <t>Ready</t>
        </is>
      </c>
      <c r="J283" s="97">
        <f>IF(COUNTIF('Rates &amp; Source Data'!$A$1499:$A$1661,$A283)=0,"",SUMIFS('Rates &amp; Source Data'!$B$1499:$B$1661,'Rates &amp; Source Data'!$A$1499:$A$1661,$A283))</f>
        <v/>
      </c>
      <c r="K283" s="97" t="n">
        <v>1838.583105636641</v>
      </c>
      <c r="L283" s="107" t="n">
        <v>1838.583105636641</v>
      </c>
    </row>
    <row r="284">
      <c r="A284" s="2" t="inlineStr">
        <is>
          <t>0042251303PCE11</t>
        </is>
      </c>
      <c r="B284" s="8">
        <f>_xlfn.XLOOKUP(A284,'Budget FY26-28'!A:A,'Site Register'!M:M)</f>
        <v/>
      </c>
      <c r="C284" s="8" t="inlineStr">
        <is>
          <t>kWh</t>
        </is>
      </c>
      <c r="D284" s="95" t="n">
        <v>6695.981087470449</v>
      </c>
      <c r="E284" s="105">
        <f>IFERROR(IF(SUMIFS('Rates &amp; Source Data'!$I$1263:$I$1393,'Rates &amp; Source Data'!$A$1263:$A$1393,$A284)&lt;&gt;0,SUMIFS('Rates &amp; Source Data'!$I$1263:$I$1393,'Rates &amp; Source Data'!$A$1263:$A$1393,$A284),$K284),$K284)</f>
        <v/>
      </c>
      <c r="F284" s="105">
        <f>E284</f>
        <v/>
      </c>
      <c r="G284" s="106" t="n">
        <v>0.489575359932213</v>
      </c>
      <c r="H284" s="106" t="n">
        <v>0.489575359932213</v>
      </c>
      <c r="I284" s="8" t="inlineStr">
        <is>
          <t>Ready</t>
        </is>
      </c>
      <c r="J284" s="97">
        <f>IF(COUNTIF('Rates &amp; Source Data'!$A$1499:$A$1661,$A284)=0,"",SUMIFS('Rates &amp; Source Data'!$B$1499:$B$1661,'Rates &amp; Source Data'!$A$1499:$A$1661,$A284))</f>
        <v/>
      </c>
      <c r="K284" s="97" t="n">
        <v>3278.187350997636</v>
      </c>
      <c r="L284" s="107" t="n">
        <v>3278.187350997636</v>
      </c>
    </row>
    <row r="285">
      <c r="A285" s="2" t="inlineStr">
        <is>
          <t>0047123930PCE3C</t>
        </is>
      </c>
      <c r="B285" s="8">
        <f>_xlfn.XLOOKUP(A285,'Budget FY26-28'!A:A,'Site Register'!M:M)</f>
        <v/>
      </c>
      <c r="C285" s="8" t="inlineStr">
        <is>
          <t>kWh</t>
        </is>
      </c>
      <c r="D285" s="95" t="n">
        <v>26887.47044917258</v>
      </c>
      <c r="E285" s="105">
        <f>IFERROR(IF(SUMIFS('Rates &amp; Source Data'!$I$1263:$I$1393,'Rates &amp; Source Data'!$A$1263:$A$1393,$A285)&lt;&gt;0,SUMIFS('Rates &amp; Source Data'!$I$1263:$I$1393,'Rates &amp; Source Data'!$A$1263:$A$1393,$A285),$K285),$K285)</f>
        <v/>
      </c>
      <c r="F285" s="105">
        <f>E285</f>
        <v/>
      </c>
      <c r="G285" s="106" t="n">
        <v>0.3673080470177784</v>
      </c>
      <c r="H285" s="106" t="n">
        <v>0.3673080470177784</v>
      </c>
      <c r="I285" s="8" t="inlineStr">
        <is>
          <t>Ready</t>
        </is>
      </c>
      <c r="J285" s="97">
        <f>IF(COUNTIF('Rates &amp; Source Data'!$A$1499:$A$1661,$A285)=0,"",SUMIFS('Rates &amp; Source Data'!$B$1499:$B$1661,'Rates &amp; Source Data'!$A$1499:$A$1661,$A285))</f>
        <v/>
      </c>
      <c r="K285" s="97" t="n">
        <v>9875.984259933806</v>
      </c>
      <c r="L285" s="107" t="n">
        <v>9875.984259933806</v>
      </c>
    </row>
    <row r="286">
      <c r="A286" s="2" t="inlineStr">
        <is>
          <t>0071098630WMAC0</t>
        </is>
      </c>
      <c r="B286" s="8">
        <f>_xlfn.XLOOKUP(A286,'Budget FY26-28'!A:A,'Site Register'!M:M)</f>
        <v/>
      </c>
      <c r="C286" s="8" t="inlineStr">
        <is>
          <t>kWh</t>
        </is>
      </c>
      <c r="D286" s="95" t="n">
        <v>96547.24586288417</v>
      </c>
      <c r="E286" s="105">
        <f>IFERROR(IF(SUMIFS('Rates &amp; Source Data'!$I$1263:$I$1393,'Rates &amp; Source Data'!$A$1263:$A$1393,$A286)&lt;&gt;0,SUMIFS('Rates &amp; Source Data'!$I$1263:$I$1393,'Rates &amp; Source Data'!$A$1263:$A$1393,$A286),$K286),$K286)</f>
        <v/>
      </c>
      <c r="F286" s="105">
        <f>E286</f>
        <v/>
      </c>
      <c r="G286" s="106" t="n">
        <v>0.3511384724085833</v>
      </c>
      <c r="H286" s="106" t="n">
        <v>0.3511384724085833</v>
      </c>
      <c r="I286" s="8" t="inlineStr">
        <is>
          <t>Ready</t>
        </is>
      </c>
      <c r="J286" s="97">
        <f>IF(COUNTIF('Rates &amp; Source Data'!$A$1499:$A$1661,$A286)=0,"",SUMIFS('Rates &amp; Source Data'!$B$1499:$B$1661,'Rates &amp; Source Data'!$A$1499:$A$1661,$A286))</f>
        <v/>
      </c>
      <c r="K286" s="97" t="n">
        <v>33901.45242754905</v>
      </c>
      <c r="L286" s="107" t="n">
        <v>33901.45242754905</v>
      </c>
    </row>
    <row r="287">
      <c r="A287" s="2" t="inlineStr">
        <is>
          <t>0075241357WEF68</t>
        </is>
      </c>
      <c r="B287" s="8">
        <f>_xlfn.XLOOKUP(A287,'Budget FY26-28'!A:A,'Site Register'!M:M)</f>
        <v/>
      </c>
      <c r="C287" s="8" t="inlineStr">
        <is>
          <t>kWh</t>
        </is>
      </c>
      <c r="D287" s="95" t="n">
        <v>64957.91962174941</v>
      </c>
      <c r="E287" s="105">
        <f>IFERROR(IF(SUMIFS('Rates &amp; Source Data'!$I$1263:$I$1393,'Rates &amp; Source Data'!$A$1263:$A$1393,$A287)&lt;&gt;0,SUMIFS('Rates &amp; Source Data'!$I$1263:$I$1393,'Rates &amp; Source Data'!$A$1263:$A$1393,$A287),$K287),$K287)</f>
        <v/>
      </c>
      <c r="F287" s="105">
        <f>E287</f>
        <v/>
      </c>
      <c r="G287" s="106" t="n">
        <v>0.302285732012141</v>
      </c>
      <c r="H287" s="106" t="n">
        <v>0.302285732012141</v>
      </c>
      <c r="I287" s="8" t="inlineStr">
        <is>
          <t>Ready</t>
        </is>
      </c>
      <c r="J287" s="97">
        <f>IF(COUNTIF('Rates &amp; Source Data'!$A$1499:$A$1661,$A287)=0,"",SUMIFS('Rates &amp; Source Data'!$B$1499:$B$1661,'Rates &amp; Source Data'!$A$1499:$A$1661,$A287))</f>
        <v/>
      </c>
      <c r="K287" s="97" t="n">
        <v>19635.85228284634</v>
      </c>
      <c r="L287" s="107" t="n">
        <v>19635.85228284634</v>
      </c>
    </row>
    <row r="288">
      <c r="A288" s="2" t="inlineStr">
        <is>
          <t>0080011664PC16A</t>
        </is>
      </c>
      <c r="B288" s="8">
        <f>_xlfn.XLOOKUP(A288,'Budget FY26-28'!A:A,'Site Register'!M:M)</f>
        <v/>
      </c>
      <c r="C288" s="8" t="inlineStr">
        <is>
          <t>kWh</t>
        </is>
      </c>
      <c r="D288" s="95" t="n">
        <v>5957.352245862885</v>
      </c>
      <c r="E288" s="105">
        <f>IFERROR(IF(SUMIFS('Rates &amp; Source Data'!$I$1263:$I$1393,'Rates &amp; Source Data'!$A$1263:$A$1393,$A288)&lt;&gt;0,SUMIFS('Rates &amp; Source Data'!$I$1263:$I$1393,'Rates &amp; Source Data'!$A$1263:$A$1393,$A288),$K288),$K288)</f>
        <v/>
      </c>
      <c r="F288" s="105">
        <f>E288</f>
        <v/>
      </c>
      <c r="G288" s="106" t="n">
        <v>0.4640368979075858</v>
      </c>
      <c r="H288" s="106" t="n">
        <v>0.4640368979075858</v>
      </c>
      <c r="I288" s="8" t="inlineStr">
        <is>
          <t>Ready</t>
        </is>
      </c>
      <c r="J288" s="97">
        <f>IF(COUNTIF('Rates &amp; Source Data'!$A$1499:$A$1661,$A288)=0,"",SUMIFS('Rates &amp; Source Data'!$B$1499:$B$1661,'Rates &amp; Source Data'!$A$1499:$A$1661,$A288))</f>
        <v/>
      </c>
      <c r="K288" s="97" t="n">
        <v>2764.431255913003</v>
      </c>
      <c r="L288" s="107" t="n">
        <v>2764.431255913003</v>
      </c>
    </row>
    <row r="289">
      <c r="A289" s="2" t="inlineStr">
        <is>
          <t>0080012802PCBFE</t>
        </is>
      </c>
      <c r="B289" s="8">
        <f>_xlfn.XLOOKUP(A289,'Budget FY26-28'!A:A,'Site Register'!M:M)</f>
        <v/>
      </c>
      <c r="C289" s="8" t="inlineStr">
        <is>
          <t>kWh</t>
        </is>
      </c>
      <c r="D289" s="95" t="n">
        <v>6712.375886524823</v>
      </c>
      <c r="E289" s="105">
        <f>IFERROR(IF(SUMIFS('Rates &amp; Source Data'!$I$1263:$I$1393,'Rates &amp; Source Data'!$A$1263:$A$1393,$A289)&lt;&gt;0,SUMIFS('Rates &amp; Source Data'!$I$1263:$I$1393,'Rates &amp; Source Data'!$A$1263:$A$1393,$A289),$K289),$K289)</f>
        <v/>
      </c>
      <c r="F289" s="105">
        <f>E289</f>
        <v/>
      </c>
      <c r="G289" s="106" t="n">
        <v>0.4453132951734121</v>
      </c>
      <c r="H289" s="106" t="n">
        <v>0.4453132951734121</v>
      </c>
      <c r="I289" s="8" t="inlineStr">
        <is>
          <t>Ready</t>
        </is>
      </c>
      <c r="J289" s="97">
        <f>IF(COUNTIF('Rates &amp; Source Data'!$A$1499:$A$1661,$A289)=0,"",SUMIFS('Rates &amp; Source Data'!$B$1499:$B$1661,'Rates &amp; Source Data'!$A$1499:$A$1661,$A289))</f>
        <v/>
      </c>
      <c r="K289" s="97" t="n">
        <v>2989.110224470922</v>
      </c>
      <c r="L289" s="107" t="n">
        <v>2989.110224470922</v>
      </c>
    </row>
    <row r="290">
      <c r="A290" s="2" t="inlineStr">
        <is>
          <t>0083634200PC7D0</t>
        </is>
      </c>
      <c r="B290" s="8">
        <f>_xlfn.XLOOKUP(A290,'Budget FY26-28'!A:A,'Site Register'!M:M)</f>
        <v/>
      </c>
      <c r="C290" s="8" t="inlineStr">
        <is>
          <t>kWh</t>
        </is>
      </c>
      <c r="D290" s="95" t="n">
        <v>1.852791878172589</v>
      </c>
      <c r="E290" s="105">
        <f>IFERROR(IF(SUMIFS('Rates &amp; Source Data'!$I$1263:$I$1393,'Rates &amp; Source Data'!$A$1263:$A$1393,$A290)&lt;&gt;0,SUMIFS('Rates &amp; Source Data'!$I$1263:$I$1393,'Rates &amp; Source Data'!$A$1263:$A$1393,$A290),$K290),$K290)</f>
        <v/>
      </c>
      <c r="F290" s="105">
        <f>E290</f>
        <v/>
      </c>
      <c r="G290" s="106" t="n">
        <v>535.5168937884931</v>
      </c>
      <c r="H290" s="106" t="n">
        <v>535.5168937884931</v>
      </c>
      <c r="I290" s="8" t="inlineStr">
        <is>
          <t>Ready</t>
        </is>
      </c>
      <c r="J290" s="97">
        <f>IF(COUNTIF('Rates &amp; Source Data'!$A$1499:$A$1661,$A290)=0,"",SUMIFS('Rates &amp; Source Data'!$B$1499:$B$1661,'Rates &amp; Source Data'!$A$1499:$A$1661,$A290))</f>
        <v/>
      </c>
      <c r="K290" s="97" t="n">
        <v>992.201351435533</v>
      </c>
      <c r="L290" s="107" t="n">
        <v>992.201351435533</v>
      </c>
    </row>
    <row r="291">
      <c r="A291" s="2" t="inlineStr">
        <is>
          <t>0083973001PC01D</t>
        </is>
      </c>
      <c r="B291" s="8">
        <f>_xlfn.XLOOKUP(A291,'Budget FY26-28'!A:A,'Site Register'!M:M)</f>
        <v/>
      </c>
      <c r="C291" s="8" t="inlineStr">
        <is>
          <t>kWh</t>
        </is>
      </c>
      <c r="D291" s="95" t="n">
        <v>5130.709219858156</v>
      </c>
      <c r="E291" s="105">
        <f>IFERROR(IF(SUMIFS('Rates &amp; Source Data'!$I$1263:$I$1393,'Rates &amp; Source Data'!$A$1263:$A$1393,$A291)&lt;&gt;0,SUMIFS('Rates &amp; Source Data'!$I$1263:$I$1393,'Rates &amp; Source Data'!$A$1263:$A$1393,$A291),$K291),$K291)</f>
        <v/>
      </c>
      <c r="F291" s="105">
        <f>E291</f>
        <v/>
      </c>
      <c r="G291" s="106" t="n">
        <v>0.4908560930699584</v>
      </c>
      <c r="H291" s="106" t="n">
        <v>0.4908560930699584</v>
      </c>
      <c r="I291" s="8" t="inlineStr">
        <is>
          <t>Ready</t>
        </is>
      </c>
      <c r="J291" s="97">
        <f>IF(COUNTIF('Rates &amp; Source Data'!$A$1499:$A$1661,$A291)=0,"",SUMIFS('Rates &amp; Source Data'!$B$1499:$B$1661,'Rates &amp; Source Data'!$A$1499:$A$1661,$A291))</f>
        <v/>
      </c>
      <c r="K291" s="97" t="n">
        <v>2518.439882337589</v>
      </c>
      <c r="L291" s="107" t="n">
        <v>2518.439882337589</v>
      </c>
    </row>
    <row r="292">
      <c r="A292" s="2" t="inlineStr">
        <is>
          <t>0088031221NVA65</t>
        </is>
      </c>
      <c r="B292" s="8">
        <f>_xlfn.XLOOKUP(A292,'Budget FY26-28'!A:A,'Site Register'!M:M)</f>
        <v/>
      </c>
      <c r="C292" s="8" t="inlineStr">
        <is>
          <t>kWh</t>
        </is>
      </c>
      <c r="D292" s="95" t="n">
        <v>2960.555555555555</v>
      </c>
      <c r="E292" s="105">
        <f>IFERROR(IF(SUMIFS('Rates &amp; Source Data'!$I$1263:$I$1393,'Rates &amp; Source Data'!$A$1263:$A$1393,$A292)&lt;&gt;0,SUMIFS('Rates &amp; Source Data'!$I$1263:$I$1393,'Rates &amp; Source Data'!$A$1263:$A$1393,$A292),$K292),$K292)</f>
        <v/>
      </c>
      <c r="F292" s="105">
        <f>E292</f>
        <v/>
      </c>
      <c r="G292" s="106" t="n">
        <v>0.6256619781591294</v>
      </c>
      <c r="H292" s="106" t="n">
        <v>0.6256619781591294</v>
      </c>
      <c r="I292" s="8" t="inlineStr">
        <is>
          <t>Ready</t>
        </is>
      </c>
      <c r="J292" s="97">
        <f>IF(COUNTIF('Rates &amp; Source Data'!$A$1499:$A$1661,$A292)=0,"",SUMIFS('Rates &amp; Source Data'!$B$1499:$B$1661,'Rates &amp; Source Data'!$A$1499:$A$1661,$A292))</f>
        <v/>
      </c>
      <c r="K292" s="97" t="n">
        <v>1852.307045338889</v>
      </c>
      <c r="L292" s="107" t="n">
        <v>1852.307045338889</v>
      </c>
    </row>
    <row r="293">
      <c r="A293" s="2" t="inlineStr">
        <is>
          <t>0088910501PCBBD</t>
        </is>
      </c>
      <c r="B293" s="8">
        <f>_xlfn.XLOOKUP(A293,'Budget FY26-28'!A:A,'Site Register'!M:M)</f>
        <v/>
      </c>
      <c r="C293" s="8" t="inlineStr">
        <is>
          <t>kWh</t>
        </is>
      </c>
      <c r="D293" s="95" t="n">
        <v>8801.418439716312</v>
      </c>
      <c r="E293" s="105">
        <f>IFERROR(IF(SUMIFS('Rates &amp; Source Data'!$I$1263:$I$1393,'Rates &amp; Source Data'!$A$1263:$A$1393,$A293)&lt;&gt;0,SUMIFS('Rates &amp; Source Data'!$I$1263:$I$1393,'Rates &amp; Source Data'!$A$1263:$A$1393,$A293),$K293),$K293)</f>
        <v/>
      </c>
      <c r="F293" s="105">
        <f>E293</f>
        <v/>
      </c>
      <c r="G293" s="106" t="n">
        <v>0.4102480592425463</v>
      </c>
      <c r="H293" s="106" t="n">
        <v>0.4102480592425463</v>
      </c>
      <c r="I293" s="8" t="inlineStr">
        <is>
          <t>Ready</t>
        </is>
      </c>
      <c r="J293" s="97">
        <f>IF(COUNTIF('Rates &amp; Source Data'!$A$1499:$A$1661,$A293)=0,"",SUMIFS('Rates &amp; Source Data'!$B$1499:$B$1661,'Rates &amp; Source Data'!$A$1499:$A$1661,$A293))</f>
        <v/>
      </c>
      <c r="K293" s="97" t="n">
        <v>3610.764833475177</v>
      </c>
      <c r="L293" s="107" t="n">
        <v>3610.764833475177</v>
      </c>
    </row>
    <row r="294">
      <c r="A294" s="2" t="inlineStr">
        <is>
          <t>0088934400PC1B1</t>
        </is>
      </c>
      <c r="B294" s="8">
        <f>_xlfn.XLOOKUP(A294,'Budget FY26-28'!A:A,'Site Register'!M:M)</f>
        <v/>
      </c>
      <c r="C294" s="8" t="inlineStr">
        <is>
          <t>kWh</t>
        </is>
      </c>
      <c r="D294" s="95" t="n">
        <v>3280.067567567567</v>
      </c>
      <c r="E294" s="105">
        <f>IFERROR(IF(SUMIFS('Rates &amp; Source Data'!$I$1263:$I$1393,'Rates &amp; Source Data'!$A$1263:$A$1393,$A294)&lt;&gt;0,SUMIFS('Rates &amp; Source Data'!$I$1263:$I$1393,'Rates &amp; Source Data'!$A$1263:$A$1393,$A294),$K294),$K294)</f>
        <v/>
      </c>
      <c r="F294" s="105">
        <f>E294</f>
        <v/>
      </c>
      <c r="G294" s="106" t="n">
        <v>0.5617634558121331</v>
      </c>
      <c r="H294" s="106" t="n">
        <v>0.5617634558121331</v>
      </c>
      <c r="I294" s="8" t="inlineStr">
        <is>
          <t>Ready</t>
        </is>
      </c>
      <c r="J294" s="97">
        <f>IF(COUNTIF('Rates &amp; Source Data'!$A$1499:$A$1661,$A294)=0,"",SUMIFS('Rates &amp; Source Data'!$B$1499:$B$1661,'Rates &amp; Source Data'!$A$1499:$A$1661,$A294))</f>
        <v/>
      </c>
      <c r="K294" s="97" t="n">
        <v>1842.622092054054</v>
      </c>
      <c r="L294" s="107" t="n">
        <v>1842.622092054054</v>
      </c>
    </row>
    <row r="295">
      <c r="A295" s="2" t="inlineStr">
        <is>
          <t>0088938701PC577</t>
        </is>
      </c>
      <c r="B295" s="8">
        <f>_xlfn.XLOOKUP(A295,'Budget FY26-28'!A:A,'Site Register'!M:M)</f>
        <v/>
      </c>
      <c r="C295" s="8" t="inlineStr">
        <is>
          <t>kWh</t>
        </is>
      </c>
      <c r="D295" s="95" t="n">
        <v>6889.491094147583</v>
      </c>
      <c r="E295" s="105">
        <f>IFERROR(IF(SUMIFS('Rates &amp; Source Data'!$I$1263:$I$1393,'Rates &amp; Source Data'!$A$1263:$A$1393,$A295)&lt;&gt;0,SUMIFS('Rates &amp; Source Data'!$I$1263:$I$1393,'Rates &amp; Source Data'!$A$1263:$A$1393,$A295),$K295),$K295)</f>
        <v/>
      </c>
      <c r="F295" s="105">
        <f>E295</f>
        <v/>
      </c>
      <c r="G295" s="106" t="n">
        <v>0.4415153310571472</v>
      </c>
      <c r="H295" s="106" t="n">
        <v>0.4415153310571472</v>
      </c>
      <c r="I295" s="8" t="inlineStr">
        <is>
          <t>Ready</t>
        </is>
      </c>
      <c r="J295" s="97">
        <f>IF(COUNTIF('Rates &amp; Source Data'!$A$1499:$A$1661,$A295)=0,"",SUMIFS('Rates &amp; Source Data'!$B$1499:$B$1661,'Rates &amp; Source Data'!$A$1499:$A$1661,$A295))</f>
        <v/>
      </c>
      <c r="K295" s="97" t="n">
        <v>3041.815941247837</v>
      </c>
      <c r="L295" s="107" t="n">
        <v>3041.815941247837</v>
      </c>
    </row>
    <row r="296">
      <c r="A296" s="2" t="inlineStr">
        <is>
          <t>0088966150PCC88</t>
        </is>
      </c>
      <c r="B296" s="8">
        <f>_xlfn.XLOOKUP(A296,'Budget FY26-28'!A:A,'Site Register'!M:M)</f>
        <v/>
      </c>
      <c r="C296" s="8" t="inlineStr">
        <is>
          <t>kWh</t>
        </is>
      </c>
      <c r="D296" s="95" t="n">
        <v>6374.767441860466</v>
      </c>
      <c r="E296" s="105">
        <f>IFERROR(IF(SUMIFS('Rates &amp; Source Data'!$I$1263:$I$1393,'Rates &amp; Source Data'!$A$1263:$A$1393,$A296)&lt;&gt;0,SUMIFS('Rates &amp; Source Data'!$I$1263:$I$1393,'Rates &amp; Source Data'!$A$1263:$A$1393,$A296),$K296),$K296)</f>
        <v/>
      </c>
      <c r="F296" s="105">
        <f>E296</f>
        <v/>
      </c>
      <c r="G296" s="106" t="n">
        <v>0.4463282813155062</v>
      </c>
      <c r="H296" s="106" t="n">
        <v>0.4463282813155062</v>
      </c>
      <c r="I296" s="8" t="inlineStr">
        <is>
          <t>Ready</t>
        </is>
      </c>
      <c r="J296" s="97">
        <f>IF(COUNTIF('Rates &amp; Source Data'!$A$1499:$A$1661,$A296)=0,"",SUMIFS('Rates &amp; Source Data'!$B$1499:$B$1661,'Rates &amp; Source Data'!$A$1499:$A$1661,$A296))</f>
        <v/>
      </c>
      <c r="K296" s="97" t="n">
        <v>2845.238996111628</v>
      </c>
      <c r="L296" s="107" t="n">
        <v>2845.238996111628</v>
      </c>
    </row>
    <row r="297">
      <c r="A297" s="2" t="inlineStr">
        <is>
          <t>0300278047LC2C3</t>
        </is>
      </c>
      <c r="B297" s="8">
        <f>_xlfn.XLOOKUP(A297,'Budget FY26-28'!A:A,'Site Register'!M:M)</f>
        <v/>
      </c>
      <c r="C297" s="8" t="inlineStr">
        <is>
          <t>kWh</t>
        </is>
      </c>
      <c r="D297" s="95" t="n">
        <v>137617.9432624113</v>
      </c>
      <c r="E297" s="105">
        <f>IFERROR(IF(SUMIFS('Rates &amp; Source Data'!$I$1263:$I$1393,'Rates &amp; Source Data'!$A$1263:$A$1393,$A297)&lt;&gt;0,SUMIFS('Rates &amp; Source Data'!$I$1263:$I$1393,'Rates &amp; Source Data'!$A$1263:$A$1393,$A297),$K297),$K297)</f>
        <v/>
      </c>
      <c r="F297" s="105">
        <f>E297</f>
        <v/>
      </c>
      <c r="G297" s="106" t="n">
        <v>0.217028920157719</v>
      </c>
      <c r="H297" s="106" t="n">
        <v>0.217028920157719</v>
      </c>
      <c r="I297" s="8" t="inlineStr">
        <is>
          <t>Ready</t>
        </is>
      </c>
      <c r="J297" s="97">
        <f>IF(COUNTIF('Rates &amp; Source Data'!$A$1499:$A$1661,$A297)=0,"",SUMIFS('Rates &amp; Source Data'!$B$1499:$B$1661,'Rates &amp; Source Data'!$A$1499:$A$1661,$A297))</f>
        <v/>
      </c>
      <c r="K297" s="97" t="n">
        <v>29867.07362056737</v>
      </c>
      <c r="L297" s="107" t="n">
        <v>29867.07362056737</v>
      </c>
    </row>
    <row r="298">
      <c r="A298" s="2" t="inlineStr">
        <is>
          <t>0346100364LCEED</t>
        </is>
      </c>
      <c r="B298" s="8">
        <f>_xlfn.XLOOKUP(A298,'Budget FY26-28'!A:A,'Site Register'!M:M)</f>
        <v/>
      </c>
      <c r="C298" s="8" t="inlineStr">
        <is>
          <t>kWh</t>
        </is>
      </c>
      <c r="D298" s="95" t="n">
        <v>56184.11347517731</v>
      </c>
      <c r="E298" s="105">
        <f>IFERROR(IF(SUMIFS('Rates &amp; Source Data'!$I$1263:$I$1393,'Rates &amp; Source Data'!$A$1263:$A$1393,$A298)&lt;&gt;0,SUMIFS('Rates &amp; Source Data'!$I$1263:$I$1393,'Rates &amp; Source Data'!$A$1263:$A$1393,$A298),$K298),$K298)</f>
        <v/>
      </c>
      <c r="F298" s="105">
        <f>E298</f>
        <v/>
      </c>
      <c r="G298" s="106" t="n">
        <v>0.247201831617428</v>
      </c>
      <c r="H298" s="106" t="n">
        <v>0.247201831617428</v>
      </c>
      <c r="I298" s="8" t="inlineStr">
        <is>
          <t>Ready</t>
        </is>
      </c>
      <c r="J298" s="97">
        <f>IF(COUNTIF('Rates &amp; Source Data'!$A$1499:$A$1661,$A298)=0,"",SUMIFS('Rates &amp; Source Data'!$B$1499:$B$1661,'Rates &amp; Source Data'!$A$1499:$A$1661,$A298))</f>
        <v/>
      </c>
      <c r="K298" s="97" t="n">
        <v>13888.81575886525</v>
      </c>
      <c r="L298" s="107" t="n">
        <v>13888.81575886525</v>
      </c>
    </row>
    <row r="299">
      <c r="A299" s="2" t="inlineStr">
        <is>
          <t>0398095698LC2D6</t>
        </is>
      </c>
      <c r="B299" s="8">
        <f>_xlfn.XLOOKUP(A299,'Budget FY26-28'!A:A,'Site Register'!M:M)</f>
        <v/>
      </c>
      <c r="C299" s="8" t="inlineStr">
        <is>
          <t>kWh</t>
        </is>
      </c>
      <c r="D299" s="95" t="n">
        <v>18300.91016548463</v>
      </c>
      <c r="E299" s="105">
        <f>IFERROR(IF(SUMIFS('Rates &amp; Source Data'!$I$1263:$I$1393,'Rates &amp; Source Data'!$A$1263:$A$1393,$A299)&lt;&gt;0,SUMIFS('Rates &amp; Source Data'!$I$1263:$I$1393,'Rates &amp; Source Data'!$A$1263:$A$1393,$A299),$K299),$K299)</f>
        <v/>
      </c>
      <c r="F299" s="105">
        <f>E299</f>
        <v/>
      </c>
      <c r="G299" s="106" t="n">
        <v>0.2711910443808748</v>
      </c>
      <c r="H299" s="106" t="n">
        <v>0.2711910443808748</v>
      </c>
      <c r="I299" s="8" t="inlineStr">
        <is>
          <t>Ready</t>
        </is>
      </c>
      <c r="J299" s="97">
        <f>IF(COUNTIF('Rates &amp; Source Data'!$A$1499:$A$1661,$A299)=0,"",SUMIFS('Rates &amp; Source Data'!$B$1499:$B$1661,'Rates &amp; Source Data'!$A$1499:$A$1661,$A299))</f>
        <v/>
      </c>
      <c r="K299" s="97" t="n">
        <v>4963.042940898345</v>
      </c>
      <c r="L299" s="107" t="n">
        <v>4963.042940898345</v>
      </c>
    </row>
    <row r="300">
      <c r="A300" s="2" t="inlineStr">
        <is>
          <t>0415258065LC669</t>
        </is>
      </c>
      <c r="B300" s="8">
        <f>_xlfn.XLOOKUP(A300,'Budget FY26-28'!A:A,'Site Register'!M:M)</f>
        <v/>
      </c>
      <c r="C300" s="8" t="inlineStr">
        <is>
          <t>kWh</t>
        </is>
      </c>
      <c r="D300" s="95" t="n">
        <v>23040.7328605201</v>
      </c>
      <c r="E300" s="105">
        <f>IFERROR(IF(SUMIFS('Rates &amp; Source Data'!$I$1263:$I$1393,'Rates &amp; Source Data'!$A$1263:$A$1393,$A300)&lt;&gt;0,SUMIFS('Rates &amp; Source Data'!$I$1263:$I$1393,'Rates &amp; Source Data'!$A$1263:$A$1393,$A300),$K300),$K300)</f>
        <v/>
      </c>
      <c r="F300" s="105">
        <f>E300</f>
        <v/>
      </c>
      <c r="G300" s="106" t="n">
        <v>0.2562991259184321</v>
      </c>
      <c r="H300" s="106" t="n">
        <v>0.2562991259184321</v>
      </c>
      <c r="I300" s="8" t="inlineStr">
        <is>
          <t>Ready</t>
        </is>
      </c>
      <c r="J300" s="97">
        <f>IF(COUNTIF('Rates &amp; Source Data'!$A$1499:$A$1661,$A300)=0,"",SUMIFS('Rates &amp; Source Data'!$B$1499:$B$1661,'Rates &amp; Source Data'!$A$1499:$A$1661,$A300))</f>
        <v/>
      </c>
      <c r="K300" s="97" t="n">
        <v>5905.319692671395</v>
      </c>
      <c r="L300" s="107" t="n">
        <v>5905.319692671395</v>
      </c>
    </row>
    <row r="301">
      <c r="A301" s="2" t="inlineStr">
        <is>
          <t>0900090531PCF4E</t>
        </is>
      </c>
      <c r="B301" s="8">
        <f>_xlfn.XLOOKUP(A301,'Budget FY26-28'!A:A,'Site Register'!M:M)</f>
        <v/>
      </c>
      <c r="C301" s="8" t="inlineStr">
        <is>
          <t>kWh</t>
        </is>
      </c>
      <c r="D301" s="95" t="n">
        <v>114160.4373522459</v>
      </c>
      <c r="E301" s="105">
        <f>IFERROR(IF(SUMIFS('Rates &amp; Source Data'!$I$1263:$I$1393,'Rates &amp; Source Data'!$A$1263:$A$1393,$A301)&lt;&gt;0,SUMIFS('Rates &amp; Source Data'!$I$1263:$I$1393,'Rates &amp; Source Data'!$A$1263:$A$1393,$A301),$K301),$K301)</f>
        <v/>
      </c>
      <c r="F301" s="105">
        <f>E301</f>
        <v/>
      </c>
      <c r="G301" s="106" t="n">
        <v>0.327826775740425</v>
      </c>
      <c r="H301" s="106" t="n">
        <v>0.327826775740425</v>
      </c>
      <c r="I301" s="8" t="inlineStr">
        <is>
          <t>Ready</t>
        </is>
      </c>
      <c r="J301" s="97">
        <f>IF(COUNTIF('Rates &amp; Source Data'!$A$1499:$A$1661,$A301)=0,"",SUMIFS('Rates &amp; Source Data'!$B$1499:$B$1661,'Rates &amp; Source Data'!$A$1499:$A$1661,$A301))</f>
        <v/>
      </c>
      <c r="K301" s="97" t="n">
        <v>37424.84809430355</v>
      </c>
      <c r="L301" s="107" t="n">
        <v>37424.84809430355</v>
      </c>
    </row>
    <row r="302">
      <c r="A302" s="2" t="inlineStr">
        <is>
          <t>1000025462BP9A6</t>
        </is>
      </c>
      <c r="B302" s="8">
        <f>_xlfn.XLOOKUP(A302,'Budget FY26-28'!A:A,'Site Register'!M:M)</f>
        <v/>
      </c>
      <c r="C302" s="8" t="inlineStr">
        <is>
          <t>kWh</t>
        </is>
      </c>
      <c r="D302" s="95" t="n">
        <v>2634.385342789598</v>
      </c>
      <c r="E302" s="105">
        <f>IFERROR(IF(SUMIFS('Rates &amp; Source Data'!$I$1263:$I$1393,'Rates &amp; Source Data'!$A$1263:$A$1393,$A302)&lt;&gt;0,SUMIFS('Rates &amp; Source Data'!$I$1263:$I$1393,'Rates &amp; Source Data'!$A$1263:$A$1393,$A302),$K302),$K302)</f>
        <v/>
      </c>
      <c r="F302" s="105">
        <f>E302</f>
        <v/>
      </c>
      <c r="G302" s="106" t="n">
        <v>0.7110291076508263</v>
      </c>
      <c r="H302" s="106" t="n">
        <v>0.7110291076508263</v>
      </c>
      <c r="I302" s="8" t="inlineStr">
        <is>
          <t>Ready</t>
        </is>
      </c>
      <c r="J302" s="97">
        <f>IF(COUNTIF('Rates &amp; Source Data'!$A$1499:$A$1661,$A302)=0,"",SUMIFS('Rates &amp; Source Data'!$B$1499:$B$1661,'Rates &amp; Source Data'!$A$1499:$A$1661,$A302))</f>
        <v/>
      </c>
      <c r="K302" s="97" t="n">
        <v>1873.124659492104</v>
      </c>
      <c r="L302" s="107" t="n">
        <v>1873.124659492104</v>
      </c>
    </row>
    <row r="303">
      <c r="A303" s="2" t="inlineStr">
        <is>
          <t>1000522230PCA6E</t>
        </is>
      </c>
      <c r="B303" s="8">
        <f>_xlfn.XLOOKUP(A303,'Budget FY26-28'!A:A,'Site Register'!M:M)</f>
        <v/>
      </c>
      <c r="C303" s="8" t="inlineStr">
        <is>
          <t>kWh</t>
        </is>
      </c>
      <c r="D303" s="95" t="n">
        <v>48441.87999999999</v>
      </c>
      <c r="E303" s="105">
        <f>SUMIFS('Rates &amp; Source Data'!$X$1238:$X$1258,'Rates &amp; Source Data'!$B$1238:$B$1258,$A303)</f>
        <v/>
      </c>
      <c r="F303" s="105">
        <f>E303</f>
        <v/>
      </c>
      <c r="G303" s="106" t="n">
        <v>0.7200454181044305</v>
      </c>
      <c r="H303" s="106" t="n">
        <v>0.7200454181044305</v>
      </c>
      <c r="I303" s="8" t="inlineStr">
        <is>
          <t>Ready</t>
        </is>
      </c>
      <c r="J303" s="97">
        <f>IF(COUNTIF('Rates &amp; Source Data'!$A$1666:$A$1686,$A303)=0,"",SUMIFS('Rates &amp; Source Data'!$B$1666:$B$1686,'Rates &amp; Source Data'!$A$1666:$A$1686,$A303))</f>
        <v/>
      </c>
      <c r="K303" s="97" t="n">
        <v>34880.35373836464</v>
      </c>
      <c r="L303" s="107" t="n">
        <v>34880.35373836464</v>
      </c>
    </row>
    <row r="304">
      <c r="A304" s="2" t="inlineStr">
        <is>
          <t>1000524019PC6AD</t>
        </is>
      </c>
      <c r="B304" s="8">
        <f>_xlfn.XLOOKUP(A304,'Budget FY26-28'!A:A,'Site Register'!M:M)</f>
        <v/>
      </c>
      <c r="C304" s="8" t="inlineStr">
        <is>
          <t>kWh</t>
        </is>
      </c>
      <c r="D304" s="95" t="n">
        <v>37827.97872340426</v>
      </c>
      <c r="E304" s="105">
        <f>IFERROR(IF(SUMIFS('Rates &amp; Source Data'!$I$1263:$I$1393,'Rates &amp; Source Data'!$A$1263:$A$1393,$A304)&lt;&gt;0,SUMIFS('Rates &amp; Source Data'!$I$1263:$I$1393,'Rates &amp; Source Data'!$A$1263:$A$1393,$A304),$K304),$K304)</f>
        <v/>
      </c>
      <c r="F304" s="105">
        <f>E304</f>
        <v/>
      </c>
      <c r="G304" s="106" t="n">
        <v>0.323074055669928</v>
      </c>
      <c r="H304" s="106" t="n">
        <v>0.323074055669928</v>
      </c>
      <c r="I304" s="8" t="inlineStr">
        <is>
          <t>Ready</t>
        </is>
      </c>
      <c r="J304" s="97">
        <f>IF(COUNTIF('Rates &amp; Source Data'!$A$1499:$A$1661,$A304)=0,"",SUMIFS('Rates &amp; Source Data'!$B$1499:$B$1661,'Rates &amp; Source Data'!$A$1499:$A$1661,$A304))</f>
        <v/>
      </c>
      <c r="K304" s="97" t="n">
        <v>12221.23850396596</v>
      </c>
      <c r="L304" s="107" t="n">
        <v>12221.23850396596</v>
      </c>
    </row>
    <row r="305">
      <c r="A305" s="2" t="inlineStr">
        <is>
          <t>1000524774PC904</t>
        </is>
      </c>
      <c r="B305" s="8">
        <f>_xlfn.XLOOKUP(A305,'Budget FY26-28'!A:A,'Site Register'!M:M)</f>
        <v/>
      </c>
      <c r="C305" s="8" t="inlineStr">
        <is>
          <t>kWh</t>
        </is>
      </c>
      <c r="D305" s="95" t="n">
        <v>150976.2529550827</v>
      </c>
      <c r="E305" s="105">
        <f>IFERROR(IF(SUMIFS('Rates &amp; Source Data'!$I$1263:$I$1393,'Rates &amp; Source Data'!$A$1263:$A$1393,$A305)&lt;&gt;0,SUMIFS('Rates &amp; Source Data'!$I$1263:$I$1393,'Rates &amp; Source Data'!$A$1263:$A$1393,$A305),$K305),$K305)</f>
        <v/>
      </c>
      <c r="F305" s="105">
        <f>E305</f>
        <v/>
      </c>
      <c r="G305" s="106" t="n">
        <v>0.3422162278058947</v>
      </c>
      <c r="H305" s="106" t="n">
        <v>0.3422162278058947</v>
      </c>
      <c r="I305" s="8" t="inlineStr">
        <is>
          <t>Ready</t>
        </is>
      </c>
      <c r="J305" s="97">
        <f>IF(COUNTIF('Rates &amp; Source Data'!$A$1499:$A$1661,$A305)=0,"",SUMIFS('Rates &amp; Source Data'!$B$1499:$B$1661,'Rates &amp; Source Data'!$A$1499:$A$1661,$A305))</f>
        <v/>
      </c>
      <c r="K305" s="97" t="n">
        <v>51666.52377455698</v>
      </c>
      <c r="L305" s="107" t="n">
        <v>51666.52377455698</v>
      </c>
    </row>
    <row r="306">
      <c r="A306" s="2" t="inlineStr">
        <is>
          <t>1000566966PCDF2</t>
        </is>
      </c>
      <c r="B306" s="8">
        <f>_xlfn.XLOOKUP(A306,'Budget FY26-28'!A:A,'Site Register'!M:M)</f>
        <v/>
      </c>
      <c r="C306" s="8" t="inlineStr">
        <is>
          <t>kWh</t>
        </is>
      </c>
      <c r="D306" s="95" t="n">
        <v>2445.261437908497</v>
      </c>
      <c r="E306" s="105">
        <f>IFERROR(IF(SUMIFS('Rates &amp; Source Data'!$I$1263:$I$1393,'Rates &amp; Source Data'!$A$1263:$A$1393,$A306)&lt;&gt;0,SUMIFS('Rates &amp; Source Data'!$I$1263:$I$1393,'Rates &amp; Source Data'!$A$1263:$A$1393,$A306),$K306),$K306)</f>
        <v/>
      </c>
      <c r="F306" s="105">
        <f>E306</f>
        <v/>
      </c>
      <c r="G306" s="106" t="n">
        <v>0.6253033689809556</v>
      </c>
      <c r="H306" s="106" t="n">
        <v>0.6253033689809556</v>
      </c>
      <c r="I306" s="8" t="inlineStr">
        <is>
          <t>Ready</t>
        </is>
      </c>
      <c r="J306" s="97">
        <f>IF(COUNTIF('Rates &amp; Source Data'!$A$1499:$A$1661,$A306)=0,"",SUMIFS('Rates &amp; Source Data'!$B$1499:$B$1661,'Rates &amp; Source Data'!$A$1499:$A$1661,$A306))</f>
        <v/>
      </c>
      <c r="K306" s="97" t="n">
        <v>1529.030215163399</v>
      </c>
      <c r="L306" s="107" t="n">
        <v>1529.030215163399</v>
      </c>
    </row>
    <row r="307">
      <c r="A307" s="2" t="inlineStr">
        <is>
          <t>1000610486PC18D</t>
        </is>
      </c>
      <c r="B307" s="8">
        <f>_xlfn.XLOOKUP(A307,'Budget FY26-28'!A:A,'Site Register'!M:M)</f>
        <v/>
      </c>
      <c r="C307" s="8" t="inlineStr">
        <is>
          <t>kWh</t>
        </is>
      </c>
      <c r="D307" s="95" t="n">
        <v>298706.66</v>
      </c>
      <c r="E307" s="105">
        <f>SUMIFS('Rates &amp; Source Data'!$X$1238:$X$1258,'Rates &amp; Source Data'!$B$1238:$B$1258,$A307)</f>
        <v/>
      </c>
      <c r="F307" s="105">
        <f>E307</f>
        <v/>
      </c>
      <c r="G307" s="106" t="n">
        <v>0.2406765978326363</v>
      </c>
      <c r="H307" s="106" t="n">
        <v>0.2406765978326363</v>
      </c>
      <c r="I307" s="8" t="inlineStr">
        <is>
          <t>Ready</t>
        </is>
      </c>
      <c r="J307" s="97">
        <f>IF(COUNTIF('Rates &amp; Source Data'!$A$1666:$A$1686,$A307)=0,"",SUMIFS('Rates &amp; Source Data'!$B$1666:$B$1686,'Rates &amp; Source Data'!$A$1666:$A$1686,$A307))</f>
        <v/>
      </c>
      <c r="K307" s="97" t="n">
        <v>71891.70267875001</v>
      </c>
      <c r="L307" s="107" t="n">
        <v>71891.70267875001</v>
      </c>
    </row>
    <row r="308">
      <c r="A308" s="2" t="inlineStr">
        <is>
          <t>1000619535PCA5B</t>
        </is>
      </c>
      <c r="B308" s="8">
        <f>_xlfn.XLOOKUP(A308,'Budget FY26-28'!A:A,'Site Register'!M:M)</f>
        <v/>
      </c>
      <c r="C308" s="8" t="inlineStr">
        <is>
          <t>kWh</t>
        </is>
      </c>
      <c r="D308" s="95" t="n">
        <v>5826.792763157895</v>
      </c>
      <c r="E308" s="105">
        <f>IFERROR(IF(SUMIFS('Rates &amp; Source Data'!$I$1263:$I$1393,'Rates &amp; Source Data'!$A$1263:$A$1393,$A308)&lt;&gt;0,SUMIFS('Rates &amp; Source Data'!$I$1263:$I$1393,'Rates &amp; Source Data'!$A$1263:$A$1393,$A308),$K308),$K308)</f>
        <v/>
      </c>
      <c r="F308" s="105">
        <f>E308</f>
        <v/>
      </c>
      <c r="G308" s="106" t="n">
        <v>0.4528501509047644</v>
      </c>
      <c r="H308" s="106" t="n">
        <v>0.4528501509047644</v>
      </c>
      <c r="I308" s="8" t="inlineStr">
        <is>
          <t>Ready</t>
        </is>
      </c>
      <c r="J308" s="97">
        <f>IF(COUNTIF('Rates &amp; Source Data'!$A$1499:$A$1661,$A308)=0,"",SUMIFS('Rates &amp; Source Data'!$B$1499:$B$1661,'Rates &amp; Source Data'!$A$1499:$A$1661,$A308))</f>
        <v/>
      </c>
      <c r="K308" s="97" t="n">
        <v>2638.663982086842</v>
      </c>
      <c r="L308" s="107" t="n">
        <v>2638.663982086842</v>
      </c>
    </row>
    <row r="309">
      <c r="A309" s="2" t="inlineStr">
        <is>
          <t>1000620792PC805</t>
        </is>
      </c>
      <c r="B309" s="8">
        <f>_xlfn.XLOOKUP(A309,'Budget FY26-28'!A:A,'Site Register'!M:M)</f>
        <v/>
      </c>
      <c r="C309" s="8" t="inlineStr">
        <is>
          <t>kWh</t>
        </is>
      </c>
      <c r="D309" s="95" t="n">
        <v>26418.9243498818</v>
      </c>
      <c r="E309" s="105">
        <f>IFERROR(IF(SUMIFS('Rates &amp; Source Data'!$I$1263:$I$1393,'Rates &amp; Source Data'!$A$1263:$A$1393,$A309)&lt;&gt;0,SUMIFS('Rates &amp; Source Data'!$I$1263:$I$1393,'Rates &amp; Source Data'!$A$1263:$A$1393,$A309),$K309),$K309)</f>
        <v/>
      </c>
      <c r="F309" s="105">
        <f>E309</f>
        <v/>
      </c>
      <c r="G309" s="106" t="n">
        <v>0.3123856499367663</v>
      </c>
      <c r="H309" s="106" t="n">
        <v>0.3123856499367663</v>
      </c>
      <c r="I309" s="8" t="inlineStr">
        <is>
          <t>Ready</t>
        </is>
      </c>
      <c r="J309" s="97">
        <f>IF(COUNTIF('Rates &amp; Source Data'!$A$1499:$A$1661,$A309)=0,"",SUMIFS('Rates &amp; Source Data'!$B$1499:$B$1661,'Rates &amp; Source Data'!$A$1499:$A$1661,$A309))</f>
        <v/>
      </c>
      <c r="K309" s="97" t="n">
        <v>8252.892853668085</v>
      </c>
      <c r="L309" s="107" t="n">
        <v>8252.892853668085</v>
      </c>
    </row>
    <row r="310">
      <c r="A310" s="2" t="inlineStr">
        <is>
          <t>1001113152UNBF4</t>
        </is>
      </c>
      <c r="B310" s="8">
        <f>_xlfn.XLOOKUP(A310,'Budget FY26-28'!A:A,'Site Register'!M:M)</f>
        <v/>
      </c>
      <c r="C310" s="8" t="inlineStr">
        <is>
          <t>kWh</t>
        </is>
      </c>
      <c r="D310" s="95" t="n">
        <v>913592.952</v>
      </c>
      <c r="E310" s="105">
        <f>SUMIFS('Rates &amp; Source Data'!$X$1238:$X$1258,'Rates &amp; Source Data'!$B$1238:$B$1258,$A310)</f>
        <v/>
      </c>
      <c r="F310" s="105">
        <f>E310</f>
        <v/>
      </c>
      <c r="G310" s="106" t="n">
        <v>0.1861716916399767</v>
      </c>
      <c r="H310" s="106" t="n">
        <v>0.1861716916399767</v>
      </c>
      <c r="I310" s="8" t="inlineStr">
        <is>
          <t>Ready</t>
        </is>
      </c>
      <c r="J310" s="97">
        <f>IF(COUNTIF('Rates &amp; Source Data'!$A$1666:$A$1686,$A310)=0,"",SUMIFS('Rates &amp; Source Data'!$B$1666:$B$1686,'Rates &amp; Source Data'!$A$1666:$A$1686,$A310))</f>
        <v/>
      </c>
      <c r="K310" s="97" t="n">
        <v>170085.1453442</v>
      </c>
      <c r="L310" s="107" t="n">
        <v>170085.1453442</v>
      </c>
    </row>
    <row r="311">
      <c r="A311" s="2" t="inlineStr">
        <is>
          <t>1001118772UNF47</t>
        </is>
      </c>
      <c r="B311" s="8">
        <f>_xlfn.XLOOKUP(A311,'Budget FY26-28'!A:A,'Site Register'!M:M)</f>
        <v/>
      </c>
      <c r="C311" s="8" t="inlineStr">
        <is>
          <t>kWh</t>
        </is>
      </c>
      <c r="D311" s="95" t="n">
        <v>25064.19621749409</v>
      </c>
      <c r="E311" s="105">
        <f>IFERROR(IF(SUMIFS('Rates &amp; Source Data'!$I$1263:$I$1393,'Rates &amp; Source Data'!$A$1263:$A$1393,$A311)&lt;&gt;0,SUMIFS('Rates &amp; Source Data'!$I$1263:$I$1393,'Rates &amp; Source Data'!$A$1263:$A$1393,$A311),$K311),$K311)</f>
        <v/>
      </c>
      <c r="F311" s="105">
        <f>E311</f>
        <v/>
      </c>
      <c r="G311" s="106" t="n">
        <v>0.2516571508339578</v>
      </c>
      <c r="H311" s="106" t="n">
        <v>0.2516571508339578</v>
      </c>
      <c r="I311" s="8" t="inlineStr">
        <is>
          <t>Ready</t>
        </is>
      </c>
      <c r="J311" s="97">
        <f>IF(COUNTIF('Rates &amp; Source Data'!$A$1499:$A$1661,$A311)=0,"",SUMIFS('Rates &amp; Source Data'!$B$1499:$B$1661,'Rates &amp; Source Data'!$A$1499:$A$1661,$A311))</f>
        <v/>
      </c>
      <c r="K311" s="97" t="n">
        <v>6307.584208037824</v>
      </c>
      <c r="L311" s="107" t="n">
        <v>6307.584208037824</v>
      </c>
    </row>
    <row r="312">
      <c r="A312" s="2" t="inlineStr">
        <is>
          <t>1001126325LC57C</t>
        </is>
      </c>
      <c r="B312" s="8">
        <f>_xlfn.XLOOKUP(A312,'Budget FY26-28'!A:A,'Site Register'!M:M)</f>
        <v/>
      </c>
      <c r="C312" s="8" t="inlineStr">
        <is>
          <t>kWh</t>
        </is>
      </c>
      <c r="D312" s="95" t="n">
        <v>1476649</v>
      </c>
      <c r="E312" s="105">
        <f>SUMIFS('Rates &amp; Source Data'!$X$1238:$X$1258,'Rates &amp; Source Data'!$B$1238:$B$1258,$A312)</f>
        <v/>
      </c>
      <c r="F312" s="105">
        <f>E312</f>
        <v/>
      </c>
      <c r="G312" s="106" t="n">
        <v>0.2201110283615131</v>
      </c>
      <c r="H312" s="106" t="n">
        <v>0.2201110283615131</v>
      </c>
      <c r="I312" s="8" t="inlineStr">
        <is>
          <t>Ready</t>
        </is>
      </c>
      <c r="J312" s="97">
        <f>IF(COUNTIF('Rates &amp; Source Data'!$A$1666:$A$1686,$A312)=0,"",SUMIFS('Rates &amp; Source Data'!$B$1666:$B$1686,'Rates &amp; Source Data'!$A$1666:$A$1686,$A312))</f>
        <v/>
      </c>
      <c r="K312" s="97" t="n">
        <v>325026.7299189999</v>
      </c>
      <c r="L312" s="107" t="n">
        <v>325026.7299189999</v>
      </c>
    </row>
    <row r="313">
      <c r="A313" s="2" t="inlineStr">
        <is>
          <t>1001132596LC369</t>
        </is>
      </c>
      <c r="B313" s="8">
        <f>_xlfn.XLOOKUP(A313,'Budget FY26-28'!A:A,'Site Register'!M:M)</f>
        <v/>
      </c>
      <c r="C313" s="8" t="inlineStr">
        <is>
          <t>kWh</t>
        </is>
      </c>
      <c r="D313" s="95" t="n">
        <v>6217.080378250591</v>
      </c>
      <c r="E313" s="105">
        <f>IFERROR(IF(SUMIFS('Rates &amp; Source Data'!$I$1263:$I$1393,'Rates &amp; Source Data'!$A$1263:$A$1393,$A313)&lt;&gt;0,SUMIFS('Rates &amp; Source Data'!$I$1263:$I$1393,'Rates &amp; Source Data'!$A$1263:$A$1393,$A313),$K313),$K313)</f>
        <v/>
      </c>
      <c r="F313" s="105">
        <f>E313</f>
        <v/>
      </c>
      <c r="G313" s="106" t="n">
        <v>0.4118939153745972</v>
      </c>
      <c r="H313" s="106" t="n">
        <v>0.4118939153745972</v>
      </c>
      <c r="I313" s="8" t="inlineStr">
        <is>
          <t>Ready</t>
        </is>
      </c>
      <c r="J313" s="97">
        <f>IF(COUNTIF('Rates &amp; Source Data'!$A$1499:$A$1661,$A313)=0,"",SUMIFS('Rates &amp; Source Data'!$B$1499:$B$1661,'Rates &amp; Source Data'!$A$1499:$A$1661,$A313))</f>
        <v/>
      </c>
      <c r="K313" s="97" t="n">
        <v>2560.777579196218</v>
      </c>
      <c r="L313" s="107" t="n">
        <v>2560.777579196218</v>
      </c>
    </row>
    <row r="314">
      <c r="A314" s="2" t="inlineStr">
        <is>
          <t>1001151226CK008</t>
        </is>
      </c>
      <c r="B314" s="8">
        <f>_xlfn.XLOOKUP(A314,'Budget FY26-28'!A:A,'Site Register'!M:M)</f>
        <v/>
      </c>
      <c r="C314" s="8" t="inlineStr">
        <is>
          <t>kWh</t>
        </is>
      </c>
      <c r="D314" s="95" t="n">
        <v>445723.5699999999</v>
      </c>
      <c r="E314" s="105">
        <f>SUMIFS('Rates &amp; Source Data'!$X$1238:$X$1258,'Rates &amp; Source Data'!$B$1238:$B$1258,$A314)</f>
        <v/>
      </c>
      <c r="F314" s="105">
        <f>E314</f>
        <v/>
      </c>
      <c r="G314" s="106" t="n">
        <v>0.1769900844962047</v>
      </c>
      <c r="H314" s="106" t="n">
        <v>0.1769900844962047</v>
      </c>
      <c r="I314" s="8" t="inlineStr">
        <is>
          <t>Ready</t>
        </is>
      </c>
      <c r="J314" s="97">
        <f>IF(COUNTIF('Rates &amp; Source Data'!$A$1666:$A$1686,$A314)=0,"",SUMIFS('Rates &amp; Source Data'!$B$1666:$B$1686,'Rates &amp; Source Data'!$A$1666:$A$1686,$A314))</f>
        <v/>
      </c>
      <c r="K314" s="97" t="n">
        <v>78888.65231624999</v>
      </c>
      <c r="L314" s="107" t="n">
        <v>78888.65231624999</v>
      </c>
    </row>
    <row r="315">
      <c r="A315" s="2" t="inlineStr">
        <is>
          <t>1001151491CK976</t>
        </is>
      </c>
      <c r="B315" s="8">
        <f>_xlfn.XLOOKUP(A315,'Budget FY26-28'!A:A,'Site Register'!M:M)</f>
        <v/>
      </c>
      <c r="C315" s="8" t="inlineStr">
        <is>
          <t>kWh</t>
        </is>
      </c>
      <c r="D315" s="95" t="n">
        <v>121515.6619385343</v>
      </c>
      <c r="E315" s="105">
        <f>IFERROR(IF(SUMIFS('Rates &amp; Source Data'!$I$1263:$I$1393,'Rates &amp; Source Data'!$A$1263:$A$1393,$A315)&lt;&gt;0,SUMIFS('Rates &amp; Source Data'!$I$1263:$I$1393,'Rates &amp; Source Data'!$A$1263:$A$1393,$A315),$K315),$K315)</f>
        <v/>
      </c>
      <c r="F315" s="105">
        <f>E315</f>
        <v/>
      </c>
      <c r="G315" s="106" t="n">
        <v>0.2904378026648249</v>
      </c>
      <c r="H315" s="106" t="n">
        <v>0.2904378026648249</v>
      </c>
      <c r="I315" s="8" t="inlineStr">
        <is>
          <t>Ready</t>
        </is>
      </c>
      <c r="J315" s="97">
        <f>IF(COUNTIF('Rates &amp; Source Data'!$A$1499:$A$1661,$A315)=0,"",SUMIFS('Rates &amp; Source Data'!$B$1499:$B$1661,'Rates &amp; Source Data'!$A$1499:$A$1661,$A315))</f>
        <v/>
      </c>
      <c r="K315" s="97" t="n">
        <v>35292.7418427896</v>
      </c>
      <c r="L315" s="107" t="n">
        <v>35292.7418427896</v>
      </c>
    </row>
    <row r="316">
      <c r="A316" s="2" t="inlineStr">
        <is>
          <t>1001240514LC3EB</t>
        </is>
      </c>
      <c r="B316" s="8">
        <f>_xlfn.XLOOKUP(A316,'Budget FY26-28'!A:A,'Site Register'!M:M)</f>
        <v/>
      </c>
      <c r="C316" s="8" t="inlineStr">
        <is>
          <t>kWh</t>
        </is>
      </c>
      <c r="D316" s="95" t="n">
        <v>1152846.384</v>
      </c>
      <c r="E316" s="105">
        <f>SUMIFS('Rates &amp; Source Data'!$X$1238:$X$1258,'Rates &amp; Source Data'!$B$1238:$B$1258,$A316)</f>
        <v/>
      </c>
      <c r="F316" s="105">
        <f>E316</f>
        <v/>
      </c>
      <c r="G316" s="106" t="n">
        <v>0.2212728937100089</v>
      </c>
      <c r="H316" s="106" t="n">
        <v>0.2212728937100089</v>
      </c>
      <c r="I316" s="8" t="inlineStr">
        <is>
          <t>Ready</t>
        </is>
      </c>
      <c r="J316" s="97">
        <f>IF(COUNTIF('Rates &amp; Source Data'!$A$1666:$A$1686,$A316)=0,"",SUMIFS('Rates &amp; Source Data'!$B$1666:$B$1686,'Rates &amp; Source Data'!$A$1666:$A$1686,$A316))</f>
        <v/>
      </c>
      <c r="K316" s="97" t="n">
        <v>255093.6553908</v>
      </c>
      <c r="L316" s="107" t="n">
        <v>255093.6553908</v>
      </c>
    </row>
    <row r="317">
      <c r="A317" s="2" t="inlineStr">
        <is>
          <t>1001245025LCA73</t>
        </is>
      </c>
      <c r="B317" s="8">
        <f>_xlfn.XLOOKUP(A317,'Budget FY26-28'!A:A,'Site Register'!M:M)</f>
        <v/>
      </c>
      <c r="C317" s="8" t="inlineStr">
        <is>
          <t>kWh</t>
        </is>
      </c>
      <c r="D317" s="95" t="n">
        <v>19466.66666666667</v>
      </c>
      <c r="E317" s="105">
        <f>IFERROR(IF(SUMIFS('Rates &amp; Source Data'!$I$1263:$I$1393,'Rates &amp; Source Data'!$A$1263:$A$1393,$A317)&lt;&gt;0,SUMIFS('Rates &amp; Source Data'!$I$1263:$I$1393,'Rates &amp; Source Data'!$A$1263:$A$1393,$A317),$K317),$K317)</f>
        <v/>
      </c>
      <c r="F317" s="105">
        <f>E317</f>
        <v/>
      </c>
      <c r="G317" s="106" t="n">
        <v>0.2668559246575342</v>
      </c>
      <c r="H317" s="106" t="n">
        <v>0.2668559246575342</v>
      </c>
      <c r="I317" s="8" t="inlineStr">
        <is>
          <t>Ready</t>
        </is>
      </c>
      <c r="J317" s="97">
        <f>IF(COUNTIF('Rates &amp; Source Data'!$A$1499:$A$1661,$A317)=0,"",SUMIFS('Rates &amp; Source Data'!$B$1499:$B$1661,'Rates &amp; Source Data'!$A$1499:$A$1661,$A317))</f>
        <v/>
      </c>
      <c r="K317" s="97" t="n">
        <v>5194.795333333333</v>
      </c>
      <c r="L317" s="107" t="n">
        <v>5194.795333333333</v>
      </c>
    </row>
    <row r="318">
      <c r="A318" s="2" t="inlineStr">
        <is>
          <t>1001280356UN969</t>
        </is>
      </c>
      <c r="B318" s="8">
        <f>_xlfn.XLOOKUP(A318,'Budget FY26-28'!A:A,'Site Register'!M:M)</f>
        <v/>
      </c>
      <c r="C318" s="8" t="inlineStr">
        <is>
          <t>kWh</t>
        </is>
      </c>
      <c r="D318" s="95" t="n">
        <v>21037.1158392435</v>
      </c>
      <c r="E318" s="105">
        <f>IFERROR(IF(SUMIFS('Rates &amp; Source Data'!$I$1263:$I$1393,'Rates &amp; Source Data'!$A$1263:$A$1393,$A318)&lt;&gt;0,SUMIFS('Rates &amp; Source Data'!$I$1263:$I$1393,'Rates &amp; Source Data'!$A$1263:$A$1393,$A318),$K318),$K318)</f>
        <v/>
      </c>
      <c r="F318" s="105">
        <f>E318</f>
        <v/>
      </c>
      <c r="G318" s="106" t="n">
        <v>0.2617754577634935</v>
      </c>
      <c r="H318" s="106" t="n">
        <v>0.2617754577634935</v>
      </c>
      <c r="I318" s="8" t="inlineStr">
        <is>
          <t>Ready</t>
        </is>
      </c>
      <c r="J318" s="97">
        <f>IF(COUNTIF('Rates &amp; Source Data'!$A$1499:$A$1661,$A318)=0,"",SUMIFS('Rates &amp; Source Data'!$B$1499:$B$1661,'Rates &amp; Source Data'!$A$1499:$A$1661,$A318))</f>
        <v/>
      </c>
      <c r="K318" s="97" t="n">
        <v>5507.000628841607</v>
      </c>
      <c r="L318" s="107" t="n">
        <v>5507.000628841607</v>
      </c>
    </row>
    <row r="319">
      <c r="A319" s="2" t="inlineStr">
        <is>
          <t>1001280900LC0F0</t>
        </is>
      </c>
      <c r="B319" s="8">
        <f>_xlfn.XLOOKUP(A319,'Budget FY26-28'!A:A,'Site Register'!M:M)</f>
        <v/>
      </c>
      <c r="C319" s="8" t="inlineStr">
        <is>
          <t>kWh</t>
        </is>
      </c>
      <c r="D319" s="95" t="n">
        <v>41757.55319148936</v>
      </c>
      <c r="E319" s="105">
        <f>IFERROR(IF(SUMIFS('Rates &amp; Source Data'!$I$1263:$I$1393,'Rates &amp; Source Data'!$A$1263:$A$1393,$A319)&lt;&gt;0,SUMIFS('Rates &amp; Source Data'!$I$1263:$I$1393,'Rates &amp; Source Data'!$A$1263:$A$1393,$A319),$K319),$K319)</f>
        <v/>
      </c>
      <c r="F319" s="105">
        <f>E319</f>
        <v/>
      </c>
      <c r="G319" s="106" t="n">
        <v>0.2305265236764402</v>
      </c>
      <c r="H319" s="106" t="n">
        <v>0.2305265236764402</v>
      </c>
      <c r="I319" s="8" t="inlineStr">
        <is>
          <t>Ready</t>
        </is>
      </c>
      <c r="J319" s="97">
        <f>IF(COUNTIF('Rates &amp; Source Data'!$A$1499:$A$1661,$A319)=0,"",SUMIFS('Rates &amp; Source Data'!$B$1499:$B$1661,'Rates &amp; Source Data'!$A$1499:$A$1661,$A319))</f>
        <v/>
      </c>
      <c r="K319" s="97" t="n">
        <v>9626.223574468084</v>
      </c>
      <c r="L319" s="107" t="n">
        <v>9626.223574468084</v>
      </c>
    </row>
    <row r="320">
      <c r="A320" s="2" t="inlineStr">
        <is>
          <t>1002051460LC4EA</t>
        </is>
      </c>
      <c r="B320" s="8">
        <f>_xlfn.XLOOKUP(A320,'Budget FY26-28'!A:A,'Site Register'!M:M)</f>
        <v/>
      </c>
      <c r="C320" s="8" t="inlineStr">
        <is>
          <t>kWh</t>
        </is>
      </c>
      <c r="D320" s="95" t="n">
        <v>457000</v>
      </c>
      <c r="E320" s="105">
        <f>SUMIFS('Rates &amp; Source Data'!$X$1238:$X$1258,'Rates &amp; Source Data'!$B$1238:$B$1258,$A320)</f>
        <v/>
      </c>
      <c r="F320" s="105">
        <f>E320</f>
        <v/>
      </c>
      <c r="G320" s="106" t="n"/>
      <c r="H320" s="106" t="n"/>
      <c r="I320" s="8" t="inlineStr">
        <is>
          <t>Review required</t>
        </is>
      </c>
      <c r="J320" s="97">
        <f>IF(COUNTIF('Rates &amp; Source Data'!$A$1666:$A$1686,$A320)=0,"",SUMIFS('Rates &amp; Source Data'!$B$1666:$B$1686,'Rates &amp; Source Data'!$A$1666:$A$1686,$A320))</f>
        <v/>
      </c>
      <c r="K320" s="97" t="n"/>
      <c r="L320" s="107" t="n"/>
    </row>
    <row r="321">
      <c r="A321" s="2" t="inlineStr">
        <is>
          <t>1002053509UN51B</t>
        </is>
      </c>
      <c r="B321" s="8">
        <f>_xlfn.XLOOKUP(A321,'Budget FY26-28'!A:A,'Site Register'!M:M)</f>
        <v/>
      </c>
      <c r="C321" s="8" t="inlineStr">
        <is>
          <t>kWh</t>
        </is>
      </c>
      <c r="D321" s="95" t="n">
        <v>563000</v>
      </c>
      <c r="E321" s="105">
        <f>SUMIFS('Rates &amp; Source Data'!$X$1238:$X$1258,'Rates &amp; Source Data'!$B$1238:$B$1258,$A321)</f>
        <v/>
      </c>
      <c r="F321" s="105">
        <f>E321</f>
        <v/>
      </c>
      <c r="G321" s="106" t="n"/>
      <c r="H321" s="106" t="n"/>
      <c r="I321" s="8" t="inlineStr">
        <is>
          <t>Review required</t>
        </is>
      </c>
      <c r="J321" s="97">
        <f>IF(COUNTIF('Rates &amp; Source Data'!$A$1666:$A$1686,$A321)=0,"",SUMIFS('Rates &amp; Source Data'!$B$1666:$B$1686,'Rates &amp; Source Data'!$A$1666:$A$1686,$A321))</f>
        <v/>
      </c>
      <c r="K321" s="97" t="n"/>
      <c r="L321" s="107" t="n"/>
    </row>
    <row r="322">
      <c r="A322" s="2" t="inlineStr">
        <is>
          <t>1002147325UN75B</t>
        </is>
      </c>
      <c r="B322" s="8">
        <f>_xlfn.XLOOKUP(A322,'Budget FY26-28'!A:A,'Site Register'!M:M)</f>
        <v/>
      </c>
      <c r="C322" s="8" t="inlineStr">
        <is>
          <t>kWh</t>
        </is>
      </c>
      <c r="D322" s="95" t="n">
        <v>32015.504</v>
      </c>
      <c r="E322" s="105">
        <f>SUMIFS('Rates &amp; Source Data'!$X$1238:$X$1258,'Rates &amp; Source Data'!$B$1238:$B$1258,$A322)</f>
        <v/>
      </c>
      <c r="F322" s="105">
        <f>E322</f>
        <v/>
      </c>
      <c r="G322" s="106" t="n">
        <v>1.257509465371752</v>
      </c>
      <c r="H322" s="106" t="n">
        <v>1.257509465371752</v>
      </c>
      <c r="I322" s="8" t="inlineStr">
        <is>
          <t>Ready</t>
        </is>
      </c>
      <c r="J322" s="97">
        <f>IF(COUNTIF('Rates &amp; Source Data'!$A$1666:$A$1686,$A322)=0,"",SUMIFS('Rates &amp; Source Data'!$B$1666:$B$1686,'Rates &amp; Source Data'!$A$1666:$A$1686,$A322))</f>
        <v/>
      </c>
      <c r="K322" s="97" t="n">
        <v>40259.79931864719</v>
      </c>
      <c r="L322" s="107" t="n">
        <v>40259.79931864719</v>
      </c>
    </row>
    <row r="323">
      <c r="A323" s="2" t="inlineStr">
        <is>
          <t>Greenfield</t>
        </is>
      </c>
      <c r="B323" s="8">
        <f>_xlfn.XLOOKUP(A323,'Budget FY26-28'!A:A,'Site Register'!M:M)</f>
        <v/>
      </c>
      <c r="C323" s="8" t="inlineStr">
        <is>
          <t>kWh</t>
        </is>
      </c>
      <c r="D323" s="95" t="n">
        <v>0</v>
      </c>
      <c r="E323" s="105">
        <f>IFERROR(IF(SUMIFS('Rates &amp; Source Data'!$I$1263:$I$1393,'Rates &amp; Source Data'!$A$1263:$A$1393,$A323)&lt;&gt;0,SUMIFS('Rates &amp; Source Data'!$I$1263:$I$1393,'Rates &amp; Source Data'!$A$1263:$A$1393,$A323),$K323),$K323)</f>
        <v/>
      </c>
      <c r="F323" s="105">
        <f>E323</f>
        <v/>
      </c>
      <c r="G323" s="106" t="n"/>
      <c r="H323" s="106" t="n"/>
      <c r="I323" s="8" t="inlineStr">
        <is>
          <t>Review required</t>
        </is>
      </c>
      <c r="J323" s="97">
        <f>IF(COUNTIF('Rates &amp; Source Data'!$A$1499:$A$1661,$A323)=0,"",SUMIFS('Rates &amp; Source Data'!$B$1499:$B$1661,'Rates &amp; Source Data'!$A$1499:$A$1661,$A323))</f>
        <v/>
      </c>
      <c r="K323" s="97" t="n"/>
      <c r="L323" s="107" t="n"/>
    </row>
    <row r="324">
      <c r="A324" s="2" t="inlineStr">
        <is>
          <t>0000073603NAA76</t>
        </is>
      </c>
      <c r="B324" s="8">
        <f>_xlfn.XLOOKUP(A324,'Budget FY26-28'!A:A,'Site Register'!M:M)</f>
        <v/>
      </c>
      <c r="C324" s="8" t="inlineStr">
        <is>
          <t>GJ</t>
        </is>
      </c>
      <c r="D324" s="95" t="n">
        <v>23000</v>
      </c>
      <c r="E324" s="105">
        <f>SUMIFS('Rates &amp; Source Data'!$Y$1196:$Y$1217,'Rates &amp; Source Data'!$B$1196:$B$1217,$A324)</f>
        <v/>
      </c>
      <c r="F324" s="105">
        <f>E324</f>
        <v/>
      </c>
      <c r="G324" s="106" t="n"/>
      <c r="H324" s="106" t="n"/>
      <c r="I324" s="8" t="inlineStr">
        <is>
          <t>Ready</t>
        </is>
      </c>
      <c r="J324" s="97">
        <f>IF(COUNTIF('Rates &amp; Source Data'!$A$1707:$A$1714,$A324)=0,"",SUMIFS('Rates &amp; Source Data'!$B$1707:$B$1714,'Rates &amp; Source Data'!$A$1707:$A$1714,$A324))</f>
        <v/>
      </c>
      <c r="K324" s="97" t="n"/>
      <c r="L324" s="107" t="n"/>
    </row>
    <row r="325">
      <c r="A325" s="2" t="inlineStr">
        <is>
          <t>0001002400PGD55</t>
        </is>
      </c>
      <c r="B325" s="8">
        <f>_xlfn.XLOOKUP(A325,'Budget FY26-28'!A:A,'Site Register'!M:M)</f>
        <v/>
      </c>
      <c r="C325" s="8" t="inlineStr">
        <is>
          <t>kWh</t>
        </is>
      </c>
      <c r="D325" s="95" t="n">
        <v>8000</v>
      </c>
      <c r="E325" s="105">
        <f>SUMIFS('Rates &amp; Source Data'!$V$1222:$V$1233,'Rates &amp; Source Data'!$A$1222:$A$1233,$A325)</f>
        <v/>
      </c>
      <c r="F325" s="105">
        <f>E325</f>
        <v/>
      </c>
      <c r="G325" s="106" t="n"/>
      <c r="H325" s="106" t="n"/>
      <c r="I325" s="8" t="inlineStr">
        <is>
          <t>Ready</t>
        </is>
      </c>
      <c r="J325" s="97">
        <f>IF(COUNTIF('Rates &amp; Source Data'!$A$1691:$A$1702,$A325)=0,"",SUMIFS('Rates &amp; Source Data'!$B$1691:$B$1702,'Rates &amp; Source Data'!$A$1691:$A$1702,$A325))</f>
        <v/>
      </c>
      <c r="K325" s="97" t="n">
        <v>2155.896486</v>
      </c>
      <c r="L325" s="107" t="n">
        <v>2155.896486</v>
      </c>
    </row>
    <row r="326">
      <c r="A326" s="2" t="inlineStr">
        <is>
          <t>0001022593NG2C3</t>
        </is>
      </c>
      <c r="B326" s="8">
        <f>_xlfn.XLOOKUP(A326,'Budget FY26-28'!A:A,'Site Register'!M:M)</f>
        <v/>
      </c>
      <c r="C326" s="8" t="inlineStr">
        <is>
          <t>GJ</t>
        </is>
      </c>
      <c r="D326" s="95" t="n">
        <v>18591</v>
      </c>
      <c r="E326" s="105">
        <f>SUMIFS('Rates &amp; Source Data'!$Y$1196:$Y$1217,'Rates &amp; Source Data'!$B$1196:$B$1217,$A326)</f>
        <v/>
      </c>
      <c r="F326" s="105">
        <f>E326</f>
        <v/>
      </c>
      <c r="G326" s="106" t="n">
        <v>5.662440410736377</v>
      </c>
      <c r="H326" s="106" t="n">
        <v>5.662440410736377</v>
      </c>
      <c r="I326" s="8" t="inlineStr">
        <is>
          <t>Ready</t>
        </is>
      </c>
      <c r="J326" s="97">
        <f>IF(COUNTIF('Rates &amp; Source Data'!$A$1707:$A$1714,$A326)=0,"",SUMIFS('Rates &amp; Source Data'!$B$1707:$B$1714,'Rates &amp; Source Data'!$A$1707:$A$1714,$A326))</f>
        <v/>
      </c>
      <c r="K326" s="97" t="n">
        <v>105270.429676</v>
      </c>
      <c r="L326" s="107" t="n">
        <v>105270.429676</v>
      </c>
    </row>
    <row r="327">
      <c r="A327" s="2" t="inlineStr">
        <is>
          <t>0001510110PG48F</t>
        </is>
      </c>
      <c r="B327" s="8">
        <f>_xlfn.XLOOKUP(A327,'Budget FY26-28'!A:A,'Site Register'!M:M)</f>
        <v/>
      </c>
      <c r="C327" s="8" t="inlineStr">
        <is>
          <t>GJ</t>
        </is>
      </c>
      <c r="D327" s="95" t="n">
        <v>8677</v>
      </c>
      <c r="E327" s="105">
        <f>SUMIFS('Rates &amp; Source Data'!$Y$1196:$Y$1217,'Rates &amp; Source Data'!$B$1196:$B$1217,$A327)</f>
        <v/>
      </c>
      <c r="F327" s="105">
        <f>E327</f>
        <v/>
      </c>
      <c r="G327" s="106" t="n">
        <v>2.291460058084591</v>
      </c>
      <c r="H327" s="106" t="n">
        <v>2.291460058084591</v>
      </c>
      <c r="I327" s="8" t="inlineStr">
        <is>
          <t>Ready</t>
        </is>
      </c>
      <c r="J327" s="97">
        <f>IF(COUNTIF('Rates &amp; Source Data'!$A$1707:$A$1714,$A327)=0,"",SUMIFS('Rates &amp; Source Data'!$B$1707:$B$1714,'Rates &amp; Source Data'!$A$1707:$A$1714,$A327))</f>
        <v/>
      </c>
      <c r="K327" s="97" t="n">
        <v>19882.998924</v>
      </c>
      <c r="L327" s="107" t="n">
        <v>19882.998924</v>
      </c>
    </row>
    <row r="328">
      <c r="A328" s="2" t="inlineStr">
        <is>
          <t>0001700321PG50C</t>
        </is>
      </c>
      <c r="B328" s="8">
        <f>_xlfn.XLOOKUP(A328,'Budget FY26-28'!A:A,'Site Register'!M:M)</f>
        <v/>
      </c>
      <c r="C328" s="8" t="inlineStr">
        <is>
          <t>kWh</t>
        </is>
      </c>
      <c r="D328" s="95" t="n">
        <v>4000</v>
      </c>
      <c r="E328" s="105">
        <f>SUMIFS('Rates &amp; Source Data'!$V$1222:$V$1233,'Rates &amp; Source Data'!$A$1222:$A$1233,$A328)</f>
        <v/>
      </c>
      <c r="F328" s="105">
        <f>E328</f>
        <v/>
      </c>
      <c r="G328" s="106" t="n"/>
      <c r="H328" s="106" t="n"/>
      <c r="I328" s="8" t="inlineStr">
        <is>
          <t>Ready</t>
        </is>
      </c>
      <c r="J328" s="97">
        <f>IF(COUNTIF('Rates &amp; Source Data'!$A$1691:$A$1702,$A328)=0,"",SUMIFS('Rates &amp; Source Data'!$B$1691:$B$1702,'Rates &amp; Source Data'!$A$1691:$A$1702,$A328))</f>
        <v/>
      </c>
      <c r="K328" s="97" t="n">
        <v>1320.358655529954</v>
      </c>
      <c r="L328" s="107" t="n">
        <v>1320.358655529954</v>
      </c>
    </row>
    <row r="329">
      <c r="A329" s="2" t="inlineStr">
        <is>
          <t>0001702030PG3A7</t>
        </is>
      </c>
      <c r="B329" s="8">
        <f>_xlfn.XLOOKUP(A329,'Budget FY26-28'!A:A,'Site Register'!M:M)</f>
        <v/>
      </c>
      <c r="C329" s="8" t="inlineStr">
        <is>
          <t>kWh</t>
        </is>
      </c>
      <c r="D329" s="95" t="n">
        <v>8000</v>
      </c>
      <c r="E329" s="105">
        <f>SUMIFS('Rates &amp; Source Data'!$V$1222:$V$1233,'Rates &amp; Source Data'!$A$1222:$A$1233,$A329)</f>
        <v/>
      </c>
      <c r="F329" s="105">
        <f>E329</f>
        <v/>
      </c>
      <c r="G329" s="106" t="n"/>
      <c r="H329" s="106" t="n"/>
      <c r="I329" s="8" t="inlineStr">
        <is>
          <t>Ready</t>
        </is>
      </c>
      <c r="J329" s="97">
        <f>IF(COUNTIF('Rates &amp; Source Data'!$A$1691:$A$1702,$A329)=0,"",SUMIFS('Rates &amp; Source Data'!$B$1691:$B$1702,'Rates &amp; Source Data'!$A$1691:$A$1702,$A329))</f>
        <v/>
      </c>
      <c r="K329" s="97" t="n">
        <v>2117.238812355658</v>
      </c>
      <c r="L329" s="107" t="n">
        <v>2117.238812355658</v>
      </c>
    </row>
    <row r="330">
      <c r="A330" s="2" t="inlineStr">
        <is>
          <t>0004212495NG7EE</t>
        </is>
      </c>
      <c r="B330" s="8">
        <f>_xlfn.XLOOKUP(A330,'Budget FY26-28'!A:A,'Site Register'!M:M)</f>
        <v/>
      </c>
      <c r="C330" s="8" t="inlineStr">
        <is>
          <t>kWh</t>
        </is>
      </c>
      <c r="D330" s="95" t="n">
        <v>3000</v>
      </c>
      <c r="E330" s="105">
        <f>SUMIFS('Rates &amp; Source Data'!$V$1222:$V$1233,'Rates &amp; Source Data'!$A$1222:$A$1233,$A330)</f>
        <v/>
      </c>
      <c r="F330" s="105">
        <f>E330</f>
        <v/>
      </c>
      <c r="G330" s="106" t="n"/>
      <c r="H330" s="106" t="n"/>
      <c r="I330" s="8" t="inlineStr">
        <is>
          <t>Ready</t>
        </is>
      </c>
      <c r="J330" s="97">
        <f>IF(COUNTIF('Rates &amp; Source Data'!$A$1691:$A$1702,$A330)=0,"",SUMIFS('Rates &amp; Source Data'!$B$1691:$B$1702,'Rates &amp; Source Data'!$A$1691:$A$1702,$A330))</f>
        <v/>
      </c>
      <c r="K330" s="97" t="n">
        <v>1084.361782949309</v>
      </c>
      <c r="L330" s="107" t="n">
        <v>1084.361782949309</v>
      </c>
    </row>
    <row r="331">
      <c r="A331" s="2" t="inlineStr">
        <is>
          <t>0004212498NG8B5</t>
        </is>
      </c>
      <c r="B331" s="8">
        <f>_xlfn.XLOOKUP(A331,'Budget FY26-28'!A:A,'Site Register'!M:M)</f>
        <v/>
      </c>
      <c r="C331" s="8" t="inlineStr">
        <is>
          <t>kWh</t>
        </is>
      </c>
      <c r="D331" s="95" t="n">
        <v>3000</v>
      </c>
      <c r="E331" s="105">
        <f>SUMIFS('Rates &amp; Source Data'!$V$1222:$V$1233,'Rates &amp; Source Data'!$A$1222:$A$1233,$A331)</f>
        <v/>
      </c>
      <c r="F331" s="105">
        <f>E331</f>
        <v/>
      </c>
      <c r="G331" s="106" t="n"/>
      <c r="H331" s="106" t="n"/>
      <c r="I331" s="8" t="inlineStr">
        <is>
          <t>Ready</t>
        </is>
      </c>
      <c r="J331" s="97">
        <f>IF(COUNTIF('Rates &amp; Source Data'!$A$1691:$A$1702,$A331)=0,"",SUMIFS('Rates &amp; Source Data'!$B$1691:$B$1702,'Rates &amp; Source Data'!$A$1691:$A$1702,$A331))</f>
        <v/>
      </c>
      <c r="K331" s="97" t="n">
        <v>1212.148737096774</v>
      </c>
      <c r="L331" s="107" t="n">
        <v>1212.148737096774</v>
      </c>
    </row>
    <row r="332">
      <c r="A332" s="2" t="inlineStr">
        <is>
          <t>0005591470PG214</t>
        </is>
      </c>
      <c r="B332" s="8">
        <f>_xlfn.XLOOKUP(A332,'Budget FY26-28'!A:A,'Site Register'!M:M)</f>
        <v/>
      </c>
      <c r="C332" s="8" t="inlineStr">
        <is>
          <t>GJ</t>
        </is>
      </c>
      <c r="D332" s="95" t="n">
        <v>8624</v>
      </c>
      <c r="E332" s="105">
        <f>SUMIFS('Rates &amp; Source Data'!$Y$1196:$Y$1217,'Rates &amp; Source Data'!$B$1196:$B$1217,$A332)</f>
        <v/>
      </c>
      <c r="F332" s="105">
        <f>E332</f>
        <v/>
      </c>
      <c r="G332" s="106" t="n">
        <v>5.053402735969389</v>
      </c>
      <c r="H332" s="106" t="n">
        <v>5.053402735969389</v>
      </c>
      <c r="I332" s="8" t="inlineStr">
        <is>
          <t>Ready</t>
        </is>
      </c>
      <c r="J332" s="97">
        <f>IF(COUNTIF('Rates &amp; Source Data'!$A$1707:$A$1714,$A332)=0,"",SUMIFS('Rates &amp; Source Data'!$B$1707:$B$1714,'Rates &amp; Source Data'!$A$1707:$A$1714,$A332))</f>
        <v/>
      </c>
      <c r="K332" s="97" t="n">
        <v>43580.54519500001</v>
      </c>
      <c r="L332" s="107" t="n">
        <v>43580.54519500001</v>
      </c>
    </row>
    <row r="333">
      <c r="A333" s="2" t="inlineStr">
        <is>
          <t>0009000218NG904</t>
        </is>
      </c>
      <c r="B333" s="8">
        <f>_xlfn.XLOOKUP(A333,'Budget FY26-28'!A:A,'Site Register'!M:M)</f>
        <v/>
      </c>
      <c r="C333" s="8" t="inlineStr">
        <is>
          <t>GJ</t>
        </is>
      </c>
      <c r="D333" s="95" t="n">
        <v>13930</v>
      </c>
      <c r="E333" s="105">
        <f>SUMIFS('Rates &amp; Source Data'!$Y$1196:$Y$1217,'Rates &amp; Source Data'!$B$1196:$B$1217,$A333)</f>
        <v/>
      </c>
      <c r="F333" s="105">
        <f>E333</f>
        <v/>
      </c>
      <c r="G333" s="106" t="n">
        <v>6.44128898585786</v>
      </c>
      <c r="H333" s="106" t="n">
        <v>6.44128898585786</v>
      </c>
      <c r="I333" s="8" t="inlineStr">
        <is>
          <t>Ready</t>
        </is>
      </c>
      <c r="J333" s="97">
        <f>IF(COUNTIF('Rates &amp; Source Data'!$A$1707:$A$1714,$A333)=0,"",SUMIFS('Rates &amp; Source Data'!$B$1707:$B$1714,'Rates &amp; Source Data'!$A$1707:$A$1714,$A333))</f>
        <v/>
      </c>
      <c r="K333" s="97" t="n">
        <v>89727.155573</v>
      </c>
      <c r="L333" s="107" t="n">
        <v>89727.155573</v>
      </c>
    </row>
    <row r="334">
      <c r="A334" s="2" t="inlineStr">
        <is>
          <t>0009000601NG1F9</t>
        </is>
      </c>
      <c r="B334" s="8">
        <f>_xlfn.XLOOKUP(A334,'Budget FY26-28'!A:A,'Site Register'!M:M)</f>
        <v/>
      </c>
      <c r="C334" s="8" t="inlineStr">
        <is>
          <t>GJ</t>
        </is>
      </c>
      <c r="D334" s="95" t="n">
        <v>1148</v>
      </c>
      <c r="E334" s="105">
        <f>SUMIFS('Rates &amp; Source Data'!$Y$1196:$Y$1217,'Rates &amp; Source Data'!$B$1196:$B$1217,$A334)</f>
        <v/>
      </c>
      <c r="F334" s="105">
        <f>E334</f>
        <v/>
      </c>
      <c r="G334" s="106" t="n">
        <v>10.86850045034843</v>
      </c>
      <c r="H334" s="106" t="n">
        <v>10.86850045034843</v>
      </c>
      <c r="I334" s="8" t="inlineStr">
        <is>
          <t>Ready</t>
        </is>
      </c>
      <c r="J334" s="97">
        <f>IF(COUNTIF('Rates &amp; Source Data'!$A$1707:$A$1714,$A334)=0,"",SUMIFS('Rates &amp; Source Data'!$B$1707:$B$1714,'Rates &amp; Source Data'!$A$1707:$A$1714,$A334))</f>
        <v/>
      </c>
      <c r="K334" s="97" t="n">
        <v>12477.038517</v>
      </c>
      <c r="L334" s="107" t="n">
        <v>12477.038517</v>
      </c>
    </row>
    <row r="335">
      <c r="A335" s="2" t="inlineStr">
        <is>
          <t>0011001339PGB95</t>
        </is>
      </c>
      <c r="B335" s="8">
        <f>_xlfn.XLOOKUP(A335,'Budget FY26-28'!A:A,'Site Register'!M:M)</f>
        <v/>
      </c>
      <c r="C335" s="8" t="inlineStr">
        <is>
          <t>kWh</t>
        </is>
      </c>
      <c r="D335" s="95" t="n">
        <v>7000</v>
      </c>
      <c r="E335" s="105">
        <f>SUMIFS('Rates &amp; Source Data'!$V$1222:$V$1233,'Rates &amp; Source Data'!$A$1222:$A$1233,$A335)</f>
        <v/>
      </c>
      <c r="F335" s="105">
        <f>E335</f>
        <v/>
      </c>
      <c r="G335" s="106" t="n"/>
      <c r="H335" s="106" t="n"/>
      <c r="I335" s="8" t="inlineStr">
        <is>
          <t>Ready</t>
        </is>
      </c>
      <c r="J335" s="97">
        <f>IF(COUNTIF('Rates &amp; Source Data'!$A$1691:$A$1702,$A335)=0,"",SUMIFS('Rates &amp; Source Data'!$B$1691:$B$1702,'Rates &amp; Source Data'!$A$1691:$A$1702,$A335))</f>
        <v/>
      </c>
      <c r="K335" s="97" t="n">
        <v>1940.091681531531</v>
      </c>
      <c r="L335" s="107" t="n">
        <v>1940.091681531531</v>
      </c>
    </row>
    <row r="336">
      <c r="A336" s="2" t="inlineStr">
        <is>
          <t>0011002529PG5DE</t>
        </is>
      </c>
      <c r="B336" s="8">
        <f>_xlfn.XLOOKUP(A336,'Budget FY26-28'!A:A,'Site Register'!M:M)</f>
        <v/>
      </c>
      <c r="C336" s="8" t="inlineStr">
        <is>
          <t>kWh</t>
        </is>
      </c>
      <c r="D336" s="95" t="n">
        <v>5000</v>
      </c>
      <c r="E336" s="105">
        <f>SUMIFS('Rates &amp; Source Data'!$V$1222:$V$1233,'Rates &amp; Source Data'!$A$1222:$A$1233,$A336)</f>
        <v/>
      </c>
      <c r="F336" s="105">
        <f>E336</f>
        <v/>
      </c>
      <c r="G336" s="106" t="n"/>
      <c r="H336" s="106" t="n"/>
      <c r="I336" s="8" t="inlineStr">
        <is>
          <t>Ready</t>
        </is>
      </c>
      <c r="J336" s="97">
        <f>IF(COUNTIF('Rates &amp; Source Data'!$A$1691:$A$1702,$A336)=0,"",SUMIFS('Rates &amp; Source Data'!$B$1691:$B$1702,'Rates &amp; Source Data'!$A$1691:$A$1702,$A336))</f>
        <v/>
      </c>
      <c r="K336" s="97" t="n">
        <v>1721.373996082949</v>
      </c>
      <c r="L336" s="107" t="n">
        <v>1721.373996082949</v>
      </c>
    </row>
    <row r="337">
      <c r="A337" s="2" t="inlineStr">
        <is>
          <t>0042250800PG852</t>
        </is>
      </c>
      <c r="B337" s="8">
        <f>_xlfn.XLOOKUP(A337,'Budget FY26-28'!A:A,'Site Register'!M:M)</f>
        <v/>
      </c>
      <c r="C337" s="8" t="inlineStr">
        <is>
          <t>kWh</t>
        </is>
      </c>
      <c r="D337" s="95" t="n">
        <v>1000</v>
      </c>
      <c r="E337" s="105">
        <f>SUMIFS('Rates &amp; Source Data'!$V$1222:$V$1233,'Rates &amp; Source Data'!$A$1222:$A$1233,$A337)</f>
        <v/>
      </c>
      <c r="F337" s="105">
        <f>E337</f>
        <v/>
      </c>
      <c r="G337" s="106" t="n"/>
      <c r="H337" s="106" t="n"/>
      <c r="I337" s="8" t="inlineStr">
        <is>
          <t>Ready</t>
        </is>
      </c>
      <c r="J337" s="97">
        <f>IF(COUNTIF('Rates &amp; Source Data'!$A$1691:$A$1702,$A337)=0,"",SUMIFS('Rates &amp; Source Data'!$B$1691:$B$1702,'Rates &amp; Source Data'!$A$1691:$A$1702,$A337))</f>
        <v/>
      </c>
      <c r="K337" s="97" t="n">
        <v>663.522632593458</v>
      </c>
      <c r="L337" s="107" t="n">
        <v>663.522632593458</v>
      </c>
    </row>
    <row r="338">
      <c r="A338" s="2" t="inlineStr">
        <is>
          <t>1000516888PGF43</t>
        </is>
      </c>
      <c r="B338" s="8">
        <f>_xlfn.XLOOKUP(A338,'Budget FY26-28'!A:A,'Site Register'!M:M)</f>
        <v/>
      </c>
      <c r="C338" s="8" t="inlineStr">
        <is>
          <t>kWh</t>
        </is>
      </c>
      <c r="D338" s="95" t="n">
        <v>1000</v>
      </c>
      <c r="E338" s="105">
        <f>SUMIFS('Rates &amp; Source Data'!$V$1222:$V$1233,'Rates &amp; Source Data'!$A$1222:$A$1233,$A338)</f>
        <v/>
      </c>
      <c r="F338" s="105">
        <f>E338</f>
        <v/>
      </c>
      <c r="G338" s="106" t="n"/>
      <c r="H338" s="106" t="n"/>
      <c r="I338" s="8" t="inlineStr">
        <is>
          <t>Ready</t>
        </is>
      </c>
      <c r="J338" s="97">
        <f>IF(COUNTIF('Rates &amp; Source Data'!$A$1691:$A$1702,$A338)=0,"",SUMIFS('Rates &amp; Source Data'!$B$1691:$B$1702,'Rates &amp; Source Data'!$A$1691:$A$1702,$A338))</f>
        <v/>
      </c>
      <c r="K338" s="97" t="n">
        <v>778.7935807603687</v>
      </c>
      <c r="L338" s="107" t="n">
        <v>778.7935807603687</v>
      </c>
    </row>
    <row r="339">
      <c r="A339" s="2" t="inlineStr">
        <is>
          <t>1000521442PG37D</t>
        </is>
      </c>
      <c r="B339" s="8">
        <f>_xlfn.XLOOKUP(A339,'Budget FY26-28'!A:A,'Site Register'!M:M)</f>
        <v/>
      </c>
      <c r="C339" s="8" t="inlineStr">
        <is>
          <t>GJ</t>
        </is>
      </c>
      <c r="D339" s="95" t="n">
        <v>10285</v>
      </c>
      <c r="E339" s="105">
        <f>SUMIFS('Rates &amp; Source Data'!$Y$1196:$Y$1217,'Rates &amp; Source Data'!$B$1196:$B$1217,$A339)</f>
        <v/>
      </c>
      <c r="F339" s="105">
        <f>E339</f>
        <v/>
      </c>
      <c r="G339" s="106" t="n">
        <v>6.086537340204181</v>
      </c>
      <c r="H339" s="106" t="n">
        <v>6.086537340204181</v>
      </c>
      <c r="I339" s="8" t="inlineStr">
        <is>
          <t>Ready</t>
        </is>
      </c>
      <c r="J339" s="97">
        <f>IF(COUNTIF('Rates &amp; Source Data'!$A$1707:$A$1714,$A339)=0,"",SUMIFS('Rates &amp; Source Data'!$B$1707:$B$1714,'Rates &amp; Source Data'!$A$1707:$A$1714,$A339))</f>
        <v/>
      </c>
      <c r="K339" s="97" t="n">
        <v>62600.036544</v>
      </c>
      <c r="L339" s="107" t="n">
        <v>62600.036544</v>
      </c>
    </row>
    <row r="340">
      <c r="A340" s="2" t="inlineStr">
        <is>
          <t>1000581141PGC50</t>
        </is>
      </c>
      <c r="B340" s="8">
        <f>_xlfn.XLOOKUP(A340,'Budget FY26-28'!A:A,'Site Register'!M:M)</f>
        <v/>
      </c>
      <c r="C340" s="8" t="inlineStr">
        <is>
          <t>kWh</t>
        </is>
      </c>
      <c r="D340" s="95" t="n">
        <v>3000</v>
      </c>
      <c r="E340" s="105">
        <f>SUMIFS('Rates &amp; Source Data'!$V$1222:$V$1233,'Rates &amp; Source Data'!$A$1222:$A$1233,$A340)</f>
        <v/>
      </c>
      <c r="F340" s="105">
        <f>E340</f>
        <v/>
      </c>
      <c r="G340" s="106" t="n"/>
      <c r="H340" s="106" t="n"/>
      <c r="I340" s="8" t="inlineStr">
        <is>
          <t>Ready</t>
        </is>
      </c>
      <c r="J340" s="97">
        <f>IF(COUNTIF('Rates &amp; Source Data'!$A$1691:$A$1702,$A340)=0,"",SUMIFS('Rates &amp; Source Data'!$B$1691:$B$1702,'Rates &amp; Source Data'!$A$1691:$A$1702,$A340))</f>
        <v/>
      </c>
      <c r="K340" s="97" t="n">
        <v>1187.809199575071</v>
      </c>
      <c r="L340" s="107" t="n">
        <v>1187.809199575071</v>
      </c>
    </row>
    <row r="341">
      <c r="A341" s="2" t="inlineStr">
        <is>
          <t>1000590389PGAED</t>
        </is>
      </c>
      <c r="B341" s="8">
        <f>_xlfn.XLOOKUP(A341,'Budget FY26-28'!A:A,'Site Register'!M:M)</f>
        <v/>
      </c>
      <c r="C341" s="8" t="inlineStr">
        <is>
          <t>kWh</t>
        </is>
      </c>
      <c r="D341" s="95" t="n">
        <v>2000</v>
      </c>
      <c r="E341" s="105">
        <f>SUMIFS('Rates &amp; Source Data'!$V$1222:$V$1233,'Rates &amp; Source Data'!$A$1222:$A$1233,$A341)</f>
        <v/>
      </c>
      <c r="F341" s="105">
        <f>E341</f>
        <v/>
      </c>
      <c r="G341" s="106" t="n"/>
      <c r="H341" s="106" t="n"/>
      <c r="I341" s="8" t="inlineStr">
        <is>
          <t>Ready</t>
        </is>
      </c>
      <c r="J341" s="97">
        <f>IF(COUNTIF('Rates &amp; Source Data'!$A$1691:$A$1702,$A341)=0,"",SUMIFS('Rates &amp; Source Data'!$B$1691:$B$1702,'Rates &amp; Source Data'!$A$1691:$A$1702,$A341))</f>
        <v/>
      </c>
      <c r="K341" s="97" t="n">
        <v>992.406496685879</v>
      </c>
      <c r="L341" s="107" t="n">
        <v>992.406496685879</v>
      </c>
    </row>
    <row r="342">
      <c r="A342" s="2" t="inlineStr">
        <is>
          <t>1000605558PG1BC</t>
        </is>
      </c>
      <c r="B342" s="8">
        <f>_xlfn.XLOOKUP(A342,'Budget FY26-28'!A:A,'Site Register'!M:M)</f>
        <v/>
      </c>
      <c r="C342" s="8" t="inlineStr">
        <is>
          <t>kWh</t>
        </is>
      </c>
      <c r="D342" s="95" t="n">
        <v>1000</v>
      </c>
      <c r="E342" s="105">
        <f>SUMIFS('Rates &amp; Source Data'!$V$1222:$V$1233,'Rates &amp; Source Data'!$A$1222:$A$1233,$A342)</f>
        <v/>
      </c>
      <c r="F342" s="105">
        <f>E342</f>
        <v/>
      </c>
      <c r="G342" s="106" t="n"/>
      <c r="H342" s="106" t="n"/>
      <c r="I342" s="8" t="inlineStr">
        <is>
          <t>Ready</t>
        </is>
      </c>
      <c r="J342" s="97">
        <f>IF(COUNTIF('Rates &amp; Source Data'!$A$1691:$A$1702,$A342)=0,"",SUMIFS('Rates &amp; Source Data'!$B$1691:$B$1702,'Rates &amp; Source Data'!$A$1691:$A$1702,$A342))</f>
        <v/>
      </c>
      <c r="K342" s="97" t="n">
        <v>752.2019054421769</v>
      </c>
      <c r="L342" s="107" t="n">
        <v>752.2019054421769</v>
      </c>
    </row>
    <row r="343">
      <c r="A343" s="5" t="inlineStr">
        <is>
          <t>1001126516QT2A3</t>
        </is>
      </c>
      <c r="B343" s="8">
        <f>_xlfn.XLOOKUP(A343,'Budget FY26-28'!A:A,'Site Register'!M:M)</f>
        <v/>
      </c>
      <c r="C343" s="9" t="inlineStr">
        <is>
          <t>GJ</t>
        </is>
      </c>
      <c r="D343" s="101" t="n">
        <v>49433</v>
      </c>
      <c r="E343" s="108">
        <f>SUMIFS('Rates &amp; Source Data'!$Y$1196:$Y$1217,'Rates &amp; Source Data'!$B$1196:$B$1217,$A343)</f>
        <v/>
      </c>
      <c r="F343" s="108">
        <f>E343</f>
        <v/>
      </c>
      <c r="G343" s="109" t="n">
        <v>4.389040045860053</v>
      </c>
      <c r="H343" s="109" t="n">
        <v>4.389040045860053</v>
      </c>
      <c r="I343" s="9" t="inlineStr">
        <is>
          <t>Ready</t>
        </is>
      </c>
      <c r="J343" s="103">
        <f>IF(COUNTIF('Rates &amp; Source Data'!$A$1707:$A$1714,$A343)=0,"",SUMIFS('Rates &amp; Source Data'!$B$1707:$B$1714,'Rates &amp; Source Data'!$A$1707:$A$1714,$A343))</f>
        <v/>
      </c>
      <c r="K343" s="103" t="n">
        <v>216963.416587</v>
      </c>
      <c r="L343" s="110" t="n">
        <v>216963.416587</v>
      </c>
    </row>
  </sheetData>
  <conditionalFormatting sqref="I3:I343">
    <cfRule type="containsText" priority="1" operator="containsText" dxfId="0" text="Review required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M1761"/>
  <sheetViews>
    <sheetView showGridLines="0" topLeftCell="A14" zoomScale="80" zoomScaleNormal="80" workbookViewId="0">
      <selection activeCell="A1" sqref="A1"/>
    </sheetView>
  </sheetViews>
  <sheetFormatPr baseColWidth="8" defaultRowHeight="21.75"/>
  <cols>
    <col width="18" customWidth="1" style="1" min="1" max="1"/>
    <col width="28" customWidth="1" style="1" min="2" max="2"/>
    <col width="22.625" customWidth="1" style="1" min="3" max="3"/>
    <col width="20" customWidth="1" style="1" min="4" max="4"/>
    <col width="15" customWidth="1" style="1" min="5" max="17"/>
    <col width="19" customWidth="1" style="1" min="18" max="19"/>
    <col width="15" customWidth="1" style="1" min="20" max="28"/>
    <col width="19" customWidth="1" style="1" min="29" max="30"/>
    <col width="20" customWidth="1" style="1" min="31" max="35"/>
    <col width="28" customWidth="1" style="1" min="36" max="38"/>
    <col width="22" customWidth="1" style="1" min="39" max="44"/>
    <col width="15" customWidth="1" style="1" min="45" max="65"/>
    <col width="9" customWidth="1" style="1" min="66" max="16384"/>
  </cols>
  <sheetData>
    <row r="1" ht="30.75" customHeight="1">
      <c r="A1" s="34" t="inlineStr">
        <is>
          <t>Rate Schedules &amp; Technical Source Data</t>
        </is>
      </c>
      <c r="B1" s="34" t="n"/>
      <c r="C1" s="34" t="n"/>
      <c r="D1" s="34" t="n"/>
      <c r="E1" s="34" t="n"/>
      <c r="F1" s="34" t="n"/>
      <c r="G1" s="34" t="n"/>
      <c r="H1" s="34" t="n"/>
    </row>
    <row r="3">
      <c r="A3" s="35" t="inlineStr">
        <is>
          <t>Schedule</t>
        </is>
      </c>
      <c r="B3" s="36" t="inlineStr">
        <is>
          <t>Schedule type</t>
        </is>
      </c>
      <c r="C3" s="36" t="inlineStr">
        <is>
          <t>Location in this tab</t>
        </is>
      </c>
      <c r="D3" s="37" t="inlineStr">
        <is>
          <t>Purpose</t>
        </is>
      </c>
    </row>
    <row r="4" ht="130.5" customHeight="1">
      <c r="A4" s="10" t="inlineStr">
        <is>
          <t>SME Electricity Rates</t>
        </is>
      </c>
      <c r="B4" s="11" t="inlineStr">
        <is>
          <t>Award / current spend / contract driver</t>
        </is>
      </c>
      <c r="C4" s="11" t="inlineStr">
        <is>
          <t>Rows 104–156</t>
        </is>
      </c>
      <c r="D4" s="12" t="inlineStr">
        <is>
          <t>Detailed source schedule supporting rates, current spend or contract components</t>
        </is>
      </c>
    </row>
    <row r="5" ht="130.5" customHeight="1">
      <c r="A5" s="10" t="inlineStr">
        <is>
          <t>NZ TOU Electricity Rates</t>
        </is>
      </c>
      <c r="B5" s="11" t="inlineStr">
        <is>
          <t>Award / current spend / contract driver</t>
        </is>
      </c>
      <c r="C5" s="11" t="inlineStr">
        <is>
          <t>Rows 159–1060</t>
        </is>
      </c>
      <c r="D5" s="12" t="inlineStr">
        <is>
          <t>Detailed source schedule supporting rates, current spend or contract components</t>
        </is>
      </c>
    </row>
    <row r="6" ht="130.5" customHeight="1">
      <c r="A6" s="10" t="inlineStr">
        <is>
          <t>NZ NTOU Electricity Rates</t>
        </is>
      </c>
      <c r="B6" s="11" t="inlineStr">
        <is>
          <t>Award / current spend / contract driver</t>
        </is>
      </c>
      <c r="C6" s="11" t="inlineStr">
        <is>
          <t>Rows 1063–1191</t>
        </is>
      </c>
      <c r="D6" s="12" t="inlineStr">
        <is>
          <t>Detailed source schedule supporting rates, current spend or contract components</t>
        </is>
      </c>
    </row>
    <row r="7" ht="130.5" customHeight="1">
      <c r="A7" s="10" t="inlineStr">
        <is>
          <t>NZ TOU Gas Rates</t>
        </is>
      </c>
      <c r="B7" s="11" t="inlineStr">
        <is>
          <t>Award / current spend / contract driver</t>
        </is>
      </c>
      <c r="C7" s="11" t="inlineStr">
        <is>
          <t>Rows 1194–1217</t>
        </is>
      </c>
      <c r="D7" s="12" t="inlineStr">
        <is>
          <t>Detailed source schedule supporting rates, current spend or contract components</t>
        </is>
      </c>
    </row>
    <row r="8" ht="130.5" customHeight="1">
      <c r="A8" s="10" t="inlineStr">
        <is>
          <t>NZ NTOU Gas Rates</t>
        </is>
      </c>
      <c r="B8" s="11" t="inlineStr">
        <is>
          <t>Award / current spend / contract driver</t>
        </is>
      </c>
      <c r="C8" s="11" t="inlineStr">
        <is>
          <t>Rows 1220–1233</t>
        </is>
      </c>
      <c r="D8" s="12" t="inlineStr">
        <is>
          <t>Detailed source schedule supporting rates, current spend or contract components</t>
        </is>
      </c>
    </row>
    <row r="9" ht="130.5" customHeight="1">
      <c r="A9" s="10" t="inlineStr">
        <is>
          <t>NZ TOU Electricity Analysis</t>
        </is>
      </c>
      <c r="B9" s="11" t="inlineStr">
        <is>
          <t>Award / current spend / contract driver</t>
        </is>
      </c>
      <c r="C9" s="11" t="inlineStr">
        <is>
          <t>Rows 1236–1258</t>
        </is>
      </c>
      <c r="D9" s="12" t="inlineStr">
        <is>
          <t>Detailed source schedule supporting rates, current spend or contract components</t>
        </is>
      </c>
    </row>
    <row r="10" ht="130.5" customHeight="1">
      <c r="A10" s="10" t="inlineStr">
        <is>
          <t>NZ NTOU Electricity Analysis</t>
        </is>
      </c>
      <c r="B10" s="11" t="inlineStr">
        <is>
          <t>Award / current spend / contract driver</t>
        </is>
      </c>
      <c r="C10" s="11" t="inlineStr">
        <is>
          <t>Rows 1261–1393</t>
        </is>
      </c>
      <c r="D10" s="12" t="inlineStr">
        <is>
          <t>Detailed source schedule supporting rates, current spend or contract components</t>
        </is>
      </c>
    </row>
    <row r="11" ht="130.5" customHeight="1">
      <c r="A11" s="10" t="inlineStr">
        <is>
          <t>AU C&amp;I Gas Analysis</t>
        </is>
      </c>
      <c r="B11" s="11" t="inlineStr">
        <is>
          <t>Award / current spend / contract driver</t>
        </is>
      </c>
      <c r="C11" s="11" t="inlineStr">
        <is>
          <t>Rows 1396–1413</t>
        </is>
      </c>
      <c r="D11" s="12" t="inlineStr">
        <is>
          <t>Detailed source schedule supporting rates, current spend or contract components</t>
        </is>
      </c>
    </row>
    <row r="12" ht="130.5" customHeight="1">
      <c r="A12" s="10" t="inlineStr">
        <is>
          <t>SME Gas 2026 - Origin Selected Analysis</t>
        </is>
      </c>
      <c r="B12" s="11" t="inlineStr">
        <is>
          <t>Award / current spend / contract driver</t>
        </is>
      </c>
      <c r="C12" s="11" t="inlineStr">
        <is>
          <t>Rows 1416–1424</t>
        </is>
      </c>
      <c r="D12" s="12" t="inlineStr">
        <is>
          <t>Detailed source schedule supporting rates, current spend or contract components</t>
        </is>
      </c>
    </row>
    <row r="13" ht="130.5" customHeight="1">
      <c r="A13" s="10" t="inlineStr">
        <is>
          <t>Solstice Secured Pricing</t>
        </is>
      </c>
      <c r="B13" s="11" t="inlineStr">
        <is>
          <t>Award / current spend / contract driver</t>
        </is>
      </c>
      <c r="C13" s="11" t="inlineStr">
        <is>
          <t>Rows 1427–1429</t>
        </is>
      </c>
      <c r="D13" s="12" t="inlineStr">
        <is>
          <t>Detailed source schedule supporting rates, current spend or contract components</t>
        </is>
      </c>
    </row>
    <row r="14" ht="130.5" customHeight="1">
      <c r="A14" s="10" t="inlineStr">
        <is>
          <t>Latest AU SME Multisite Spend Summary</t>
        </is>
      </c>
      <c r="B14" s="11" t="inlineStr">
        <is>
          <t>Award / current spend / contract driver</t>
        </is>
      </c>
      <c r="C14" s="11" t="inlineStr">
        <is>
          <t>Rows 1432–1450</t>
        </is>
      </c>
      <c r="D14" s="12" t="inlineStr">
        <is>
          <t>Detailed source schedule supporting rates, current spend or contract components</t>
        </is>
      </c>
    </row>
    <row r="15" ht="130.5" customHeight="1">
      <c r="A15" s="10" t="inlineStr">
        <is>
          <t>WA Alinta Contract Drivers</t>
        </is>
      </c>
      <c r="B15" s="11" t="inlineStr">
        <is>
          <t>Award / current spend / contract driver</t>
        </is>
      </c>
      <c r="C15" s="11" t="inlineStr">
        <is>
          <t>Rows 1453–1461</t>
        </is>
      </c>
      <c r="D15" s="12" t="inlineStr">
        <is>
          <t>Detailed source schedule supporting rates, current spend or contract components</t>
        </is>
      </c>
    </row>
    <row r="16" ht="130.5" customHeight="1">
      <c r="A16" s="10" t="inlineStr">
        <is>
          <t>TAS Shell Contract Drivers</t>
        </is>
      </c>
      <c r="B16" s="11" t="inlineStr">
        <is>
          <t>Award / current spend / contract driver</t>
        </is>
      </c>
      <c r="C16" s="11" t="inlineStr">
        <is>
          <t>Rows 1464–1468</t>
        </is>
      </c>
      <c r="D16" s="12" t="inlineStr">
        <is>
          <t>Detailed source schedule supporting rates, current spend or contract components</t>
        </is>
      </c>
    </row>
    <row r="17" ht="130.5" customHeight="1">
      <c r="A17" s="10" t="inlineStr">
        <is>
          <t>NZ NTOU Gas Contract Drivers</t>
        </is>
      </c>
      <c r="B17" s="11" t="inlineStr">
        <is>
          <t>Award / current spend / contract driver</t>
        </is>
      </c>
      <c r="C17" s="11" t="inlineStr">
        <is>
          <t>Rows 1471–1484</t>
        </is>
      </c>
      <c r="D17" s="12" t="inlineStr">
        <is>
          <t>Detailed source schedule supporting rates, current spend or contract components</t>
        </is>
      </c>
    </row>
    <row r="18" ht="130.5" customHeight="1">
      <c r="A18" s="10" t="inlineStr">
        <is>
          <t>NT Jacana Contract Drivers</t>
        </is>
      </c>
      <c r="B18" s="11" t="inlineStr">
        <is>
          <t>Award / current spend / contract driver</t>
        </is>
      </c>
      <c r="C18" s="11" t="inlineStr">
        <is>
          <t>Rows 1487–1489</t>
        </is>
      </c>
      <c r="D18" s="12" t="inlineStr">
        <is>
          <t>Detailed source schedule supporting rates, current spend or contract components</t>
        </is>
      </c>
    </row>
    <row r="19" ht="130.5" customHeight="1">
      <c r="A19" s="10" t="inlineStr">
        <is>
          <t>NT Current Spend</t>
        </is>
      </c>
      <c r="B19" s="11" t="inlineStr">
        <is>
          <t>Award / current spend / contract driver</t>
        </is>
      </c>
      <c r="C19" s="11" t="inlineStr">
        <is>
          <t>Rows 1492–1494</t>
        </is>
      </c>
      <c r="D19" s="12" t="inlineStr">
        <is>
          <t>Detailed source schedule supporting rates, current spend or contract components</t>
        </is>
      </c>
    </row>
    <row r="20" ht="130.5" customHeight="1">
      <c r="A20" s="10" t="inlineStr">
        <is>
          <t>NZ NTOU Elec Current Spend</t>
        </is>
      </c>
      <c r="B20" s="11" t="inlineStr">
        <is>
          <t>Award / current spend / contract driver</t>
        </is>
      </c>
      <c r="C20" s="11" t="inlineStr">
        <is>
          <t>Rows 1497–1661</t>
        </is>
      </c>
      <c r="D20" s="12" t="inlineStr">
        <is>
          <t>Detailed source schedule supporting rates, current spend or contract components</t>
        </is>
      </c>
    </row>
    <row r="21" ht="130.5" customHeight="1">
      <c r="A21" s="10" t="inlineStr">
        <is>
          <t>NZ TOU Elec Current Spend</t>
        </is>
      </c>
      <c r="B21" s="11" t="inlineStr">
        <is>
          <t>Award / current spend / contract driver</t>
        </is>
      </c>
      <c r="C21" s="11" t="inlineStr">
        <is>
          <t>Rows 1664–1686</t>
        </is>
      </c>
      <c r="D21" s="12" t="inlineStr">
        <is>
          <t>Detailed source schedule supporting rates, current spend or contract components</t>
        </is>
      </c>
    </row>
    <row r="22" ht="130.5" customHeight="1">
      <c r="A22" s="10" t="inlineStr">
        <is>
          <t>NZ NTOU Gas Current Spend</t>
        </is>
      </c>
      <c r="B22" s="11" t="inlineStr">
        <is>
          <t>Award / current spend / contract driver</t>
        </is>
      </c>
      <c r="C22" s="11" t="inlineStr">
        <is>
          <t>Rows 1689–1702</t>
        </is>
      </c>
      <c r="D22" s="12" t="inlineStr">
        <is>
          <t>Detailed source schedule supporting rates, current spend or contract components</t>
        </is>
      </c>
    </row>
    <row r="23" ht="130.5" customHeight="1">
      <c r="A23" s="10" t="inlineStr">
        <is>
          <t>NZ TOU Gas Current Spend</t>
        </is>
      </c>
      <c r="B23" s="11" t="inlineStr">
        <is>
          <t>Award / current spend / contract driver</t>
        </is>
      </c>
      <c r="C23" s="11" t="inlineStr">
        <is>
          <t>Rows 1705–1714</t>
        </is>
      </c>
      <c r="D23" s="12" t="inlineStr">
        <is>
          <t>Detailed source schedule supporting rates, current spend or contract components</t>
        </is>
      </c>
    </row>
    <row r="24" ht="130.5" customHeight="1">
      <c r="A24" s="10" t="inlineStr">
        <is>
          <t>WA Current Spend</t>
        </is>
      </c>
      <c r="B24" s="11" t="inlineStr">
        <is>
          <t>Award / current spend / contract driver</t>
        </is>
      </c>
      <c r="C24" s="11" t="inlineStr">
        <is>
          <t>Rows 1717–1725</t>
        </is>
      </c>
      <c r="D24" s="12" t="inlineStr">
        <is>
          <t>Detailed source schedule supporting rates, current spend or contract components</t>
        </is>
      </c>
    </row>
    <row r="25" ht="130.5" customHeight="1">
      <c r="A25" s="10" t="inlineStr">
        <is>
          <t>TAS Current Spend</t>
        </is>
      </c>
      <c r="B25" s="11" t="inlineStr">
        <is>
          <t>Award / current spend / contract driver</t>
        </is>
      </c>
      <c r="C25" s="11" t="inlineStr">
        <is>
          <t>Rows 1728–1732</t>
        </is>
      </c>
      <c r="D25" s="12" t="inlineStr">
        <is>
          <t>Detailed source schedule supporting rates, current spend or contract components</t>
        </is>
      </c>
    </row>
    <row r="26" ht="130.5" customHeight="1">
      <c r="A26" s="10" t="inlineStr">
        <is>
          <t>AU Large Current Spend</t>
        </is>
      </c>
      <c r="B26" s="11" t="inlineStr">
        <is>
          <t>Award / current spend / contract driver</t>
        </is>
      </c>
      <c r="C26" s="11" t="inlineStr">
        <is>
          <t>Rows 1735–1738</t>
        </is>
      </c>
      <c r="D26" s="12" t="inlineStr">
        <is>
          <t>Detailed source schedule supporting rates, current spend or contract components</t>
        </is>
      </c>
    </row>
    <row r="27" ht="130.5" customHeight="1">
      <c r="A27" s="10" t="inlineStr">
        <is>
          <t>Accepted NEM C&amp;I Gas Rates</t>
        </is>
      </c>
      <c r="B27" s="11" t="inlineStr">
        <is>
          <t>Award / current spend / contract driver</t>
        </is>
      </c>
      <c r="C27" s="11" t="inlineStr">
        <is>
          <t>Rows 1741–1749</t>
        </is>
      </c>
      <c r="D27" s="12" t="inlineStr">
        <is>
          <t>Detailed source schedule supporting rates, current spend or contract components</t>
        </is>
      </c>
    </row>
    <row r="28" ht="130.5" customHeight="1">
      <c r="A28" s="13" t="inlineStr">
        <is>
          <t>Sourced NEM C&amp;I Gas Agreements</t>
        </is>
      </c>
      <c r="B28" s="14" t="inlineStr">
        <is>
          <t>Award / current spend / contract driver</t>
        </is>
      </c>
      <c r="C28" s="14" t="inlineStr">
        <is>
          <t>Rows 1752–1761</t>
        </is>
      </c>
      <c r="D28" s="15" t="inlineStr">
        <is>
          <t>Detailed source schedule supporting rates, current spend or contract components</t>
        </is>
      </c>
    </row>
    <row r="31" ht="30.75" customHeight="1">
      <c r="A31" s="38" t="inlineStr">
        <is>
          <t>Active Contracted Electricity Rate Schedule – formula-driven component model</t>
        </is>
      </c>
      <c r="B31" s="38" t="n"/>
      <c r="C31" s="38" t="n"/>
      <c r="D31" s="38" t="n"/>
      <c r="E31" s="38" t="n"/>
      <c r="F31" s="38" t="n"/>
      <c r="G31" s="38" t="n"/>
      <c r="H31" s="38" t="n"/>
      <c r="I31" s="38" t="n"/>
      <c r="J31" s="38" t="n"/>
      <c r="K31" s="38" t="n"/>
      <c r="L31" s="38" t="n"/>
      <c r="M31" s="38" t="n"/>
      <c r="N31" s="38" t="n"/>
      <c r="O31" s="38" t="n"/>
      <c r="P31" s="38" t="n"/>
      <c r="Q31" s="38" t="n"/>
      <c r="R31" s="38" t="n"/>
      <c r="S31" s="38" t="n"/>
      <c r="T31" s="38" t="n"/>
      <c r="U31" s="38" t="n"/>
      <c r="V31" s="38" t="n"/>
      <c r="W31" s="38" t="n"/>
      <c r="X31" s="38" t="n"/>
      <c r="Y31" s="38" t="n"/>
      <c r="Z31" s="38" t="n"/>
      <c r="AA31" s="38" t="n"/>
      <c r="AB31" s="38" t="n"/>
      <c r="AC31" s="38" t="n"/>
      <c r="AD31" s="38" t="n"/>
      <c r="AE31" s="38" t="n"/>
      <c r="AF31" s="38" t="n"/>
      <c r="AG31" s="38" t="n"/>
      <c r="AH31" s="38" t="n"/>
      <c r="AI31" s="38" t="n"/>
      <c r="AJ31" s="38" t="n"/>
      <c r="AK31" s="38" t="n"/>
      <c r="AL31" s="38" t="n"/>
      <c r="AM31" s="38" t="n"/>
      <c r="AN31" s="38" t="n"/>
      <c r="AO31" s="38" t="n"/>
      <c r="AP31" s="38" t="n"/>
      <c r="AQ31" s="38" t="n"/>
      <c r="AR31" s="38" t="n"/>
    </row>
    <row r="32" ht="87" customHeight="1">
      <c r="A32" s="39" t="inlineStr">
        <is>
          <t>Connection ID</t>
        </is>
      </c>
      <c r="B32" s="40" t="inlineStr">
        <is>
          <t>Site Name</t>
        </is>
      </c>
      <c r="C32" s="40" t="inlineStr">
        <is>
          <t>State</t>
        </is>
      </c>
      <c r="D32" s="40" t="inlineStr">
        <is>
          <t>Contracted Retailer</t>
        </is>
      </c>
      <c r="E32" s="40" t="inlineStr">
        <is>
          <t>Annual kWh</t>
        </is>
      </c>
      <c r="F32" s="40" t="inlineStr">
        <is>
          <t>Peak kWh</t>
        </is>
      </c>
      <c r="G32" s="40" t="inlineStr">
        <is>
          <t>Shoulder kWh</t>
        </is>
      </c>
      <c r="H32" s="40" t="inlineStr">
        <is>
          <t>Off Peak kWh</t>
        </is>
      </c>
      <c r="I32" s="40" t="inlineStr">
        <is>
          <t>FY27 Peak c/kWh</t>
        </is>
      </c>
      <c r="J32" s="40" t="inlineStr">
        <is>
          <t>FY27 Shoulder c/kWh</t>
        </is>
      </c>
      <c r="K32" s="40" t="inlineStr">
        <is>
          <t>FY27 Off Peak c/kWh</t>
        </is>
      </c>
      <c r="L32" s="40" t="inlineStr">
        <is>
          <t>FY27 LGC c/kWh</t>
        </is>
      </c>
      <c r="M32" s="40" t="inlineStr">
        <is>
          <t>FY27 STC c/kWh</t>
        </is>
      </c>
      <c r="N32" s="40" t="inlineStr">
        <is>
          <t>FY27 VEEC c/kWh</t>
        </is>
      </c>
      <c r="O32" s="40" t="inlineStr">
        <is>
          <t>FY27 ESC c/kWh</t>
        </is>
      </c>
      <c r="P32" s="40" t="inlineStr">
        <is>
          <t>FY27 EEIS c/kWh</t>
        </is>
      </c>
      <c r="Q32" s="40" t="inlineStr">
        <is>
          <t>FY27 REPS c/kWh</t>
        </is>
      </c>
      <c r="R32" s="40" t="inlineStr">
        <is>
          <t>FY27 Metering $/yr</t>
        </is>
      </c>
      <c r="S32" s="40" t="inlineStr">
        <is>
          <t>FY27 Annual Forecast (contracted components)</t>
        </is>
      </c>
      <c r="T32" s="40" t="inlineStr">
        <is>
          <t>FY28 Peak c/kWh</t>
        </is>
      </c>
      <c r="U32" s="40" t="inlineStr">
        <is>
          <t>FY28 Shoulder c/kWh</t>
        </is>
      </c>
      <c r="V32" s="40" t="inlineStr">
        <is>
          <t>FY28 Off Peak c/kWh</t>
        </is>
      </c>
      <c r="W32" s="40" t="inlineStr">
        <is>
          <t>FY28 LGC c/kWh</t>
        </is>
      </c>
      <c r="X32" s="40" t="inlineStr">
        <is>
          <t>FY28 STC c/kWh</t>
        </is>
      </c>
      <c r="Y32" s="40" t="inlineStr">
        <is>
          <t>FY28 VEEC c/kWh</t>
        </is>
      </c>
      <c r="Z32" s="40" t="inlineStr">
        <is>
          <t>FY28 ESC c/kWh</t>
        </is>
      </c>
      <c r="AA32" s="40" t="inlineStr">
        <is>
          <t>FY28 EEIS c/kWh</t>
        </is>
      </c>
      <c r="AB32" s="40" t="inlineStr">
        <is>
          <t>FY28 REPS c/kWh</t>
        </is>
      </c>
      <c r="AC32" s="40" t="inlineStr">
        <is>
          <t>FY28 Metering $/yr</t>
        </is>
      </c>
      <c r="AD32" s="40" t="inlineStr">
        <is>
          <t>FY28 Annual Forecast (contracted components)</t>
        </is>
      </c>
      <c r="AE32" s="40" t="inlineStr">
        <is>
          <t>Network pass-through $/yr</t>
        </is>
      </c>
      <c r="AF32" s="40" t="inlineStr">
        <is>
          <t>Regulatory pass-through $/yr</t>
        </is>
      </c>
      <c r="AG32" s="40" t="inlineStr">
        <is>
          <t>Service &amp; other pass-through $/yr</t>
        </is>
      </c>
      <c r="AH32" s="40" t="inlineStr">
        <is>
          <t>FY27 renewable product $/yr</t>
        </is>
      </c>
      <c r="AI32" s="40" t="inlineStr">
        <is>
          <t>FY28 renewable product $/yr</t>
        </is>
      </c>
      <c r="AJ32" s="40" t="inlineStr">
        <is>
          <t>Pass-through Source</t>
        </is>
      </c>
      <c r="AK32" s="40" t="inlineStr">
        <is>
          <t>Rate Source</t>
        </is>
      </c>
      <c r="AL32" s="40" t="inlineStr">
        <is>
          <t>Notes</t>
        </is>
      </c>
      <c r="AM32" s="40" t="inlineStr">
        <is>
          <t>FY27 Contracted Annual Forecast (source link)</t>
        </is>
      </c>
      <c r="AN32" s="40" t="inlineStr">
        <is>
          <t>FY27 Network / Regulatory / Service / Renewable Pass-through</t>
        </is>
      </c>
      <c r="AO32" s="40" t="inlineStr">
        <is>
          <t>FY27 Linked All-in Annual Input</t>
        </is>
      </c>
      <c r="AP32" s="40" t="inlineStr">
        <is>
          <t>FY28 Contracted Annual Forecast (source link)</t>
        </is>
      </c>
      <c r="AQ32" s="40" t="inlineStr">
        <is>
          <t>FY28 Network / Regulatory / Service / Renewable Pass-through</t>
        </is>
      </c>
      <c r="AR32" s="41" t="inlineStr">
        <is>
          <t>FY28 Linked All-in Annual Input</t>
        </is>
      </c>
    </row>
    <row r="33">
      <c r="A33" s="2" t="inlineStr">
        <is>
          <t>3116382269</t>
        </is>
      </c>
      <c r="B33" s="8" t="inlineStr">
        <is>
          <t>Southbank Tafe PPP</t>
        </is>
      </c>
      <c r="C33" s="8" t="inlineStr">
        <is>
          <t>QLD</t>
        </is>
      </c>
      <c r="D33" s="8" t="inlineStr">
        <is>
          <t>Engie, 24mth</t>
        </is>
      </c>
      <c r="E33" s="95" t="n">
        <v>8005232.9</v>
      </c>
      <c r="F33" s="95" t="n">
        <v>4082668.779</v>
      </c>
      <c r="G33" s="95" t="n">
        <v>0</v>
      </c>
      <c r="H33" s="95" t="n">
        <v>3922564.121</v>
      </c>
      <c r="I33" s="111" t="n">
        <v>7.048</v>
      </c>
      <c r="J33" s="111" t="n">
        <v>0</v>
      </c>
      <c r="K33" s="111" t="n">
        <v>7.733</v>
      </c>
      <c r="L33" s="111" t="n">
        <v>0.395</v>
      </c>
      <c r="M33" s="111" t="n">
        <v>4.0495</v>
      </c>
      <c r="N33" s="111" t="n">
        <v>0</v>
      </c>
      <c r="O33" s="111" t="n">
        <v>0</v>
      </c>
      <c r="P33" s="111" t="n">
        <v>0</v>
      </c>
      <c r="Q33" s="111" t="n">
        <v>0</v>
      </c>
      <c r="R33" s="112" t="n">
        <v>1606</v>
      </c>
      <c r="S33" s="97" t="n">
        <v>660604.1084584937</v>
      </c>
      <c r="T33" s="111" t="n">
        <v>5.95</v>
      </c>
      <c r="U33" s="111" t="n">
        <v>0</v>
      </c>
      <c r="V33" s="111" t="n">
        <v>9.128</v>
      </c>
      <c r="W33" s="111" t="n">
        <v>0.375</v>
      </c>
      <c r="X33" s="111" t="n">
        <v>4.092000000000001</v>
      </c>
      <c r="Y33" s="111" t="n">
        <v>0</v>
      </c>
      <c r="Z33" s="111" t="n">
        <v>0</v>
      </c>
      <c r="AA33" s="111" t="n">
        <v>0</v>
      </c>
      <c r="AB33" s="111" t="n">
        <v>0</v>
      </c>
      <c r="AC33" s="112" t="n">
        <v>550</v>
      </c>
      <c r="AD33" s="112" t="n">
        <v>670939.487365643</v>
      </c>
      <c r="AE33" s="20" t="n">
        <v>370949.71</v>
      </c>
      <c r="AF33" s="20" t="n">
        <v>4044.89</v>
      </c>
      <c r="AG33" s="20" t="n"/>
      <c r="AH33" s="20" t="n">
        <v>26311.73918604426</v>
      </c>
      <c r="AI33" s="20" t="n">
        <v>24987.18286282388</v>
      </c>
      <c r="AJ33" s="8" t="inlineStr">
        <is>
          <t>Site Level Budgets.xlsx</t>
        </is>
      </c>
      <c r="AK33" s="8" t="inlineStr">
        <is>
          <t>Electricity Contracting Rates Schedule.xlsx</t>
        </is>
      </c>
      <c r="AL33" s="8" t="inlineStr">
        <is>
          <t>Contracted energy/certificate/metering schedule plus non-negotiable network, regulatory, service and renewable components from the tender all-in budget.</t>
        </is>
      </c>
      <c r="AM33" s="97">
        <f>S33</f>
        <v/>
      </c>
      <c r="AN33" s="97">
        <f>SUM(AE33:AH33)</f>
        <v/>
      </c>
      <c r="AO33" s="97">
        <f>AM33+AN33</f>
        <v/>
      </c>
      <c r="AP33" s="97">
        <f>AD33</f>
        <v/>
      </c>
      <c r="AQ33" s="97">
        <f>SUM(AE33:AG33)+AI33</f>
        <v/>
      </c>
      <c r="AR33" s="107">
        <f>AP33+AQ33</f>
        <v/>
      </c>
    </row>
    <row r="34">
      <c r="A34" s="2" t="inlineStr">
        <is>
          <t>QGGG000010</t>
        </is>
      </c>
      <c r="B34" s="8" t="inlineStr">
        <is>
          <t>Rail - Maryborough</t>
        </is>
      </c>
      <c r="C34" s="8" t="inlineStr">
        <is>
          <t>QLD</t>
        </is>
      </c>
      <c r="D34" s="8" t="inlineStr">
        <is>
          <t>Engie, 24mth</t>
        </is>
      </c>
      <c r="E34" s="95" t="n">
        <v>3994276.89999999</v>
      </c>
      <c r="F34" s="95" t="n">
        <v>2037081.218999995</v>
      </c>
      <c r="G34" s="95" t="n">
        <v>0</v>
      </c>
      <c r="H34" s="95" t="n">
        <v>1957195.680999995</v>
      </c>
      <c r="I34" s="111" t="n">
        <v>7.048</v>
      </c>
      <c r="J34" s="111" t="n">
        <v>0</v>
      </c>
      <c r="K34" s="111" t="n">
        <v>7.733</v>
      </c>
      <c r="L34" s="111" t="n">
        <v>0.395</v>
      </c>
      <c r="M34" s="111" t="n">
        <v>4.0495</v>
      </c>
      <c r="N34" s="111" t="n">
        <v>0</v>
      </c>
      <c r="O34" s="111" t="n">
        <v>0</v>
      </c>
      <c r="P34" s="111" t="n">
        <v>0</v>
      </c>
      <c r="Q34" s="111" t="n">
        <v>0</v>
      </c>
      <c r="R34" s="112" t="n">
        <v>1606</v>
      </c>
      <c r="S34" s="97" t="n">
        <v>323741.3687212672</v>
      </c>
      <c r="T34" s="111" t="n">
        <v>5.95</v>
      </c>
      <c r="U34" s="111" t="n">
        <v>0</v>
      </c>
      <c r="V34" s="111" t="n">
        <v>9.128</v>
      </c>
      <c r="W34" s="111" t="n">
        <v>0.375</v>
      </c>
      <c r="X34" s="111" t="n">
        <v>4.092000000000001</v>
      </c>
      <c r="Y34" s="111" t="n">
        <v>0</v>
      </c>
      <c r="Z34" s="111" t="n">
        <v>0</v>
      </c>
      <c r="AA34" s="111" t="n">
        <v>0</v>
      </c>
      <c r="AB34" s="111" t="n">
        <v>0</v>
      </c>
      <c r="AC34" s="112" t="n">
        <v>550</v>
      </c>
      <c r="AD34" s="112" t="n">
        <v>328797.2545497209</v>
      </c>
      <c r="AE34" s="20" t="n">
        <v>314445.98</v>
      </c>
      <c r="AF34" s="20" t="n">
        <v>576.61</v>
      </c>
      <c r="AG34" s="20" t="n"/>
      <c r="AH34" s="20" t="n">
        <v>12867.37281078563</v>
      </c>
      <c r="AI34" s="20" t="n">
        <v>12219.61783346356</v>
      </c>
      <c r="AJ34" s="8" t="inlineStr">
        <is>
          <t>Site Level Budgets.xlsx</t>
        </is>
      </c>
      <c r="AK34" s="8" t="inlineStr">
        <is>
          <t>Electricity Contracting Rates Schedule.xlsx</t>
        </is>
      </c>
      <c r="AL34" s="8" t="inlineStr">
        <is>
          <t>Contracted energy/certificate/metering schedule plus non-negotiable network, regulatory, service and renewable components from the tender all-in budget.</t>
        </is>
      </c>
      <c r="AM34" s="97">
        <f>S34</f>
        <v/>
      </c>
      <c r="AN34" s="97">
        <f>SUM(AE34:AH34)</f>
        <v/>
      </c>
      <c r="AO34" s="97">
        <f>AM34+AN34</f>
        <v/>
      </c>
      <c r="AP34" s="97">
        <f>AD34</f>
        <v/>
      </c>
      <c r="AQ34" s="97">
        <f>SUM(AE34:AG34)+AI34</f>
        <v/>
      </c>
      <c r="AR34" s="107">
        <f>AP34+AQ34</f>
        <v/>
      </c>
    </row>
    <row r="35">
      <c r="A35" s="2" t="inlineStr">
        <is>
          <t>3120725958</t>
        </is>
      </c>
      <c r="B35" s="8" t="inlineStr">
        <is>
          <t>New Brendale Asphalt plant</t>
        </is>
      </c>
      <c r="C35" s="8" t="inlineStr">
        <is>
          <t>QLD</t>
        </is>
      </c>
      <c r="D35" s="8" t="inlineStr">
        <is>
          <t>Engie, 24mth</t>
        </is>
      </c>
      <c r="E35" s="95" t="n">
        <v>1047801.85</v>
      </c>
      <c r="F35" s="95" t="n">
        <v>534378.9435000001</v>
      </c>
      <c r="G35" s="95" t="n">
        <v>0</v>
      </c>
      <c r="H35" s="95" t="n">
        <v>513422.9064999999</v>
      </c>
      <c r="I35" s="111" t="n">
        <v>7.048</v>
      </c>
      <c r="J35" s="111" t="n">
        <v>0</v>
      </c>
      <c r="K35" s="111" t="n">
        <v>7.733</v>
      </c>
      <c r="L35" s="111" t="n">
        <v>0.395</v>
      </c>
      <c r="M35" s="111" t="n">
        <v>4.0495</v>
      </c>
      <c r="N35" s="111" t="n">
        <v>0</v>
      </c>
      <c r="O35" s="111" t="n">
        <v>0</v>
      </c>
      <c r="P35" s="111" t="n">
        <v>0</v>
      </c>
      <c r="Q35" s="111" t="n">
        <v>0</v>
      </c>
      <c r="R35" s="112" t="n">
        <v>1606</v>
      </c>
      <c r="S35" s="97" t="n">
        <v>89049.21345945902</v>
      </c>
      <c r="T35" s="111" t="n">
        <v>5.95</v>
      </c>
      <c r="U35" s="111" t="n">
        <v>0</v>
      </c>
      <c r="V35" s="111" t="n">
        <v>9.128</v>
      </c>
      <c r="W35" s="111" t="n">
        <v>0.375</v>
      </c>
      <c r="X35" s="111" t="n">
        <v>4.092000000000001</v>
      </c>
      <c r="Y35" s="111" t="n">
        <v>0</v>
      </c>
      <c r="Z35" s="111" t="n">
        <v>0</v>
      </c>
      <c r="AA35" s="111" t="n">
        <v>0</v>
      </c>
      <c r="AB35" s="111" t="n">
        <v>0</v>
      </c>
      <c r="AC35" s="112" t="n">
        <v>550</v>
      </c>
      <c r="AD35" s="112" t="n">
        <v>90434.99398806674</v>
      </c>
      <c r="AE35" s="20" t="n">
        <v>95179.60000000001</v>
      </c>
      <c r="AF35" s="20" t="n">
        <v>230.88</v>
      </c>
      <c r="AG35" s="20" t="n"/>
      <c r="AH35" s="20" t="n">
        <v>3527.932066813826</v>
      </c>
      <c r="AI35" s="20" t="n">
        <v>3350.332832724856</v>
      </c>
      <c r="AJ35" s="8" t="inlineStr">
        <is>
          <t>Site Level Budgets.xlsx</t>
        </is>
      </c>
      <c r="AK35" s="8" t="inlineStr">
        <is>
          <t>Electricity Contracting Rates Schedule.xlsx</t>
        </is>
      </c>
      <c r="AL35" s="8" t="inlineStr">
        <is>
          <t>Contracted energy/certificate/metering schedule plus non-negotiable network, regulatory, service and renewable components from the tender all-in budget.</t>
        </is>
      </c>
      <c r="AM35" s="97">
        <f>S35</f>
        <v/>
      </c>
      <c r="AN35" s="97">
        <f>SUM(AE35:AH35)</f>
        <v/>
      </c>
      <c r="AO35" s="97">
        <f>AM35+AN35</f>
        <v/>
      </c>
      <c r="AP35" s="97">
        <f>AD35</f>
        <v/>
      </c>
      <c r="AQ35" s="97">
        <f>SUM(AE35:AG35)+AI35</f>
        <v/>
      </c>
      <c r="AR35" s="107">
        <f>AP35+AQ35</f>
        <v/>
      </c>
    </row>
    <row r="36">
      <c r="A36" s="2" t="inlineStr">
        <is>
          <t>QB05383854</t>
        </is>
      </c>
      <c r="B36" s="8" t="inlineStr">
        <is>
          <t>Roads - Archerfield</t>
        </is>
      </c>
      <c r="C36" s="8" t="inlineStr">
        <is>
          <t>QLD</t>
        </is>
      </c>
      <c r="D36" s="8" t="inlineStr">
        <is>
          <t>Engie, 24mth</t>
        </is>
      </c>
      <c r="E36" s="95" t="n">
        <v>876582.28</v>
      </c>
      <c r="F36" s="95" t="n">
        <v>447056.9628</v>
      </c>
      <c r="G36" s="95" t="n">
        <v>0</v>
      </c>
      <c r="H36" s="95" t="n">
        <v>429525.3172</v>
      </c>
      <c r="I36" s="111" t="n">
        <v>7.048</v>
      </c>
      <c r="J36" s="111" t="n">
        <v>0</v>
      </c>
      <c r="K36" s="111" t="n">
        <v>7.733</v>
      </c>
      <c r="L36" s="111" t="n">
        <v>0.395</v>
      </c>
      <c r="M36" s="111" t="n">
        <v>4.0495</v>
      </c>
      <c r="N36" s="111" t="n">
        <v>0</v>
      </c>
      <c r="O36" s="111" t="n">
        <v>0</v>
      </c>
      <c r="P36" s="111" t="n">
        <v>0</v>
      </c>
      <c r="Q36" s="111" t="n">
        <v>0</v>
      </c>
      <c r="R36" s="112" t="n">
        <v>1606</v>
      </c>
      <c r="S36" s="97" t="n">
        <v>74567.43397906073</v>
      </c>
      <c r="T36" s="111" t="n">
        <v>5.95</v>
      </c>
      <c r="U36" s="111" t="n">
        <v>0</v>
      </c>
      <c r="V36" s="111" t="n">
        <v>9.128</v>
      </c>
      <c r="W36" s="111" t="n">
        <v>0.375</v>
      </c>
      <c r="X36" s="111" t="n">
        <v>4.092000000000001</v>
      </c>
      <c r="Y36" s="111" t="n">
        <v>0</v>
      </c>
      <c r="Z36" s="111" t="n">
        <v>0</v>
      </c>
      <c r="AA36" s="111" t="n">
        <v>0</v>
      </c>
      <c r="AB36" s="111" t="n">
        <v>0</v>
      </c>
      <c r="AC36" s="112" t="n">
        <v>550</v>
      </c>
      <c r="AD36" s="112" t="n">
        <v>75726.42718295897</v>
      </c>
      <c r="AE36" s="20" t="n">
        <v>91974.58</v>
      </c>
      <c r="AF36" s="20" t="n">
        <v>439.78</v>
      </c>
      <c r="AG36" s="20" t="n"/>
      <c r="AH36" s="20" t="n">
        <v>2950.557224203329</v>
      </c>
      <c r="AI36" s="20" t="n">
        <v>2802.023552570744</v>
      </c>
      <c r="AJ36" s="8" t="inlineStr">
        <is>
          <t>Site Level Budgets.xlsx</t>
        </is>
      </c>
      <c r="AK36" s="8" t="inlineStr">
        <is>
          <t>Electricity Contracting Rates Schedule.xlsx</t>
        </is>
      </c>
      <c r="AL36" s="8" t="inlineStr">
        <is>
          <t>Contracted energy/certificate/metering schedule plus non-negotiable network, regulatory, service and renewable components from the tender all-in budget.</t>
        </is>
      </c>
      <c r="AM36" s="97">
        <f>S36</f>
        <v/>
      </c>
      <c r="AN36" s="97">
        <f>SUM(AE36:AH36)</f>
        <v/>
      </c>
      <c r="AO36" s="97">
        <f>AM36+AN36</f>
        <v/>
      </c>
      <c r="AP36" s="97">
        <f>AD36</f>
        <v/>
      </c>
      <c r="AQ36" s="97">
        <f>SUM(AE36:AG36)+AI36</f>
        <v/>
      </c>
      <c r="AR36" s="107">
        <f>AP36+AQ36</f>
        <v/>
      </c>
    </row>
    <row r="37">
      <c r="A37" s="2" t="inlineStr">
        <is>
          <t>QB06081428</t>
        </is>
      </c>
      <c r="B37" s="8" t="inlineStr">
        <is>
          <t>Mineral Tech - Carrara</t>
        </is>
      </c>
      <c r="C37" s="8" t="inlineStr">
        <is>
          <t>QLD</t>
        </is>
      </c>
      <c r="D37" s="8" t="inlineStr">
        <is>
          <t>Engie, 24mth</t>
        </is>
      </c>
      <c r="E37" s="95" t="n">
        <v>1044289.84</v>
      </c>
      <c r="F37" s="95" t="n">
        <v>532587.8184</v>
      </c>
      <c r="G37" s="95" t="n">
        <v>0</v>
      </c>
      <c r="H37" s="95" t="n">
        <v>511702.0216</v>
      </c>
      <c r="I37" s="111" t="n">
        <v>7.048</v>
      </c>
      <c r="J37" s="111" t="n">
        <v>0</v>
      </c>
      <c r="K37" s="111" t="n">
        <v>7.733</v>
      </c>
      <c r="L37" s="111" t="n">
        <v>0.395</v>
      </c>
      <c r="M37" s="111" t="n">
        <v>4.0495</v>
      </c>
      <c r="N37" s="111" t="n">
        <v>0</v>
      </c>
      <c r="O37" s="111" t="n">
        <v>0</v>
      </c>
      <c r="P37" s="111" t="n">
        <v>0</v>
      </c>
      <c r="Q37" s="111" t="n">
        <v>0</v>
      </c>
      <c r="R37" s="112" t="n">
        <v>1606</v>
      </c>
      <c r="S37" s="97" t="n">
        <v>89316.0138731179</v>
      </c>
      <c r="T37" s="111" t="n">
        <v>5.95</v>
      </c>
      <c r="U37" s="111" t="n">
        <v>0</v>
      </c>
      <c r="V37" s="111" t="n">
        <v>9.128</v>
      </c>
      <c r="W37" s="111" t="n">
        <v>0.375</v>
      </c>
      <c r="X37" s="111" t="n">
        <v>4.092000000000001</v>
      </c>
      <c r="Y37" s="111" t="n">
        <v>0</v>
      </c>
      <c r="Z37" s="111" t="n">
        <v>0</v>
      </c>
      <c r="AA37" s="111" t="n">
        <v>0</v>
      </c>
      <c r="AB37" s="111" t="n">
        <v>0</v>
      </c>
      <c r="AC37" s="112" t="n">
        <v>550</v>
      </c>
      <c r="AD37" s="112" t="n">
        <v>90706.57892958399</v>
      </c>
      <c r="AE37" s="20" t="n">
        <v>70022.52</v>
      </c>
      <c r="AF37" s="20" t="n">
        <v>779.989999999999</v>
      </c>
      <c r="AG37" s="20" t="n"/>
      <c r="AH37" s="20" t="n">
        <v>3540.60479685009</v>
      </c>
      <c r="AI37" s="20" t="n">
        <v>3362.367606273967</v>
      </c>
      <c r="AJ37" s="8" t="inlineStr">
        <is>
          <t>Site Level Budgets.xlsx</t>
        </is>
      </c>
      <c r="AK37" s="8" t="inlineStr">
        <is>
          <t>Electricity Contracting Rates Schedule.xlsx</t>
        </is>
      </c>
      <c r="AL37" s="8" t="inlineStr">
        <is>
          <t>Contracted energy/certificate/metering schedule plus non-negotiable network, regulatory, service and renewable components from the tender all-in budget.</t>
        </is>
      </c>
      <c r="AM37" s="97">
        <f>S37</f>
        <v/>
      </c>
      <c r="AN37" s="97">
        <f>SUM(AE37:AH37)</f>
        <v/>
      </c>
      <c r="AO37" s="97">
        <f>AM37+AN37</f>
        <v/>
      </c>
      <c r="AP37" s="97">
        <f>AD37</f>
        <v/>
      </c>
      <c r="AQ37" s="97">
        <f>SUM(AE37:AG37)+AI37</f>
        <v/>
      </c>
      <c r="AR37" s="107">
        <f>AP37+AQ37</f>
        <v/>
      </c>
    </row>
    <row r="38">
      <c r="A38" s="2" t="inlineStr">
        <is>
          <t>3120103988</t>
        </is>
      </c>
      <c r="B38" s="8" t="inlineStr">
        <is>
          <t>Roads - Bli Bli</t>
        </is>
      </c>
      <c r="C38" s="8" t="inlineStr">
        <is>
          <t>QLD</t>
        </is>
      </c>
      <c r="D38" s="8" t="inlineStr">
        <is>
          <t>Engie, 24mth</t>
        </is>
      </c>
      <c r="E38" s="95" t="n">
        <v>747633.8</v>
      </c>
      <c r="F38" s="95" t="n">
        <v>381293.238</v>
      </c>
      <c r="G38" s="95" t="n">
        <v>0</v>
      </c>
      <c r="H38" s="95" t="n">
        <v>366340.562</v>
      </c>
      <c r="I38" s="111" t="n">
        <v>7.048</v>
      </c>
      <c r="J38" s="111" t="n">
        <v>0</v>
      </c>
      <c r="K38" s="111" t="n">
        <v>7.733</v>
      </c>
      <c r="L38" s="111" t="n">
        <v>0.395</v>
      </c>
      <c r="M38" s="111" t="n">
        <v>4.0495</v>
      </c>
      <c r="N38" s="111" t="n">
        <v>0</v>
      </c>
      <c r="O38" s="111" t="n">
        <v>0</v>
      </c>
      <c r="P38" s="111" t="n">
        <v>0</v>
      </c>
      <c r="Q38" s="111" t="n">
        <v>0</v>
      </c>
      <c r="R38" s="112" t="n">
        <v>1606</v>
      </c>
      <c r="S38" s="97" t="n">
        <v>64771.73968427875</v>
      </c>
      <c r="T38" s="111" t="n">
        <v>5.95</v>
      </c>
      <c r="U38" s="111" t="n">
        <v>0</v>
      </c>
      <c r="V38" s="111" t="n">
        <v>9.128</v>
      </c>
      <c r="W38" s="111" t="n">
        <v>0.375</v>
      </c>
      <c r="X38" s="111" t="n">
        <v>4.092000000000001</v>
      </c>
      <c r="Y38" s="111" t="n">
        <v>0</v>
      </c>
      <c r="Z38" s="111" t="n">
        <v>0</v>
      </c>
      <c r="AA38" s="111" t="n">
        <v>0</v>
      </c>
      <c r="AB38" s="111" t="n">
        <v>0</v>
      </c>
      <c r="AC38" s="112" t="n">
        <v>550</v>
      </c>
      <c r="AD38" s="112" t="n">
        <v>65777.97396412439</v>
      </c>
      <c r="AE38" s="20" t="n">
        <v>86293.98</v>
      </c>
      <c r="AF38" s="20" t="n">
        <v>364.75</v>
      </c>
      <c r="AG38" s="20" t="n"/>
      <c r="AH38" s="20" t="n">
        <v>2562.172231825596</v>
      </c>
      <c r="AI38" s="20" t="n">
        <v>2433.19020570988</v>
      </c>
      <c r="AJ38" s="8" t="inlineStr">
        <is>
          <t>Site Level Budgets.xlsx</t>
        </is>
      </c>
      <c r="AK38" s="8" t="inlineStr">
        <is>
          <t>Electricity Contracting Rates Schedule.xlsx</t>
        </is>
      </c>
      <c r="AL38" s="8" t="inlineStr">
        <is>
          <t>Contracted energy/certificate/metering schedule plus non-negotiable network, regulatory, service and renewable components from the tender all-in budget.</t>
        </is>
      </c>
      <c r="AM38" s="97">
        <f>S38</f>
        <v/>
      </c>
      <c r="AN38" s="97">
        <f>SUM(AE38:AH38)</f>
        <v/>
      </c>
      <c r="AO38" s="97">
        <f>AM38+AN38</f>
        <v/>
      </c>
      <c r="AP38" s="97">
        <f>AD38</f>
        <v/>
      </c>
      <c r="AQ38" s="97">
        <f>SUM(AE38:AG38)+AI38</f>
        <v/>
      </c>
      <c r="AR38" s="107">
        <f>AP38+AQ38</f>
        <v/>
      </c>
    </row>
    <row r="39">
      <c r="A39" s="2" t="inlineStr">
        <is>
          <t>3120014382</t>
        </is>
      </c>
      <c r="B39" s="8" t="inlineStr">
        <is>
          <t>RPQ SPRAYSEAL</t>
        </is>
      </c>
      <c r="C39" s="8" t="inlineStr">
        <is>
          <t>QLD</t>
        </is>
      </c>
      <c r="D39" s="8" t="inlineStr">
        <is>
          <t>Engie, 24mth</t>
        </is>
      </c>
      <c r="E39" s="95" t="n">
        <v>344623.504</v>
      </c>
      <c r="F39" s="95" t="n">
        <v>175757.98704</v>
      </c>
      <c r="G39" s="95" t="n">
        <v>0</v>
      </c>
      <c r="H39" s="95" t="n">
        <v>168865.51696</v>
      </c>
      <c r="I39" s="111" t="n">
        <v>7.048</v>
      </c>
      <c r="J39" s="111" t="n">
        <v>0</v>
      </c>
      <c r="K39" s="111" t="n">
        <v>7.733</v>
      </c>
      <c r="L39" s="111" t="n">
        <v>0.395</v>
      </c>
      <c r="M39" s="111" t="n">
        <v>4.0495</v>
      </c>
      <c r="N39" s="111" t="n">
        <v>0</v>
      </c>
      <c r="O39" s="111" t="n">
        <v>0</v>
      </c>
      <c r="P39" s="111" t="n">
        <v>0</v>
      </c>
      <c r="Q39" s="111" t="n">
        <v>0</v>
      </c>
      <c r="R39" s="112" t="n">
        <v>1606</v>
      </c>
      <c r="S39" s="97" t="n">
        <v>29893.41429769197</v>
      </c>
      <c r="T39" s="111" t="n">
        <v>5.95</v>
      </c>
      <c r="U39" s="111" t="n">
        <v>0</v>
      </c>
      <c r="V39" s="111" t="n">
        <v>9.128</v>
      </c>
      <c r="W39" s="111" t="n">
        <v>0.375</v>
      </c>
      <c r="X39" s="111" t="n">
        <v>4.092000000000001</v>
      </c>
      <c r="Y39" s="111" t="n">
        <v>0</v>
      </c>
      <c r="Z39" s="111" t="n">
        <v>0</v>
      </c>
      <c r="AA39" s="111" t="n">
        <v>0</v>
      </c>
      <c r="AB39" s="111" t="n">
        <v>0</v>
      </c>
      <c r="AC39" s="112" t="n">
        <v>550</v>
      </c>
      <c r="AD39" s="112" t="n">
        <v>30352.89332114384</v>
      </c>
      <c r="AE39" s="20" t="n">
        <v>24114.81</v>
      </c>
      <c r="AF39" s="20" t="n">
        <v>153.63</v>
      </c>
      <c r="AG39" s="20" t="n"/>
      <c r="AH39" s="20" t="n">
        <v>1169.745675740423</v>
      </c>
      <c r="AI39" s="20" t="n">
        <v>1110.859639344035</v>
      </c>
      <c r="AJ39" s="8" t="inlineStr">
        <is>
          <t>Site Level Budgets.xlsx</t>
        </is>
      </c>
      <c r="AK39" s="8" t="inlineStr">
        <is>
          <t>Electricity Contracting Rates Schedule.xlsx</t>
        </is>
      </c>
      <c r="AL39" s="8" t="inlineStr">
        <is>
          <t>Contracted energy/certificate/metering schedule plus non-negotiable network, regulatory, service and renewable components from the tender all-in budget.</t>
        </is>
      </c>
      <c r="AM39" s="97">
        <f>S39</f>
        <v/>
      </c>
      <c r="AN39" s="97">
        <f>SUM(AE39:AH39)</f>
        <v/>
      </c>
      <c r="AO39" s="97">
        <f>AM39+AN39</f>
        <v/>
      </c>
      <c r="AP39" s="97">
        <f>AD39</f>
        <v/>
      </c>
      <c r="AQ39" s="97">
        <f>SUM(AE39:AG39)+AI39</f>
        <v/>
      </c>
      <c r="AR39" s="107">
        <f>AP39+AQ39</f>
        <v/>
      </c>
    </row>
    <row r="40">
      <c r="A40" s="2" t="inlineStr">
        <is>
          <t>QGGG000320</t>
        </is>
      </c>
      <c r="B40" s="8" t="inlineStr">
        <is>
          <t>Rail - Maryborough</t>
        </is>
      </c>
      <c r="C40" s="8" t="inlineStr">
        <is>
          <t>QLD</t>
        </is>
      </c>
      <c r="D40" s="8" t="inlineStr">
        <is>
          <t>Engie, 24mth</t>
        </is>
      </c>
      <c r="E40" s="95" t="n">
        <v>165144.29</v>
      </c>
      <c r="F40" s="95" t="n">
        <v>84223.5879</v>
      </c>
      <c r="G40" s="95" t="n">
        <v>0</v>
      </c>
      <c r="H40" s="95" t="n">
        <v>80920.70210000001</v>
      </c>
      <c r="I40" s="111" t="n">
        <v>7.048</v>
      </c>
      <c r="J40" s="111" t="n">
        <v>0</v>
      </c>
      <c r="K40" s="111" t="n">
        <v>7.733</v>
      </c>
      <c r="L40" s="111" t="n">
        <v>0.395</v>
      </c>
      <c r="M40" s="111" t="n">
        <v>4.0495</v>
      </c>
      <c r="N40" s="111" t="n">
        <v>0</v>
      </c>
      <c r="O40" s="111" t="n">
        <v>0</v>
      </c>
      <c r="P40" s="111" t="n">
        <v>0</v>
      </c>
      <c r="Q40" s="111" t="n">
        <v>0</v>
      </c>
      <c r="R40" s="112" t="n">
        <v>1606</v>
      </c>
      <c r="S40" s="97" t="n">
        <v>14940.29942878884</v>
      </c>
      <c r="T40" s="111" t="n">
        <v>5.95</v>
      </c>
      <c r="U40" s="111" t="n">
        <v>0</v>
      </c>
      <c r="V40" s="111" t="n">
        <v>9.128</v>
      </c>
      <c r="W40" s="111" t="n">
        <v>0.375</v>
      </c>
      <c r="X40" s="111" t="n">
        <v>4.092000000000001</v>
      </c>
      <c r="Y40" s="111" t="n">
        <v>0</v>
      </c>
      <c r="Z40" s="111" t="n">
        <v>0</v>
      </c>
      <c r="AA40" s="111" t="n">
        <v>0</v>
      </c>
      <c r="AB40" s="111" t="n">
        <v>0</v>
      </c>
      <c r="AC40" s="112" t="n">
        <v>550</v>
      </c>
      <c r="AD40" s="112" t="n">
        <v>15165.41593247854</v>
      </c>
      <c r="AE40" s="20" t="n">
        <v>43164.53</v>
      </c>
      <c r="AF40" s="20" t="n">
        <v>51.3499999999999</v>
      </c>
      <c r="AG40" s="20" t="n"/>
      <c r="AH40" s="20" t="n">
        <v>572.9278858581007</v>
      </c>
      <c r="AI40" s="20" t="n">
        <v>544.0861871548412</v>
      </c>
      <c r="AJ40" s="8" t="inlineStr">
        <is>
          <t>Site Level Budgets.xlsx</t>
        </is>
      </c>
      <c r="AK40" s="8" t="inlineStr">
        <is>
          <t>Electricity Contracting Rates Schedule.xlsx</t>
        </is>
      </c>
      <c r="AL40" s="8" t="inlineStr">
        <is>
          <t>Contracted energy/certificate/metering schedule plus non-negotiable network, regulatory, service and renewable components from the tender all-in budget.</t>
        </is>
      </c>
      <c r="AM40" s="97">
        <f>S40</f>
        <v/>
      </c>
      <c r="AN40" s="97">
        <f>SUM(AE40:AH40)</f>
        <v/>
      </c>
      <c r="AO40" s="97">
        <f>AM40+AN40</f>
        <v/>
      </c>
      <c r="AP40" s="97">
        <f>AD40</f>
        <v/>
      </c>
      <c r="AQ40" s="97">
        <f>SUM(AE40:AG40)+AI40</f>
        <v/>
      </c>
      <c r="AR40" s="107">
        <f>AP40+AQ40</f>
        <v/>
      </c>
    </row>
    <row r="41">
      <c r="A41" s="2" t="inlineStr">
        <is>
          <t>3051770385</t>
        </is>
      </c>
      <c r="B41" s="8" t="inlineStr">
        <is>
          <t>RPQ SPRAY SEAL</t>
        </is>
      </c>
      <c r="C41" s="8" t="inlineStr">
        <is>
          <t>QLD</t>
        </is>
      </c>
      <c r="D41" s="8" t="inlineStr">
        <is>
          <t>Engie, 24mth</t>
        </is>
      </c>
      <c r="E41" s="95" t="n">
        <v>208479.476</v>
      </c>
      <c r="F41" s="95" t="n">
        <v>106324.53276</v>
      </c>
      <c r="G41" s="95" t="n">
        <v>0</v>
      </c>
      <c r="H41" s="95" t="n">
        <v>102154.94324</v>
      </c>
      <c r="I41" s="111" t="n">
        <v>7.048</v>
      </c>
      <c r="J41" s="111" t="n">
        <v>0</v>
      </c>
      <c r="K41" s="111" t="n">
        <v>7.733</v>
      </c>
      <c r="L41" s="111" t="n">
        <v>0.395</v>
      </c>
      <c r="M41" s="111" t="n">
        <v>4.0495</v>
      </c>
      <c r="N41" s="111" t="n">
        <v>0</v>
      </c>
      <c r="O41" s="111" t="n">
        <v>0</v>
      </c>
      <c r="P41" s="111" t="n">
        <v>0</v>
      </c>
      <c r="Q41" s="111" t="n">
        <v>0</v>
      </c>
      <c r="R41" s="112" t="n">
        <v>1606</v>
      </c>
      <c r="S41" s="97" t="n">
        <v>18686.17213887724</v>
      </c>
      <c r="T41" s="111" t="n">
        <v>5.95</v>
      </c>
      <c r="U41" s="111" t="n">
        <v>0</v>
      </c>
      <c r="V41" s="111" t="n">
        <v>9.128</v>
      </c>
      <c r="W41" s="111" t="n">
        <v>0.375</v>
      </c>
      <c r="X41" s="111" t="n">
        <v>4.092000000000001</v>
      </c>
      <c r="Y41" s="111" t="n">
        <v>0</v>
      </c>
      <c r="Z41" s="111" t="n">
        <v>0</v>
      </c>
      <c r="AA41" s="111" t="n">
        <v>0</v>
      </c>
      <c r="AB41" s="111" t="n">
        <v>0</v>
      </c>
      <c r="AC41" s="112" t="n">
        <v>550</v>
      </c>
      <c r="AD41" s="112" t="n">
        <v>18969.85464424589</v>
      </c>
      <c r="AE41" s="20" t="n">
        <v>30230.2199999999</v>
      </c>
      <c r="AF41" s="20" t="n">
        <v>30</v>
      </c>
      <c r="AG41" s="20" t="n"/>
      <c r="AH41" s="20" t="n">
        <v>721.9531918112573</v>
      </c>
      <c r="AI41" s="20" t="n">
        <v>685.6094268278334</v>
      </c>
      <c r="AJ41" s="8" t="inlineStr">
        <is>
          <t>Site Level Budgets.xlsx</t>
        </is>
      </c>
      <c r="AK41" s="8" t="inlineStr">
        <is>
          <t>Electricity Contracting Rates Schedule.xlsx</t>
        </is>
      </c>
      <c r="AL41" s="8" t="inlineStr">
        <is>
          <t>Contracted energy/certificate/metering schedule plus non-negotiable network, regulatory, service and renewable components from the tender all-in budget.</t>
        </is>
      </c>
      <c r="AM41" s="97">
        <f>S41</f>
        <v/>
      </c>
      <c r="AN41" s="97">
        <f>SUM(AE41:AH41)</f>
        <v/>
      </c>
      <c r="AO41" s="97">
        <f>AM41+AN41</f>
        <v/>
      </c>
      <c r="AP41" s="97">
        <f>AD41</f>
        <v/>
      </c>
      <c r="AQ41" s="97">
        <f>SUM(AE41:AG41)+AI41</f>
        <v/>
      </c>
      <c r="AR41" s="107">
        <f>AP41+AQ41</f>
        <v/>
      </c>
    </row>
    <row r="42">
      <c r="A42" s="2" t="inlineStr">
        <is>
          <t>3120129028</t>
        </is>
      </c>
      <c r="B42" s="8" t="inlineStr">
        <is>
          <t>Roads - Gympie</t>
        </is>
      </c>
      <c r="C42" s="8" t="inlineStr">
        <is>
          <t>QLD</t>
        </is>
      </c>
      <c r="D42" s="8" t="inlineStr">
        <is>
          <t>Engie, 24mth</t>
        </is>
      </c>
      <c r="E42" s="95" t="n">
        <v>207140.699999999</v>
      </c>
      <c r="F42" s="95" t="n">
        <v>105641.7569999995</v>
      </c>
      <c r="G42" s="95" t="n">
        <v>0</v>
      </c>
      <c r="H42" s="95" t="n">
        <v>101498.9429999995</v>
      </c>
      <c r="I42" s="111" t="n">
        <v>7.048</v>
      </c>
      <c r="J42" s="111" t="n">
        <v>0</v>
      </c>
      <c r="K42" s="111" t="n">
        <v>7.733</v>
      </c>
      <c r="L42" s="111" t="n">
        <v>0.395</v>
      </c>
      <c r="M42" s="111" t="n">
        <v>4.0495</v>
      </c>
      <c r="N42" s="111" t="n">
        <v>0</v>
      </c>
      <c r="O42" s="111" t="n">
        <v>0</v>
      </c>
      <c r="P42" s="111" t="n">
        <v>0</v>
      </c>
      <c r="Q42" s="111" t="n">
        <v>0</v>
      </c>
      <c r="R42" s="112" t="n">
        <v>1606</v>
      </c>
      <c r="S42" s="97" t="n">
        <v>17753.30130630612</v>
      </c>
      <c r="T42" s="111" t="n">
        <v>5.95</v>
      </c>
      <c r="U42" s="111" t="n">
        <v>0</v>
      </c>
      <c r="V42" s="111" t="n">
        <v>9.128</v>
      </c>
      <c r="W42" s="111" t="n">
        <v>0.375</v>
      </c>
      <c r="X42" s="111" t="n">
        <v>4.092000000000001</v>
      </c>
      <c r="Y42" s="111" t="n">
        <v>0</v>
      </c>
      <c r="Z42" s="111" t="n">
        <v>0</v>
      </c>
      <c r="AA42" s="111" t="n">
        <v>0</v>
      </c>
      <c r="AB42" s="111" t="n">
        <v>0</v>
      </c>
      <c r="AC42" s="112" t="n">
        <v>550</v>
      </c>
      <c r="AD42" s="112" t="n">
        <v>18022.36757714496</v>
      </c>
      <c r="AE42" s="20" t="n">
        <v>14261.59</v>
      </c>
      <c r="AF42" s="20" t="n">
        <v>123.68</v>
      </c>
      <c r="AG42" s="20" t="n"/>
      <c r="AH42" s="20" t="n">
        <v>684.7359878829471</v>
      </c>
      <c r="AI42" s="20" t="n">
        <v>650.2657700051427</v>
      </c>
      <c r="AJ42" s="8" t="inlineStr">
        <is>
          <t>Site Level Budgets.xlsx</t>
        </is>
      </c>
      <c r="AK42" s="8" t="inlineStr">
        <is>
          <t>Electricity Contracting Rates Schedule.xlsx</t>
        </is>
      </c>
      <c r="AL42" s="8" t="inlineStr">
        <is>
          <t>Contracted energy/certificate/metering schedule plus non-negotiable network, regulatory, service and renewable components from the tender all-in budget.</t>
        </is>
      </c>
      <c r="AM42" s="97">
        <f>S42</f>
        <v/>
      </c>
      <c r="AN42" s="97">
        <f>SUM(AE42:AH42)</f>
        <v/>
      </c>
      <c r="AO42" s="97">
        <f>AM42+AN42</f>
        <v/>
      </c>
      <c r="AP42" s="97">
        <f>AD42</f>
        <v/>
      </c>
      <c r="AQ42" s="97">
        <f>SUM(AE42:AG42)+AI42</f>
        <v/>
      </c>
      <c r="AR42" s="107">
        <f>AP42+AQ42</f>
        <v/>
      </c>
    </row>
    <row r="43">
      <c r="A43" s="2" t="inlineStr">
        <is>
          <t>3120143385</t>
        </is>
      </c>
      <c r="B43" s="8" t="inlineStr">
        <is>
          <t>Spotless -Sunsh Coast Hosp Car Park</t>
        </is>
      </c>
      <c r="C43" s="8" t="inlineStr">
        <is>
          <t>QLD</t>
        </is>
      </c>
      <c r="D43" s="8" t="inlineStr">
        <is>
          <t>Engie, 24mth</t>
        </is>
      </c>
      <c r="E43" s="95" t="n">
        <v>225934.4146</v>
      </c>
      <c r="F43" s="95" t="n">
        <v>115226.551446</v>
      </c>
      <c r="G43" s="95" t="n">
        <v>0</v>
      </c>
      <c r="H43" s="95" t="n">
        <v>110707.863154</v>
      </c>
      <c r="I43" s="111" t="n">
        <v>7.048</v>
      </c>
      <c r="J43" s="111" t="n">
        <v>0</v>
      </c>
      <c r="K43" s="111" t="n">
        <v>7.733</v>
      </c>
      <c r="L43" s="111" t="n">
        <v>0.395</v>
      </c>
      <c r="M43" s="111" t="n">
        <v>4.0495</v>
      </c>
      <c r="N43" s="111" t="n">
        <v>0</v>
      </c>
      <c r="O43" s="111" t="n">
        <v>0</v>
      </c>
      <c r="P43" s="111" t="n">
        <v>0</v>
      </c>
      <c r="Q43" s="111" t="n">
        <v>0</v>
      </c>
      <c r="R43" s="112" t="n">
        <v>1606</v>
      </c>
      <c r="S43" s="97" t="n">
        <v>19957.76508520764</v>
      </c>
      <c r="T43" s="111" t="n">
        <v>5.95</v>
      </c>
      <c r="U43" s="111" t="n">
        <v>0</v>
      </c>
      <c r="V43" s="111" t="n">
        <v>9.128</v>
      </c>
      <c r="W43" s="111" t="n">
        <v>0.375</v>
      </c>
      <c r="X43" s="111" t="n">
        <v>4.092000000000001</v>
      </c>
      <c r="Y43" s="111" t="n">
        <v>0</v>
      </c>
      <c r="Z43" s="111" t="n">
        <v>0</v>
      </c>
      <c r="AA43" s="111" t="n">
        <v>0</v>
      </c>
      <c r="AB43" s="111" t="n">
        <v>0</v>
      </c>
      <c r="AC43" s="112" t="n">
        <v>550</v>
      </c>
      <c r="AD43" s="112" t="n">
        <v>20261.84838503621</v>
      </c>
      <c r="AE43" s="20" t="n">
        <v>12016.7</v>
      </c>
      <c r="AF43" s="20" t="n">
        <v>128.42</v>
      </c>
      <c r="AG43" s="20" t="n"/>
      <c r="AH43" s="20" t="n">
        <v>774.2866672184853</v>
      </c>
      <c r="AI43" s="20" t="n">
        <v>735.3083885954798</v>
      </c>
      <c r="AJ43" s="8" t="inlineStr">
        <is>
          <t>Site Level Budgets.xlsx</t>
        </is>
      </c>
      <c r="AK43" s="8" t="inlineStr">
        <is>
          <t>Electricity Contracting Rates Schedule.xlsx</t>
        </is>
      </c>
      <c r="AL43" s="8" t="inlineStr">
        <is>
          <t>Contracted energy/certificate/metering schedule plus non-negotiable network, regulatory, service and renewable components from the tender all-in budget.</t>
        </is>
      </c>
      <c r="AM43" s="97">
        <f>S43</f>
        <v/>
      </c>
      <c r="AN43" s="97">
        <f>SUM(AE43:AH43)</f>
        <v/>
      </c>
      <c r="AO43" s="97">
        <f>AM43+AN43</f>
        <v/>
      </c>
      <c r="AP43" s="97">
        <f>AD43</f>
        <v/>
      </c>
      <c r="AQ43" s="97">
        <f>SUM(AE43:AG43)+AI43</f>
        <v/>
      </c>
      <c r="AR43" s="107">
        <f>AP43+AQ43</f>
        <v/>
      </c>
    </row>
    <row r="44">
      <c r="A44" s="2" t="inlineStr">
        <is>
          <t>3117134943</t>
        </is>
      </c>
      <c r="B44" s="8" t="inlineStr">
        <is>
          <t>Corporate Office - Brisbane</t>
        </is>
      </c>
      <c r="C44" s="8" t="inlineStr">
        <is>
          <t>QLD</t>
        </is>
      </c>
      <c r="D44" s="8" t="inlineStr">
        <is>
          <t>Engie, 24mth</t>
        </is>
      </c>
      <c r="E44" s="95" t="n">
        <v>189990.46</v>
      </c>
      <c r="F44" s="95" t="n">
        <v>96895.13459999999</v>
      </c>
      <c r="G44" s="95" t="n">
        <v>0</v>
      </c>
      <c r="H44" s="95" t="n">
        <v>93095.3254</v>
      </c>
      <c r="I44" s="111" t="n">
        <v>7.048</v>
      </c>
      <c r="J44" s="111" t="n">
        <v>0</v>
      </c>
      <c r="K44" s="111" t="n">
        <v>7.733</v>
      </c>
      <c r="L44" s="111" t="n">
        <v>0.395</v>
      </c>
      <c r="M44" s="111" t="n">
        <v>4.0495</v>
      </c>
      <c r="N44" s="111" t="n">
        <v>0</v>
      </c>
      <c r="O44" s="111" t="n">
        <v>0</v>
      </c>
      <c r="P44" s="111" t="n">
        <v>0</v>
      </c>
      <c r="Q44" s="111" t="n">
        <v>0</v>
      </c>
      <c r="R44" s="112" t="n">
        <v>1606</v>
      </c>
      <c r="S44" s="97" t="n">
        <v>16680.40278122403</v>
      </c>
      <c r="T44" s="111" t="n">
        <v>5.95</v>
      </c>
      <c r="U44" s="111" t="n">
        <v>0</v>
      </c>
      <c r="V44" s="111" t="n">
        <v>9.128</v>
      </c>
      <c r="W44" s="111" t="n">
        <v>0.375</v>
      </c>
      <c r="X44" s="111" t="n">
        <v>4.092000000000001</v>
      </c>
      <c r="Y44" s="111" t="n">
        <v>0</v>
      </c>
      <c r="Z44" s="111" t="n">
        <v>0</v>
      </c>
      <c r="AA44" s="111" t="n">
        <v>0</v>
      </c>
      <c r="AB44" s="111" t="n">
        <v>0</v>
      </c>
      <c r="AC44" s="112" t="n">
        <v>550</v>
      </c>
      <c r="AD44" s="112" t="n">
        <v>16933.07342806145</v>
      </c>
      <c r="AE44" s="20" t="n">
        <v>15464.48</v>
      </c>
      <c r="AF44" s="20" t="n">
        <v>191.72</v>
      </c>
      <c r="AG44" s="20" t="n"/>
      <c r="AH44" s="20" t="n">
        <v>643.3240427903002</v>
      </c>
      <c r="AI44" s="20" t="n">
        <v>610.9385390144968</v>
      </c>
      <c r="AJ44" s="8" t="inlineStr">
        <is>
          <t>Site Level Budgets.xlsx</t>
        </is>
      </c>
      <c r="AK44" s="8" t="inlineStr">
        <is>
          <t>Electricity Contracting Rates Schedule.xlsx</t>
        </is>
      </c>
      <c r="AL44" s="8" t="inlineStr">
        <is>
          <t>Contracted energy/certificate/metering schedule plus non-negotiable network, regulatory, service and renewable components from the tender all-in budget.</t>
        </is>
      </c>
      <c r="AM44" s="97">
        <f>S44</f>
        <v/>
      </c>
      <c r="AN44" s="97">
        <f>SUM(AE44:AH44)</f>
        <v/>
      </c>
      <c r="AO44" s="97">
        <f>AM44+AN44</f>
        <v/>
      </c>
      <c r="AP44" s="97">
        <f>AD44</f>
        <v/>
      </c>
      <c r="AQ44" s="97">
        <f>SUM(AE44:AG44)+AI44</f>
        <v/>
      </c>
      <c r="AR44" s="107">
        <f>AP44+AQ44</f>
        <v/>
      </c>
    </row>
    <row r="45">
      <c r="A45" s="2" t="inlineStr">
        <is>
          <t>3120070486</t>
        </is>
      </c>
      <c r="B45" s="8" t="inlineStr">
        <is>
          <t>RPQ SPRAYSEAL</t>
        </is>
      </c>
      <c r="C45" s="8" t="inlineStr">
        <is>
          <t>QLD</t>
        </is>
      </c>
      <c r="D45" s="8" t="inlineStr">
        <is>
          <t>Engie, 24mth</t>
        </is>
      </c>
      <c r="E45" s="95" t="n">
        <v>260263.44</v>
      </c>
      <c r="F45" s="95" t="n">
        <v>132734.3544</v>
      </c>
      <c r="G45" s="95" t="n">
        <v>0</v>
      </c>
      <c r="H45" s="95" t="n">
        <v>127529.0856</v>
      </c>
      <c r="I45" s="111" t="n">
        <v>7.048</v>
      </c>
      <c r="J45" s="111" t="n">
        <v>0</v>
      </c>
      <c r="K45" s="111" t="n">
        <v>7.733</v>
      </c>
      <c r="L45" s="111" t="n">
        <v>0.395</v>
      </c>
      <c r="M45" s="111" t="n">
        <v>4.0495</v>
      </c>
      <c r="N45" s="111" t="n">
        <v>0</v>
      </c>
      <c r="O45" s="111" t="n">
        <v>0</v>
      </c>
      <c r="P45" s="111" t="n">
        <v>0</v>
      </c>
      <c r="Q45" s="111" t="n">
        <v>0</v>
      </c>
      <c r="R45" s="112" t="n">
        <v>1606</v>
      </c>
      <c r="S45" s="97" t="n">
        <v>22516.26629027536</v>
      </c>
      <c r="T45" s="111" t="n">
        <v>5.95</v>
      </c>
      <c r="U45" s="111" t="n">
        <v>0</v>
      </c>
      <c r="V45" s="111" t="n">
        <v>9.128</v>
      </c>
      <c r="W45" s="111" t="n">
        <v>0.375</v>
      </c>
      <c r="X45" s="111" t="n">
        <v>4.092000000000001</v>
      </c>
      <c r="Y45" s="111" t="n">
        <v>0</v>
      </c>
      <c r="Z45" s="111" t="n">
        <v>0</v>
      </c>
      <c r="AA45" s="111" t="n">
        <v>0</v>
      </c>
      <c r="AB45" s="111" t="n">
        <v>0</v>
      </c>
      <c r="AC45" s="112" t="n">
        <v>550</v>
      </c>
      <c r="AD45" s="112" t="n">
        <v>22860.2116586733</v>
      </c>
      <c r="AE45" s="20" t="n">
        <v>17345.88</v>
      </c>
      <c r="AF45" s="20" t="n">
        <v>167.75</v>
      </c>
      <c r="AG45" s="20" t="n"/>
      <c r="AH45" s="20" t="n">
        <v>875.6050761479274</v>
      </c>
      <c r="AI45" s="20" t="n">
        <v>831.5263388187449</v>
      </c>
      <c r="AJ45" s="8" t="inlineStr">
        <is>
          <t>Site Level Budgets.xlsx</t>
        </is>
      </c>
      <c r="AK45" s="8" t="inlineStr">
        <is>
          <t>Electricity Contracting Rates Schedule.xlsx</t>
        </is>
      </c>
      <c r="AL45" s="8" t="inlineStr">
        <is>
          <t>Contracted energy/certificate/metering schedule plus non-negotiable network, regulatory, service and renewable components from the tender all-in budget.</t>
        </is>
      </c>
      <c r="AM45" s="97">
        <f>S45</f>
        <v/>
      </c>
      <c r="AN45" s="97">
        <f>SUM(AE45:AH45)</f>
        <v/>
      </c>
      <c r="AO45" s="97">
        <f>AM45+AN45</f>
        <v/>
      </c>
      <c r="AP45" s="97">
        <f>AD45</f>
        <v/>
      </c>
      <c r="AQ45" s="97">
        <f>SUM(AE45:AG45)+AI45</f>
        <v/>
      </c>
      <c r="AR45" s="107">
        <f>AP45+AQ45</f>
        <v/>
      </c>
    </row>
    <row r="46">
      <c r="A46" s="2" t="inlineStr">
        <is>
          <t>3053253239</t>
        </is>
      </c>
      <c r="B46" s="8" t="inlineStr">
        <is>
          <t>Torbanlea</t>
        </is>
      </c>
      <c r="C46" s="8" t="inlineStr">
        <is>
          <t>QLD</t>
        </is>
      </c>
      <c r="D46" s="8" t="inlineStr">
        <is>
          <t>Engie, 24mth</t>
        </is>
      </c>
      <c r="E46" s="95" t="n">
        <v>6208798</v>
      </c>
      <c r="F46" s="95" t="n">
        <v>3104399</v>
      </c>
      <c r="G46" s="95" t="n">
        <v>0</v>
      </c>
      <c r="H46" s="95" t="n">
        <v>3104399</v>
      </c>
      <c r="I46" s="111" t="n">
        <v>7.048</v>
      </c>
      <c r="J46" s="111" t="n">
        <v>0</v>
      </c>
      <c r="K46" s="111" t="n">
        <v>7.733</v>
      </c>
      <c r="L46" s="111" t="n">
        <v>0.395</v>
      </c>
      <c r="M46" s="111" t="n">
        <v>4.0495</v>
      </c>
      <c r="N46" s="111" t="n">
        <v>0</v>
      </c>
      <c r="O46" s="111" t="n">
        <v>0</v>
      </c>
      <c r="P46" s="111" t="n">
        <v>0</v>
      </c>
      <c r="Q46" s="111" t="n">
        <v>0</v>
      </c>
      <c r="R46" s="112" t="n">
        <v>1606</v>
      </c>
      <c r="S46" s="97" t="n">
        <v>542030.1971032671</v>
      </c>
      <c r="T46" s="111" t="n">
        <v>5.95</v>
      </c>
      <c r="U46" s="111" t="n">
        <v>0</v>
      </c>
      <c r="V46" s="111" t="n">
        <v>9.128</v>
      </c>
      <c r="W46" s="111" t="n">
        <v>0.375</v>
      </c>
      <c r="X46" s="111" t="n">
        <v>4.092000000000001</v>
      </c>
      <c r="Y46" s="111" t="n">
        <v>0</v>
      </c>
      <c r="Z46" s="111" t="n">
        <v>0</v>
      </c>
      <c r="AA46" s="111" t="n">
        <v>0</v>
      </c>
      <c r="AB46" s="111" t="n">
        <v>0</v>
      </c>
      <c r="AC46" s="112" t="n">
        <v>550</v>
      </c>
      <c r="AD46" s="112" t="n">
        <v>552166.3997202871</v>
      </c>
      <c r="AE46" s="20" t="n">
        <v>540629.72806</v>
      </c>
      <c r="AF46" s="20" t="n">
        <v>5631.379786</v>
      </c>
      <c r="AG46" s="20" t="n"/>
      <c r="AH46" s="20" t="n">
        <v>21539.9122298446</v>
      </c>
      <c r="AI46" s="20" t="n">
        <v>20455.57391439089</v>
      </c>
      <c r="AJ46" s="8" t="inlineStr">
        <is>
          <t>Site Level Budgets.xlsx</t>
        </is>
      </c>
      <c r="AK46" s="8" t="inlineStr">
        <is>
          <t>Electricity Contracting Rates Schedule.xlsx</t>
        </is>
      </c>
      <c r="AL46" s="8" t="inlineStr">
        <is>
          <t>Contracted energy/certificate/metering schedule plus non-negotiable network, regulatory, service and renewable components from the tender all-in budget.</t>
        </is>
      </c>
      <c r="AM46" s="97">
        <f>S46</f>
        <v/>
      </c>
      <c r="AN46" s="97">
        <f>SUM(AE46:AH46)</f>
        <v/>
      </c>
      <c r="AO46" s="97">
        <f>AM46+AN46</f>
        <v/>
      </c>
      <c r="AP46" s="97">
        <f>AD46</f>
        <v/>
      </c>
      <c r="AQ46" s="97">
        <f>SUM(AE46:AG46)+AI46</f>
        <v/>
      </c>
      <c r="AR46" s="107">
        <f>AP46+AQ46</f>
        <v/>
      </c>
    </row>
    <row r="47">
      <c r="A47" s="2" t="inlineStr">
        <is>
          <t>QB06082220</t>
        </is>
      </c>
      <c r="B47" s="8" t="inlineStr">
        <is>
          <t>Mineral Tech - Carrara</t>
        </is>
      </c>
      <c r="C47" s="8" t="inlineStr">
        <is>
          <t>QLD</t>
        </is>
      </c>
      <c r="D47" s="8" t="inlineStr">
        <is>
          <t>Engie, 24mth</t>
        </is>
      </c>
      <c r="E47" s="95" t="n">
        <v>80526.60000000001</v>
      </c>
      <c r="F47" s="95" t="n">
        <v>41068.56600000001</v>
      </c>
      <c r="G47" s="95" t="n">
        <v>0</v>
      </c>
      <c r="H47" s="95" t="n">
        <v>39458.034</v>
      </c>
      <c r="I47" s="111" t="n">
        <v>7.048</v>
      </c>
      <c r="J47" s="111" t="n">
        <v>0</v>
      </c>
      <c r="K47" s="111" t="n">
        <v>7.733</v>
      </c>
      <c r="L47" s="111" t="n">
        <v>0.395</v>
      </c>
      <c r="M47" s="111" t="n">
        <v>4.0495</v>
      </c>
      <c r="N47" s="111" t="n">
        <v>0</v>
      </c>
      <c r="O47" s="111" t="n">
        <v>0</v>
      </c>
      <c r="P47" s="111" t="n">
        <v>0</v>
      </c>
      <c r="Q47" s="111" t="n">
        <v>0</v>
      </c>
      <c r="R47" s="112" t="n">
        <v>1606</v>
      </c>
      <c r="S47" s="97" t="n">
        <v>7394.867218812562</v>
      </c>
      <c r="T47" s="111" t="n">
        <v>5.95</v>
      </c>
      <c r="U47" s="111" t="n">
        <v>0</v>
      </c>
      <c r="V47" s="111" t="n">
        <v>9.128</v>
      </c>
      <c r="W47" s="111" t="n">
        <v>0.375</v>
      </c>
      <c r="X47" s="111" t="n">
        <v>4.092000000000001</v>
      </c>
      <c r="Y47" s="111" t="n">
        <v>0</v>
      </c>
      <c r="Z47" s="111" t="n">
        <v>0</v>
      </c>
      <c r="AA47" s="111" t="n">
        <v>0</v>
      </c>
      <c r="AB47" s="111" t="n">
        <v>0</v>
      </c>
      <c r="AC47" s="112" t="n">
        <v>550</v>
      </c>
      <c r="AD47" s="112" t="n">
        <v>7502.095568440118</v>
      </c>
      <c r="AE47" s="20" t="n">
        <v>6528.06</v>
      </c>
      <c r="AF47" s="20" t="n">
        <v>53.4199999999999</v>
      </c>
      <c r="AG47" s="20" t="n"/>
      <c r="AH47" s="20" t="n">
        <v>273.0208178928835</v>
      </c>
      <c r="AI47" s="20" t="n">
        <v>259.2767073970396</v>
      </c>
      <c r="AJ47" s="8" t="inlineStr">
        <is>
          <t>Site Level Budgets.xlsx</t>
        </is>
      </c>
      <c r="AK47" s="8" t="inlineStr">
        <is>
          <t>Electricity Contracting Rates Schedule.xlsx</t>
        </is>
      </c>
      <c r="AL47" s="8" t="inlineStr">
        <is>
          <t>Contracted energy/certificate/metering schedule plus non-negotiable network, regulatory, service and renewable components from the tender all-in budget.</t>
        </is>
      </c>
      <c r="AM47" s="97">
        <f>S47</f>
        <v/>
      </c>
      <c r="AN47" s="97">
        <f>SUM(AE47:AH47)</f>
        <v/>
      </c>
      <c r="AO47" s="97">
        <f>AM47+AN47</f>
        <v/>
      </c>
      <c r="AP47" s="97">
        <f>AD47</f>
        <v/>
      </c>
      <c r="AQ47" s="97">
        <f>SUM(AE47:AG47)+AI47</f>
        <v/>
      </c>
      <c r="AR47" s="107">
        <f>AP47+AQ47</f>
        <v/>
      </c>
    </row>
    <row r="48">
      <c r="A48" s="2" t="inlineStr">
        <is>
          <t>3030075637</t>
        </is>
      </c>
      <c r="B48" s="8" t="inlineStr">
        <is>
          <t>Office - Spotless Cairns</t>
        </is>
      </c>
      <c r="C48" s="8" t="inlineStr">
        <is>
          <t>QLD</t>
        </is>
      </c>
      <c r="D48" s="8" t="inlineStr">
        <is>
          <t>Engie, 24mth</t>
        </is>
      </c>
      <c r="E48" s="95" t="n">
        <v>66273.91</v>
      </c>
      <c r="F48" s="95" t="n">
        <v>33799.6941</v>
      </c>
      <c r="G48" s="95" t="n">
        <v>0</v>
      </c>
      <c r="H48" s="95" t="n">
        <v>32474.2159</v>
      </c>
      <c r="I48" s="111" t="n">
        <v>7.048</v>
      </c>
      <c r="J48" s="111" t="n">
        <v>0</v>
      </c>
      <c r="K48" s="111" t="n">
        <v>7.733</v>
      </c>
      <c r="L48" s="111" t="n">
        <v>0.395</v>
      </c>
      <c r="M48" s="111" t="n">
        <v>4.0495</v>
      </c>
      <c r="N48" s="111" t="n">
        <v>0</v>
      </c>
      <c r="O48" s="111" t="n">
        <v>0</v>
      </c>
      <c r="P48" s="111" t="n">
        <v>0</v>
      </c>
      <c r="Q48" s="111" t="n">
        <v>0</v>
      </c>
      <c r="R48" s="112" t="n">
        <v>1606</v>
      </c>
      <c r="S48" s="97" t="n">
        <v>6359.692018440055</v>
      </c>
      <c r="T48" s="111" t="n">
        <v>5.95</v>
      </c>
      <c r="U48" s="111" t="n">
        <v>0</v>
      </c>
      <c r="V48" s="111" t="n">
        <v>9.128</v>
      </c>
      <c r="W48" s="111" t="n">
        <v>0.375</v>
      </c>
      <c r="X48" s="111" t="n">
        <v>4.092000000000001</v>
      </c>
      <c r="Y48" s="111" t="n">
        <v>0</v>
      </c>
      <c r="Z48" s="111" t="n">
        <v>0</v>
      </c>
      <c r="AA48" s="111" t="n">
        <v>0</v>
      </c>
      <c r="AB48" s="111" t="n">
        <v>0</v>
      </c>
      <c r="AC48" s="112" t="n">
        <v>550</v>
      </c>
      <c r="AD48" s="112" t="n">
        <v>6450.61461322366</v>
      </c>
      <c r="AE48" s="20" t="n">
        <v>5970.99</v>
      </c>
      <c r="AF48" s="20" t="n">
        <v>33.83</v>
      </c>
      <c r="AG48" s="20" t="n"/>
      <c r="AH48" s="20" t="n">
        <v>231.4313804912325</v>
      </c>
      <c r="AI48" s="20" t="n">
        <v>219.7809192178904</v>
      </c>
      <c r="AJ48" s="8" t="inlineStr">
        <is>
          <t>Site Level Budgets.xlsx</t>
        </is>
      </c>
      <c r="AK48" s="8" t="inlineStr">
        <is>
          <t>Electricity Contracting Rates Schedule.xlsx</t>
        </is>
      </c>
      <c r="AL48" s="8" t="inlineStr">
        <is>
          <t>Contracted energy/certificate/metering schedule plus non-negotiable network, regulatory, service and renewable components from the tender all-in budget.</t>
        </is>
      </c>
      <c r="AM48" s="97">
        <f>S48</f>
        <v/>
      </c>
      <c r="AN48" s="97">
        <f>SUM(AE48:AH48)</f>
        <v/>
      </c>
      <c r="AO48" s="97">
        <f>AM48+AN48</f>
        <v/>
      </c>
      <c r="AP48" s="97">
        <f>AD48</f>
        <v/>
      </c>
      <c r="AQ48" s="97">
        <f>SUM(AE48:AG48)+AI48</f>
        <v/>
      </c>
      <c r="AR48" s="107">
        <f>AP48+AQ48</f>
        <v/>
      </c>
    </row>
    <row r="49">
      <c r="A49" s="2" t="inlineStr">
        <is>
          <t>3116600011</t>
        </is>
      </c>
      <c r="B49" s="8" t="inlineStr">
        <is>
          <t>Engineering - Archerfield</t>
        </is>
      </c>
      <c r="C49" s="8" t="inlineStr">
        <is>
          <t>QLD</t>
        </is>
      </c>
      <c r="D49" s="8" t="inlineStr">
        <is>
          <t>Engie, 24mth</t>
        </is>
      </c>
      <c r="E49" s="95" t="n">
        <v>49553.7</v>
      </c>
      <c r="F49" s="95" t="n">
        <v>25272.387</v>
      </c>
      <c r="G49" s="95" t="n">
        <v>0</v>
      </c>
      <c r="H49" s="95" t="n">
        <v>24281.313</v>
      </c>
      <c r="I49" s="111" t="n">
        <v>7.048</v>
      </c>
      <c r="J49" s="111" t="n">
        <v>0</v>
      </c>
      <c r="K49" s="111" t="n">
        <v>7.733</v>
      </c>
      <c r="L49" s="111" t="n">
        <v>0.395</v>
      </c>
      <c r="M49" s="111" t="n">
        <v>4.0495</v>
      </c>
      <c r="N49" s="111" t="n">
        <v>0</v>
      </c>
      <c r="O49" s="111" t="n">
        <v>0</v>
      </c>
      <c r="P49" s="111" t="n">
        <v>0</v>
      </c>
      <c r="Q49" s="111" t="n">
        <v>0</v>
      </c>
      <c r="R49" s="112" t="n">
        <v>1606</v>
      </c>
      <c r="S49" s="97" t="n">
        <v>4770.150652364543</v>
      </c>
      <c r="T49" s="111" t="n">
        <v>5.95</v>
      </c>
      <c r="U49" s="111" t="n">
        <v>0</v>
      </c>
      <c r="V49" s="111" t="n">
        <v>9.128</v>
      </c>
      <c r="W49" s="111" t="n">
        <v>0.375</v>
      </c>
      <c r="X49" s="111" t="n">
        <v>4.092000000000001</v>
      </c>
      <c r="Y49" s="111" t="n">
        <v>0</v>
      </c>
      <c r="Z49" s="111" t="n">
        <v>0</v>
      </c>
      <c r="AA49" s="111" t="n">
        <v>0</v>
      </c>
      <c r="AB49" s="111" t="n">
        <v>0</v>
      </c>
      <c r="AC49" s="112" t="n">
        <v>550</v>
      </c>
      <c r="AD49" s="112" t="n">
        <v>4836.270056248444</v>
      </c>
      <c r="AE49" s="20" t="n">
        <v>3736.13</v>
      </c>
      <c r="AF49" s="20" t="n">
        <v>44.27</v>
      </c>
      <c r="AG49" s="20" t="n"/>
      <c r="AH49" s="20" t="n">
        <v>168.3577158131792</v>
      </c>
      <c r="AI49" s="20" t="n">
        <v>159.8824388477718</v>
      </c>
      <c r="AJ49" s="8" t="inlineStr">
        <is>
          <t>Site Level Budgets.xlsx</t>
        </is>
      </c>
      <c r="AK49" s="8" t="inlineStr">
        <is>
          <t>Electricity Contracting Rates Schedule.xlsx</t>
        </is>
      </c>
      <c r="AL49" s="8" t="inlineStr">
        <is>
          <t>Contracted energy/certificate/metering schedule plus non-negotiable network, regulatory, service and renewable components from the tender all-in budget.</t>
        </is>
      </c>
      <c r="AM49" s="97">
        <f>S49</f>
        <v/>
      </c>
      <c r="AN49" s="97">
        <f>SUM(AE49:AH49)</f>
        <v/>
      </c>
      <c r="AO49" s="97">
        <f>AM49+AN49</f>
        <v/>
      </c>
      <c r="AP49" s="97">
        <f>AD49</f>
        <v/>
      </c>
      <c r="AQ49" s="97">
        <f>SUM(AE49:AG49)+AI49</f>
        <v/>
      </c>
      <c r="AR49" s="107">
        <f>AP49+AQ49</f>
        <v/>
      </c>
    </row>
    <row r="50">
      <c r="A50" s="2" t="inlineStr">
        <is>
          <t>2002254877</t>
        </is>
      </c>
      <c r="B50" s="8" t="inlineStr">
        <is>
          <t>Roads Ashalt Pant Wingfield</t>
        </is>
      </c>
      <c r="C50" s="8" t="inlineStr">
        <is>
          <t>SA</t>
        </is>
      </c>
      <c r="D50" s="8" t="inlineStr">
        <is>
          <t>Engie, 24mth</t>
        </is>
      </c>
      <c r="E50" s="95" t="n">
        <v>1255064.06</v>
      </c>
      <c r="F50" s="95" t="n">
        <v>527011.64</v>
      </c>
      <c r="G50" s="95" t="n">
        <v>0</v>
      </c>
      <c r="H50" s="95" t="n">
        <v>728052.4199999999</v>
      </c>
      <c r="I50" s="111" t="n">
        <v>9.409000000000001</v>
      </c>
      <c r="J50" s="111" t="n">
        <v>0</v>
      </c>
      <c r="K50" s="111" t="n">
        <v>8.053000000000001</v>
      </c>
      <c r="L50" s="111" t="n">
        <v>0.395</v>
      </c>
      <c r="M50" s="111" t="n">
        <v>4.0495</v>
      </c>
      <c r="N50" s="111" t="n">
        <v>0</v>
      </c>
      <c r="O50" s="111" t="n">
        <v>0</v>
      </c>
      <c r="P50" s="111" t="n">
        <v>0</v>
      </c>
      <c r="Q50" s="111" t="n">
        <v>0.222</v>
      </c>
      <c r="R50" s="112" t="n">
        <v>510.9999999999999</v>
      </c>
      <c r="S50" s="97" t="n">
        <v>130886.5637396597</v>
      </c>
      <c r="T50" s="111" t="n">
        <v>8.02</v>
      </c>
      <c r="U50" s="111" t="n">
        <v>0</v>
      </c>
      <c r="V50" s="111" t="n">
        <v>9.300000000000001</v>
      </c>
      <c r="W50" s="111" t="n">
        <v>0.375</v>
      </c>
      <c r="X50" s="111" t="n">
        <v>4.092000000000001</v>
      </c>
      <c r="Y50" s="111" t="n">
        <v>0</v>
      </c>
      <c r="Z50" s="111" t="n">
        <v>0</v>
      </c>
      <c r="AA50" s="111" t="n">
        <v>0</v>
      </c>
      <c r="AB50" s="111" t="n">
        <v>0.222</v>
      </c>
      <c r="AC50" s="112" t="n">
        <v>550</v>
      </c>
      <c r="AD50" s="112" t="n">
        <v>132840.7228679314</v>
      </c>
      <c r="AE50" s="20" t="n">
        <v>141559.818080388</v>
      </c>
      <c r="AF50" s="20" t="n">
        <v>1208.334282049783</v>
      </c>
      <c r="AG50" s="20" t="n"/>
      <c r="AH50" s="20" t="n">
        <v>4397.498452122711</v>
      </c>
      <c r="AI50" s="20" t="n">
        <v>4176.124473765536</v>
      </c>
      <c r="AJ50" s="8" t="inlineStr">
        <is>
          <t>Site Level Budgets.xlsx</t>
        </is>
      </c>
      <c r="AK50" s="8" t="inlineStr">
        <is>
          <t>Electricity Contracting Rates Schedule.xlsx</t>
        </is>
      </c>
      <c r="AL50" s="8" t="inlineStr">
        <is>
          <t>Contracted energy/certificate/metering schedule plus non-negotiable network, regulatory, service and renewable components from the tender all-in budget.</t>
        </is>
      </c>
      <c r="AM50" s="97">
        <f>S50</f>
        <v/>
      </c>
      <c r="AN50" s="97">
        <f>SUM(AE50:AH50)</f>
        <v/>
      </c>
      <c r="AO50" s="97">
        <f>AM50+AN50</f>
        <v/>
      </c>
      <c r="AP50" s="97">
        <f>AD50</f>
        <v/>
      </c>
      <c r="AQ50" s="97">
        <f>SUM(AE50:AG50)+AI50</f>
        <v/>
      </c>
      <c r="AR50" s="107">
        <f>AP50+AQ50</f>
        <v/>
      </c>
    </row>
    <row r="51">
      <c r="A51" s="2" t="inlineStr">
        <is>
          <t>SAAAAAB023</t>
        </is>
      </c>
      <c r="B51" s="8" t="inlineStr">
        <is>
          <t>Roads - Largs Bay</t>
        </is>
      </c>
      <c r="C51" s="8" t="inlineStr">
        <is>
          <t>SA</t>
        </is>
      </c>
      <c r="D51" s="8" t="inlineStr">
        <is>
          <t>Engie, 24mth</t>
        </is>
      </c>
      <c r="E51" s="95" t="n">
        <v>384392.53</v>
      </c>
      <c r="F51" s="95" t="n">
        <v>174416.39</v>
      </c>
      <c r="G51" s="95" t="n">
        <v>0</v>
      </c>
      <c r="H51" s="95" t="n">
        <v>209976.14</v>
      </c>
      <c r="I51" s="111" t="n">
        <v>9.409000000000001</v>
      </c>
      <c r="J51" s="111" t="n">
        <v>0</v>
      </c>
      <c r="K51" s="111" t="n">
        <v>8.053000000000001</v>
      </c>
      <c r="L51" s="111" t="n">
        <v>0.395</v>
      </c>
      <c r="M51" s="111" t="n">
        <v>4.0495</v>
      </c>
      <c r="N51" s="111" t="n">
        <v>0</v>
      </c>
      <c r="O51" s="111" t="n">
        <v>0</v>
      </c>
      <c r="P51" s="111" t="n">
        <v>0</v>
      </c>
      <c r="Q51" s="111" t="n">
        <v>0.222</v>
      </c>
      <c r="R51" s="112" t="n">
        <v>510.9999999999999</v>
      </c>
      <c r="S51" s="97" t="n">
        <v>40588.53013024887</v>
      </c>
      <c r="T51" s="111" t="n">
        <v>8.02</v>
      </c>
      <c r="U51" s="111" t="n">
        <v>0</v>
      </c>
      <c r="V51" s="111" t="n">
        <v>9.300000000000001</v>
      </c>
      <c r="W51" s="111" t="n">
        <v>0.375</v>
      </c>
      <c r="X51" s="111" t="n">
        <v>4.092000000000001</v>
      </c>
      <c r="Y51" s="111" t="n">
        <v>0</v>
      </c>
      <c r="Z51" s="111" t="n">
        <v>0</v>
      </c>
      <c r="AA51" s="111" t="n">
        <v>0</v>
      </c>
      <c r="AB51" s="111" t="n">
        <v>0.222</v>
      </c>
      <c r="AC51" s="112" t="n">
        <v>550</v>
      </c>
      <c r="AD51" s="112" t="n">
        <v>40812.41146471961</v>
      </c>
      <c r="AE51" s="20" t="n">
        <v>45288.71050451133</v>
      </c>
      <c r="AF51" s="20" t="n">
        <v>375.5956852775728</v>
      </c>
      <c r="AG51" s="20" t="n"/>
      <c r="AH51" s="20" t="n">
        <v>1344.14858665437</v>
      </c>
      <c r="AI51" s="20" t="n">
        <v>1276.482952801283</v>
      </c>
      <c r="AJ51" s="8" t="inlineStr">
        <is>
          <t>Site Level Budgets.xlsx</t>
        </is>
      </c>
      <c r="AK51" s="8" t="inlineStr">
        <is>
          <t>Electricity Contracting Rates Schedule.xlsx</t>
        </is>
      </c>
      <c r="AL51" s="8" t="inlineStr">
        <is>
          <t>Contracted energy/certificate/metering schedule plus non-negotiable network, regulatory, service and renewable components from the tender all-in budget.</t>
        </is>
      </c>
      <c r="AM51" s="97">
        <f>S51</f>
        <v/>
      </c>
      <c r="AN51" s="97">
        <f>SUM(AE51:AH51)</f>
        <v/>
      </c>
      <c r="AO51" s="97">
        <f>AM51+AN51</f>
        <v/>
      </c>
      <c r="AP51" s="97">
        <f>AD51</f>
        <v/>
      </c>
      <c r="AQ51" s="97">
        <f>SUM(AE51:AG51)+AI51</f>
        <v/>
      </c>
      <c r="AR51" s="107">
        <f>AP51+AQ51</f>
        <v/>
      </c>
    </row>
    <row r="52">
      <c r="A52" s="2" t="inlineStr">
        <is>
          <t>SAAAAAC481</t>
        </is>
      </c>
      <c r="B52" s="8" t="inlineStr">
        <is>
          <t>Roads - Largs Bay</t>
        </is>
      </c>
      <c r="C52" s="8" t="inlineStr">
        <is>
          <t>SA</t>
        </is>
      </c>
      <c r="D52" s="8" t="inlineStr">
        <is>
          <t>Engie, 24mth</t>
        </is>
      </c>
      <c r="E52" s="95" t="n">
        <v>154241.09</v>
      </c>
      <c r="F52" s="95" t="n">
        <v>62830.00000000002</v>
      </c>
      <c r="G52" s="95" t="n">
        <v>0</v>
      </c>
      <c r="H52" s="95" t="n">
        <v>91411.09000000001</v>
      </c>
      <c r="I52" s="111" t="n">
        <v>9.409000000000001</v>
      </c>
      <c r="J52" s="111" t="n">
        <v>0</v>
      </c>
      <c r="K52" s="111" t="n">
        <v>8.053000000000001</v>
      </c>
      <c r="L52" s="111" t="n">
        <v>0.395</v>
      </c>
      <c r="M52" s="111" t="n">
        <v>4.0495</v>
      </c>
      <c r="N52" s="111" t="n">
        <v>0</v>
      </c>
      <c r="O52" s="111" t="n">
        <v>0</v>
      </c>
      <c r="P52" s="111" t="n">
        <v>0</v>
      </c>
      <c r="Q52" s="111" t="n">
        <v>0.222</v>
      </c>
      <c r="R52" s="112" t="n">
        <v>510.9999999999999</v>
      </c>
      <c r="S52" s="97" t="n">
        <v>16510.13735529912</v>
      </c>
      <c r="T52" s="111" t="n">
        <v>8.02</v>
      </c>
      <c r="U52" s="111" t="n">
        <v>0</v>
      </c>
      <c r="V52" s="111" t="n">
        <v>9.300000000000001</v>
      </c>
      <c r="W52" s="111" t="n">
        <v>0.375</v>
      </c>
      <c r="X52" s="111" t="n">
        <v>4.092000000000001</v>
      </c>
      <c r="Y52" s="111" t="n">
        <v>0</v>
      </c>
      <c r="Z52" s="111" t="n">
        <v>0</v>
      </c>
      <c r="AA52" s="111" t="n">
        <v>0</v>
      </c>
      <c r="AB52" s="111" t="n">
        <v>0.222</v>
      </c>
      <c r="AC52" s="112" t="n">
        <v>550</v>
      </c>
      <c r="AD52" s="112" t="n">
        <v>16805.44087335162</v>
      </c>
      <c r="AE52" s="20" t="n">
        <v>18450.04579955041</v>
      </c>
      <c r="AF52" s="20" t="n">
        <v>159.4090488556041</v>
      </c>
      <c r="AG52" s="20" t="n"/>
      <c r="AH52" s="20" t="n">
        <v>539.3521646415174</v>
      </c>
      <c r="AI52" s="20" t="n">
        <v>512.2006975694571</v>
      </c>
      <c r="AJ52" s="8" t="inlineStr">
        <is>
          <t>Site Level Budgets.xlsx</t>
        </is>
      </c>
      <c r="AK52" s="8" t="inlineStr">
        <is>
          <t>Electricity Contracting Rates Schedule.xlsx</t>
        </is>
      </c>
      <c r="AL52" s="8" t="inlineStr">
        <is>
          <t>Contracted energy/certificate/metering schedule plus non-negotiable network, regulatory, service and renewable components from the tender all-in budget.</t>
        </is>
      </c>
      <c r="AM52" s="97">
        <f>S52</f>
        <v/>
      </c>
      <c r="AN52" s="97">
        <f>SUM(AE52:AH52)</f>
        <v/>
      </c>
      <c r="AO52" s="97">
        <f>AM52+AN52</f>
        <v/>
      </c>
      <c r="AP52" s="97">
        <f>AD52</f>
        <v/>
      </c>
      <c r="AQ52" s="97">
        <f>SUM(AE52:AG52)+AI52</f>
        <v/>
      </c>
      <c r="AR52" s="107">
        <f>AP52+AQ52</f>
        <v/>
      </c>
    </row>
    <row r="53">
      <c r="A53" s="2" t="inlineStr">
        <is>
          <t>2001160742</t>
        </is>
      </c>
      <c r="B53" s="8" t="inlineStr">
        <is>
          <t>Roads - Gillman</t>
        </is>
      </c>
      <c r="C53" s="8" t="inlineStr">
        <is>
          <t>SA</t>
        </is>
      </c>
      <c r="D53" s="8" t="inlineStr">
        <is>
          <t>Engie, 24mth</t>
        </is>
      </c>
      <c r="E53" s="95" t="n">
        <v>119987.46</v>
      </c>
      <c r="F53" s="95" t="n">
        <v>63678.77</v>
      </c>
      <c r="G53" s="95" t="n">
        <v>0</v>
      </c>
      <c r="H53" s="95" t="n">
        <v>56308.69000000002</v>
      </c>
      <c r="I53" s="111" t="n">
        <v>9.409000000000001</v>
      </c>
      <c r="J53" s="111" t="n">
        <v>0</v>
      </c>
      <c r="K53" s="111" t="n">
        <v>8.053000000000001</v>
      </c>
      <c r="L53" s="111" t="n">
        <v>0.395</v>
      </c>
      <c r="M53" s="111" t="n">
        <v>4.0495</v>
      </c>
      <c r="N53" s="111" t="n">
        <v>0</v>
      </c>
      <c r="O53" s="111" t="n">
        <v>0</v>
      </c>
      <c r="P53" s="111" t="n">
        <v>0</v>
      </c>
      <c r="Q53" s="111" t="n">
        <v>0.222</v>
      </c>
      <c r="R53" s="112" t="n">
        <v>510.9999999999999</v>
      </c>
      <c r="S53" s="97" t="n">
        <v>13437.69036001478</v>
      </c>
      <c r="T53" s="111" t="n">
        <v>8.02</v>
      </c>
      <c r="U53" s="111" t="n">
        <v>0</v>
      </c>
      <c r="V53" s="111" t="n">
        <v>9.300000000000001</v>
      </c>
      <c r="W53" s="111" t="n">
        <v>0.375</v>
      </c>
      <c r="X53" s="111" t="n">
        <v>4.092000000000001</v>
      </c>
      <c r="Y53" s="111" t="n">
        <v>0</v>
      </c>
      <c r="Z53" s="111" t="n">
        <v>0</v>
      </c>
      <c r="AA53" s="111" t="n">
        <v>0</v>
      </c>
      <c r="AB53" s="111" t="n">
        <v>0.222</v>
      </c>
      <c r="AC53" s="112" t="n">
        <v>550</v>
      </c>
      <c r="AD53" s="112" t="n">
        <v>13238.61994420816</v>
      </c>
      <c r="AE53" s="20" t="n">
        <v>15803.97165925185</v>
      </c>
      <c r="AF53" s="20" t="n">
        <v>125.785715800189</v>
      </c>
      <c r="AG53" s="20" t="n"/>
      <c r="AH53" s="20" t="n">
        <v>427.7757117644649</v>
      </c>
      <c r="AI53" s="20" t="n">
        <v>406.2411024430767</v>
      </c>
      <c r="AJ53" s="8" t="inlineStr">
        <is>
          <t>Site Level Budgets.xlsx</t>
        </is>
      </c>
      <c r="AK53" s="8" t="inlineStr">
        <is>
          <t>Electricity Contracting Rates Schedule.xlsx</t>
        </is>
      </c>
      <c r="AL53" s="8" t="inlineStr">
        <is>
          <t>Contracted energy/certificate/metering schedule plus non-negotiable network, regulatory, service and renewable components from the tender all-in budget.</t>
        </is>
      </c>
      <c r="AM53" s="97">
        <f>S53</f>
        <v/>
      </c>
      <c r="AN53" s="97">
        <f>SUM(AE53:AH53)</f>
        <v/>
      </c>
      <c r="AO53" s="97">
        <f>AM53+AN53</f>
        <v/>
      </c>
      <c r="AP53" s="97">
        <f>AD53</f>
        <v/>
      </c>
      <c r="AQ53" s="97">
        <f>SUM(AE53:AG53)+AI53</f>
        <v/>
      </c>
      <c r="AR53" s="107">
        <f>AP53+AQ53</f>
        <v/>
      </c>
    </row>
    <row r="54">
      <c r="A54" s="2" t="inlineStr">
        <is>
          <t>6305920528</t>
        </is>
      </c>
      <c r="B54" s="8" t="inlineStr">
        <is>
          <t>Roads - Asphalt Plant Bayswater</t>
        </is>
      </c>
      <c r="C54" s="8" t="inlineStr">
        <is>
          <t>VIC</t>
        </is>
      </c>
      <c r="D54" s="8" t="inlineStr">
        <is>
          <t>Engie, 24mth</t>
        </is>
      </c>
      <c r="E54" s="95" t="n">
        <v>800264.62</v>
      </c>
      <c r="F54" s="95" t="n">
        <v>441558.11</v>
      </c>
      <c r="G54" s="95" t="n">
        <v>0</v>
      </c>
      <c r="H54" s="95" t="n">
        <v>358706.51</v>
      </c>
      <c r="I54" s="111" t="n">
        <v>6.336</v>
      </c>
      <c r="J54" s="111" t="n">
        <v>0</v>
      </c>
      <c r="K54" s="111" t="n">
        <v>7.72</v>
      </c>
      <c r="L54" s="111" t="n">
        <v>0.395</v>
      </c>
      <c r="M54" s="111" t="n">
        <v>4.0495</v>
      </c>
      <c r="N54" s="111" t="n">
        <v>9.324</v>
      </c>
      <c r="O54" s="111" t="n">
        <v>0</v>
      </c>
      <c r="P54" s="111" t="n">
        <v>0</v>
      </c>
      <c r="Q54" s="111" t="n">
        <v>0</v>
      </c>
      <c r="R54" s="112" t="n">
        <v>510.9999999999999</v>
      </c>
      <c r="S54" s="97" t="n">
        <v>79325.52934824728</v>
      </c>
      <c r="T54" s="111" t="n">
        <v>6.11</v>
      </c>
      <c r="U54" s="111" t="n">
        <v>0</v>
      </c>
      <c r="V54" s="111" t="n">
        <v>8.250999999999999</v>
      </c>
      <c r="W54" s="111" t="n">
        <v>0.375</v>
      </c>
      <c r="X54" s="111" t="n">
        <v>4.092000000000001</v>
      </c>
      <c r="Y54" s="111" t="n">
        <v>9.324</v>
      </c>
      <c r="Z54" s="111" t="n">
        <v>0</v>
      </c>
      <c r="AA54" s="111" t="n">
        <v>0</v>
      </c>
      <c r="AB54" s="111" t="n">
        <v>0</v>
      </c>
      <c r="AC54" s="112" t="n">
        <v>550</v>
      </c>
      <c r="AD54" s="112" t="n">
        <v>80329.73909125444</v>
      </c>
      <c r="AE54" s="20" t="n">
        <v>119125.315879571</v>
      </c>
      <c r="AF54" s="20" t="n">
        <v>760.1796078499843</v>
      </c>
      <c r="AG54" s="20" t="n"/>
      <c r="AH54" s="20" t="n">
        <v>2782.549211485545</v>
      </c>
      <c r="AI54" s="20" t="n">
        <v>2642.473212453906</v>
      </c>
      <c r="AJ54" s="8" t="inlineStr">
        <is>
          <t>Site Level Budgets.xlsx</t>
        </is>
      </c>
      <c r="AK54" s="8" t="inlineStr">
        <is>
          <t>Electricity Contracting Rates Schedule.xlsx</t>
        </is>
      </c>
      <c r="AL54" s="8" t="inlineStr">
        <is>
          <t>Contracted energy/certificate/metering schedule plus non-negotiable network, regulatory, service and renewable components from the tender all-in budget.</t>
        </is>
      </c>
      <c r="AM54" s="97">
        <f>S54</f>
        <v/>
      </c>
      <c r="AN54" s="97">
        <f>SUM(AE54:AH54)</f>
        <v/>
      </c>
      <c r="AO54" s="97">
        <f>AM54+AN54</f>
        <v/>
      </c>
      <c r="AP54" s="97">
        <f>AD54</f>
        <v/>
      </c>
      <c r="AQ54" s="97">
        <f>SUM(AE54:AG54)+AI54</f>
        <v/>
      </c>
      <c r="AR54" s="107">
        <f>AP54+AQ54</f>
        <v/>
      </c>
    </row>
    <row r="55">
      <c r="A55" s="2" t="inlineStr">
        <is>
          <t>6001311036</t>
        </is>
      </c>
      <c r="B55" s="8" t="inlineStr">
        <is>
          <t>Roads - Somerton</t>
        </is>
      </c>
      <c r="C55" s="8" t="inlineStr">
        <is>
          <t>VIC</t>
        </is>
      </c>
      <c r="D55" s="8" t="inlineStr">
        <is>
          <t>Engie, 24mth</t>
        </is>
      </c>
      <c r="E55" s="95" t="n">
        <v>1016001.512</v>
      </c>
      <c r="F55" s="95" t="n">
        <v>588640.052</v>
      </c>
      <c r="G55" s="95" t="n">
        <v>0</v>
      </c>
      <c r="H55" s="95" t="n">
        <v>427361.46</v>
      </c>
      <c r="I55" s="111" t="n">
        <v>6.336</v>
      </c>
      <c r="J55" s="111" t="n">
        <v>0</v>
      </c>
      <c r="K55" s="111" t="n">
        <v>7.72</v>
      </c>
      <c r="L55" s="111" t="n">
        <v>0.395</v>
      </c>
      <c r="M55" s="111" t="n">
        <v>4.0495</v>
      </c>
      <c r="N55" s="111" t="n">
        <v>9.324</v>
      </c>
      <c r="O55" s="111" t="n">
        <v>0</v>
      </c>
      <c r="P55" s="111" t="n">
        <v>0</v>
      </c>
      <c r="Q55" s="111" t="n">
        <v>0</v>
      </c>
      <c r="R55" s="112" t="n">
        <v>510.9999999999999</v>
      </c>
      <c r="S55" s="97" t="n">
        <v>96628.45645155775</v>
      </c>
      <c r="T55" s="111" t="n">
        <v>6.11</v>
      </c>
      <c r="U55" s="111" t="n">
        <v>0</v>
      </c>
      <c r="V55" s="111" t="n">
        <v>8.250999999999999</v>
      </c>
      <c r="W55" s="111" t="n">
        <v>0.375</v>
      </c>
      <c r="X55" s="111" t="n">
        <v>4.092000000000001</v>
      </c>
      <c r="Y55" s="111" t="n">
        <v>9.324</v>
      </c>
      <c r="Z55" s="111" t="n">
        <v>0</v>
      </c>
      <c r="AA55" s="111" t="n">
        <v>0</v>
      </c>
      <c r="AB55" s="111" t="n">
        <v>0</v>
      </c>
      <c r="AC55" s="112" t="n">
        <v>550</v>
      </c>
      <c r="AD55" s="112" t="n">
        <v>97636.17739670842</v>
      </c>
      <c r="AE55" s="20" t="n">
        <v>101796.850706449</v>
      </c>
      <c r="AF55" s="20" t="n">
        <v>938.0925365865061</v>
      </c>
      <c r="AG55" s="20" t="n"/>
      <c r="AH55" s="20" t="n">
        <v>3406.529186467427</v>
      </c>
      <c r="AI55" s="20" t="n">
        <v>3235.041481216706</v>
      </c>
      <c r="AJ55" s="8" t="inlineStr">
        <is>
          <t>Site Level Budgets.xlsx</t>
        </is>
      </c>
      <c r="AK55" s="8" t="inlineStr">
        <is>
          <t>Electricity Contracting Rates Schedule.xlsx</t>
        </is>
      </c>
      <c r="AL55" s="8" t="inlineStr">
        <is>
          <t>Contracted energy/certificate/metering schedule plus non-negotiable network, regulatory, service and renewable components from the tender all-in budget.</t>
        </is>
      </c>
      <c r="AM55" s="97">
        <f>S55</f>
        <v/>
      </c>
      <c r="AN55" s="97">
        <f>SUM(AE55:AH55)</f>
        <v/>
      </c>
      <c r="AO55" s="97">
        <f>AM55+AN55</f>
        <v/>
      </c>
      <c r="AP55" s="97">
        <f>AD55</f>
        <v/>
      </c>
      <c r="AQ55" s="97">
        <f>SUM(AE55:AG55)+AI55</f>
        <v/>
      </c>
      <c r="AR55" s="107">
        <f>AP55+AQ55</f>
        <v/>
      </c>
    </row>
    <row r="56">
      <c r="A56" s="2" t="inlineStr">
        <is>
          <t>VDDD001226</t>
        </is>
      </c>
      <c r="B56" s="8" t="inlineStr">
        <is>
          <t>Roads - Somerton</t>
        </is>
      </c>
      <c r="C56" s="8" t="inlineStr">
        <is>
          <t>VIC</t>
        </is>
      </c>
      <c r="D56" s="8" t="inlineStr">
        <is>
          <t>Engie, 24mth</t>
        </is>
      </c>
      <c r="E56" s="95" t="n">
        <v>906577.55</v>
      </c>
      <c r="F56" s="95" t="n">
        <v>479973.4</v>
      </c>
      <c r="G56" s="95" t="n">
        <v>0</v>
      </c>
      <c r="H56" s="95" t="n">
        <v>426604.15</v>
      </c>
      <c r="I56" s="111" t="n">
        <v>6.336</v>
      </c>
      <c r="J56" s="111" t="n">
        <v>0</v>
      </c>
      <c r="K56" s="111" t="n">
        <v>7.72</v>
      </c>
      <c r="L56" s="111" t="n">
        <v>0.395</v>
      </c>
      <c r="M56" s="111" t="n">
        <v>4.0495</v>
      </c>
      <c r="N56" s="111" t="n">
        <v>9.324</v>
      </c>
      <c r="O56" s="111" t="n">
        <v>0</v>
      </c>
      <c r="P56" s="111" t="n">
        <v>0</v>
      </c>
      <c r="Q56" s="111" t="n">
        <v>0</v>
      </c>
      <c r="R56" s="112" t="n">
        <v>510.9999999999999</v>
      </c>
      <c r="S56" s="97" t="n">
        <v>86935.09697319506</v>
      </c>
      <c r="T56" s="111" t="n">
        <v>6.11</v>
      </c>
      <c r="U56" s="111" t="n">
        <v>0</v>
      </c>
      <c r="V56" s="111" t="n">
        <v>8.250999999999999</v>
      </c>
      <c r="W56" s="111" t="n">
        <v>0.375</v>
      </c>
      <c r="X56" s="111" t="n">
        <v>4.092000000000001</v>
      </c>
      <c r="Y56" s="111" t="n">
        <v>9.324</v>
      </c>
      <c r="Z56" s="111" t="n">
        <v>0</v>
      </c>
      <c r="AA56" s="111" t="n">
        <v>0</v>
      </c>
      <c r="AB56" s="111" t="n">
        <v>0</v>
      </c>
      <c r="AC56" s="112" t="n">
        <v>550</v>
      </c>
      <c r="AD56" s="112" t="n">
        <v>88192.19086087553</v>
      </c>
      <c r="AE56" s="20" t="n">
        <v>62424.42870771778</v>
      </c>
      <c r="AF56" s="20" t="n">
        <v>828.4615538433261</v>
      </c>
      <c r="AG56" s="20" t="n"/>
      <c r="AH56" s="20" t="n">
        <v>3039.643984182509</v>
      </c>
      <c r="AI56" s="20" t="n">
        <v>2886.62560591722</v>
      </c>
      <c r="AJ56" s="8" t="inlineStr">
        <is>
          <t>Site Level Budgets.xlsx</t>
        </is>
      </c>
      <c r="AK56" s="8" t="inlineStr">
        <is>
          <t>Electricity Contracting Rates Schedule.xlsx</t>
        </is>
      </c>
      <c r="AL56" s="8" t="inlineStr">
        <is>
          <t>Contracted energy/certificate/metering schedule plus non-negotiable network, regulatory, service and renewable components from the tender all-in budget.</t>
        </is>
      </c>
      <c r="AM56" s="97">
        <f>S56</f>
        <v/>
      </c>
      <c r="AN56" s="97">
        <f>SUM(AE56:AH56)</f>
        <v/>
      </c>
      <c r="AO56" s="97">
        <f>AM56+AN56</f>
        <v/>
      </c>
      <c r="AP56" s="97">
        <f>AD56</f>
        <v/>
      </c>
      <c r="AQ56" s="97">
        <f>SUM(AE56:AG56)+AI56</f>
        <v/>
      </c>
      <c r="AR56" s="107">
        <f>AP56+AQ56</f>
        <v/>
      </c>
    </row>
    <row r="57">
      <c r="A57" s="2" t="inlineStr">
        <is>
          <t>6204134328</t>
        </is>
      </c>
      <c r="B57" s="8" t="inlineStr">
        <is>
          <t>Roads Shepparton</t>
        </is>
      </c>
      <c r="C57" s="8" t="inlineStr">
        <is>
          <t>VIC</t>
        </is>
      </c>
      <c r="D57" s="8" t="inlineStr">
        <is>
          <t>Engie, 24mth</t>
        </is>
      </c>
      <c r="E57" s="95" t="n">
        <v>475562.1800000001</v>
      </c>
      <c r="F57" s="95" t="n">
        <v>245657.26</v>
      </c>
      <c r="G57" s="95" t="n">
        <v>0</v>
      </c>
      <c r="H57" s="95" t="n">
        <v>229904.92</v>
      </c>
      <c r="I57" s="111" t="n">
        <v>6.336</v>
      </c>
      <c r="J57" s="111" t="n">
        <v>0</v>
      </c>
      <c r="K57" s="111" t="n">
        <v>7.72</v>
      </c>
      <c r="L57" s="111" t="n">
        <v>0.395</v>
      </c>
      <c r="M57" s="111" t="n">
        <v>4.0495</v>
      </c>
      <c r="N57" s="111" t="n">
        <v>9.324</v>
      </c>
      <c r="O57" s="111" t="n">
        <v>0</v>
      </c>
      <c r="P57" s="111" t="n">
        <v>0</v>
      </c>
      <c r="Q57" s="111" t="n">
        <v>0</v>
      </c>
      <c r="R57" s="112" t="n">
        <v>510.9999999999999</v>
      </c>
      <c r="S57" s="97" t="n">
        <v>47572.19112503275</v>
      </c>
      <c r="T57" s="111" t="n">
        <v>6.11</v>
      </c>
      <c r="U57" s="111" t="n">
        <v>0</v>
      </c>
      <c r="V57" s="111" t="n">
        <v>8.250999999999999</v>
      </c>
      <c r="W57" s="111" t="n">
        <v>0.375</v>
      </c>
      <c r="X57" s="111" t="n">
        <v>4.092000000000001</v>
      </c>
      <c r="Y57" s="111" t="n">
        <v>9.324</v>
      </c>
      <c r="Z57" s="111" t="n">
        <v>0</v>
      </c>
      <c r="AA57" s="111" t="n">
        <v>0</v>
      </c>
      <c r="AB57" s="111" t="n">
        <v>0</v>
      </c>
      <c r="AC57" s="112" t="n">
        <v>550</v>
      </c>
      <c r="AD57" s="112" t="n">
        <v>48311.33744894065</v>
      </c>
      <c r="AE57" s="20" t="n">
        <v>70346.4432279625</v>
      </c>
      <c r="AF57" s="20" t="n">
        <v>380.0929420071167</v>
      </c>
      <c r="AG57" s="20" t="n"/>
      <c r="AH57" s="20" t="n">
        <v>1666.181041451413</v>
      </c>
      <c r="AI57" s="20" t="n">
        <v>1582.30400776392</v>
      </c>
      <c r="AJ57" s="8" t="inlineStr">
        <is>
          <t>Site Level Budgets.xlsx</t>
        </is>
      </c>
      <c r="AK57" s="8" t="inlineStr">
        <is>
          <t>Electricity Contracting Rates Schedule.xlsx</t>
        </is>
      </c>
      <c r="AL57" s="8" t="inlineStr">
        <is>
          <t>Contracted energy/certificate/metering schedule plus non-negotiable network, regulatory, service and renewable components from the tender all-in budget.</t>
        </is>
      </c>
      <c r="AM57" s="97">
        <f>S57</f>
        <v/>
      </c>
      <c r="AN57" s="97">
        <f>SUM(AE57:AH57)</f>
        <v/>
      </c>
      <c r="AO57" s="97">
        <f>AM57+AN57</f>
        <v/>
      </c>
      <c r="AP57" s="97">
        <f>AD57</f>
        <v/>
      </c>
      <c r="AQ57" s="97">
        <f>SUM(AE57:AG57)+AI57</f>
        <v/>
      </c>
      <c r="AR57" s="107">
        <f>AP57+AQ57</f>
        <v/>
      </c>
    </row>
    <row r="58">
      <c r="A58" s="2" t="inlineStr">
        <is>
          <t>VBBB002698</t>
        </is>
      </c>
      <c r="B58" s="8" t="inlineStr">
        <is>
          <t>Roads - Wodonga</t>
        </is>
      </c>
      <c r="C58" s="8" t="inlineStr">
        <is>
          <t>VIC</t>
        </is>
      </c>
      <c r="D58" s="8" t="inlineStr">
        <is>
          <t>Engie, 24mth</t>
        </is>
      </c>
      <c r="E58" s="95" t="n">
        <v>435696.23</v>
      </c>
      <c r="F58" s="95" t="n">
        <v>256163.37</v>
      </c>
      <c r="G58" s="95" t="n">
        <v>0</v>
      </c>
      <c r="H58" s="95" t="n">
        <v>179532.86</v>
      </c>
      <c r="I58" s="111" t="n">
        <v>6.336</v>
      </c>
      <c r="J58" s="111" t="n">
        <v>0</v>
      </c>
      <c r="K58" s="111" t="n">
        <v>7.72</v>
      </c>
      <c r="L58" s="111" t="n">
        <v>0.395</v>
      </c>
      <c r="M58" s="111" t="n">
        <v>4.0495</v>
      </c>
      <c r="N58" s="111" t="n">
        <v>9.324</v>
      </c>
      <c r="O58" s="111" t="n">
        <v>0</v>
      </c>
      <c r="P58" s="111" t="n">
        <v>0</v>
      </c>
      <c r="Q58" s="111" t="n">
        <v>0</v>
      </c>
      <c r="R58" s="112" t="n">
        <v>510.9999999999999</v>
      </c>
      <c r="S58" s="97" t="n">
        <v>42628.0550410045</v>
      </c>
      <c r="T58" s="111" t="n">
        <v>6.11</v>
      </c>
      <c r="U58" s="111" t="n">
        <v>0</v>
      </c>
      <c r="V58" s="111" t="n">
        <v>8.250999999999999</v>
      </c>
      <c r="W58" s="111" t="n">
        <v>0.375</v>
      </c>
      <c r="X58" s="111" t="n">
        <v>4.092000000000001</v>
      </c>
      <c r="Y58" s="111" t="n">
        <v>9.324</v>
      </c>
      <c r="Z58" s="111" t="n">
        <v>0</v>
      </c>
      <c r="AA58" s="111" t="n">
        <v>0</v>
      </c>
      <c r="AB58" s="111" t="n">
        <v>0</v>
      </c>
      <c r="AC58" s="112" t="n">
        <v>550</v>
      </c>
      <c r="AD58" s="112" t="n">
        <v>43041.65576874834</v>
      </c>
      <c r="AE58" s="20" t="n">
        <v>49391.42934912463</v>
      </c>
      <c r="AF58" s="20" t="n">
        <v>414.198974291815</v>
      </c>
      <c r="AG58" s="20" t="n"/>
      <c r="AH58" s="20" t="n">
        <v>1501.620373931763</v>
      </c>
      <c r="AI58" s="20" t="n">
        <v>1426.027470425679</v>
      </c>
      <c r="AJ58" s="8" t="inlineStr">
        <is>
          <t>Site Level Budgets.xlsx</t>
        </is>
      </c>
      <c r="AK58" s="8" t="inlineStr">
        <is>
          <t>Electricity Contracting Rates Schedule.xlsx</t>
        </is>
      </c>
      <c r="AL58" s="8" t="inlineStr">
        <is>
          <t>Contracted energy/certificate/metering schedule plus non-negotiable network, regulatory, service and renewable components from the tender all-in budget.</t>
        </is>
      </c>
      <c r="AM58" s="97">
        <f>S58</f>
        <v/>
      </c>
      <c r="AN58" s="97">
        <f>SUM(AE58:AH58)</f>
        <v/>
      </c>
      <c r="AO58" s="97">
        <f>AM58+AN58</f>
        <v/>
      </c>
      <c r="AP58" s="97">
        <f>AD58</f>
        <v/>
      </c>
      <c r="AQ58" s="97">
        <f>SUM(AE58:AG58)+AI58</f>
        <v/>
      </c>
      <c r="AR58" s="107">
        <f>AP58+AQ58</f>
        <v/>
      </c>
    </row>
    <row r="59">
      <c r="A59" s="2" t="inlineStr">
        <is>
          <t>6306009124</t>
        </is>
      </c>
      <c r="B59" s="8" t="inlineStr">
        <is>
          <t>Fowlers Asphalting - Traralgon</t>
        </is>
      </c>
      <c r="C59" s="8" t="inlineStr">
        <is>
          <t>VIC</t>
        </is>
      </c>
      <c r="D59" s="8" t="inlineStr">
        <is>
          <t>Engie, 24mth</t>
        </is>
      </c>
      <c r="E59" s="95" t="n">
        <v>361392.46</v>
      </c>
      <c r="F59" s="95" t="n">
        <v>205170.1</v>
      </c>
      <c r="G59" s="95" t="n">
        <v>0</v>
      </c>
      <c r="H59" s="95" t="n">
        <v>156222.36</v>
      </c>
      <c r="I59" s="111" t="n">
        <v>6.336</v>
      </c>
      <c r="J59" s="111" t="n">
        <v>0</v>
      </c>
      <c r="K59" s="111" t="n">
        <v>7.72</v>
      </c>
      <c r="L59" s="111" t="n">
        <v>0.395</v>
      </c>
      <c r="M59" s="111" t="n">
        <v>4.0495</v>
      </c>
      <c r="N59" s="111" t="n">
        <v>9.324</v>
      </c>
      <c r="O59" s="111" t="n">
        <v>0</v>
      </c>
      <c r="P59" s="111" t="n">
        <v>0</v>
      </c>
      <c r="Q59" s="111" t="n">
        <v>0</v>
      </c>
      <c r="R59" s="112" t="n">
        <v>510.9999999999999</v>
      </c>
      <c r="S59" s="97" t="n">
        <v>35636.04415734635</v>
      </c>
      <c r="T59" s="111" t="n">
        <v>6.11</v>
      </c>
      <c r="U59" s="111" t="n">
        <v>0</v>
      </c>
      <c r="V59" s="111" t="n">
        <v>8.250999999999999</v>
      </c>
      <c r="W59" s="111" t="n">
        <v>0.375</v>
      </c>
      <c r="X59" s="111" t="n">
        <v>4.092000000000001</v>
      </c>
      <c r="Y59" s="111" t="n">
        <v>9.324</v>
      </c>
      <c r="Z59" s="111" t="n">
        <v>0</v>
      </c>
      <c r="AA59" s="111" t="n">
        <v>0</v>
      </c>
      <c r="AB59" s="111" t="n">
        <v>0</v>
      </c>
      <c r="AC59" s="112" t="n">
        <v>550</v>
      </c>
      <c r="AD59" s="112" t="n">
        <v>36036.39246475017</v>
      </c>
      <c r="AE59" s="20" t="n">
        <v>42137.13200363098</v>
      </c>
      <c r="AF59" s="20" t="n">
        <v>332.1720916268608</v>
      </c>
      <c r="AG59" s="20" t="n"/>
      <c r="AH59" s="20" t="n">
        <v>1237.969989243004</v>
      </c>
      <c r="AI59" s="20" t="n">
        <v>1175.649480301557</v>
      </c>
      <c r="AJ59" s="8" t="inlineStr">
        <is>
          <t>Site Level Budgets.xlsx</t>
        </is>
      </c>
      <c r="AK59" s="8" t="inlineStr">
        <is>
          <t>Electricity Contracting Rates Schedule.xlsx</t>
        </is>
      </c>
      <c r="AL59" s="8" t="inlineStr">
        <is>
          <t>Contracted energy/certificate/metering schedule plus non-negotiable network, regulatory, service and renewable components from the tender all-in budget.</t>
        </is>
      </c>
      <c r="AM59" s="97">
        <f>S59</f>
        <v/>
      </c>
      <c r="AN59" s="97">
        <f>SUM(AE59:AH59)</f>
        <v/>
      </c>
      <c r="AO59" s="97">
        <f>AM59+AN59</f>
        <v/>
      </c>
      <c r="AP59" s="97">
        <f>AD59</f>
        <v/>
      </c>
      <c r="AQ59" s="97">
        <f>SUM(AE59:AG59)+AI59</f>
        <v/>
      </c>
      <c r="AR59" s="107">
        <f>AP59+AQ59</f>
        <v/>
      </c>
    </row>
    <row r="60">
      <c r="A60" s="2" t="inlineStr">
        <is>
          <t>6203753676</t>
        </is>
      </c>
      <c r="B60" s="8" t="inlineStr">
        <is>
          <t>Utilties - Derrimut</t>
        </is>
      </c>
      <c r="C60" s="8" t="inlineStr">
        <is>
          <t>VIC</t>
        </is>
      </c>
      <c r="D60" s="8" t="inlineStr">
        <is>
          <t>Engie, 24mth</t>
        </is>
      </c>
      <c r="E60" s="95" t="n">
        <v>298507.32</v>
      </c>
      <c r="F60" s="95" t="n">
        <v>200465.96</v>
      </c>
      <c r="G60" s="95" t="n">
        <v>0</v>
      </c>
      <c r="H60" s="95" t="n">
        <v>98041.36</v>
      </c>
      <c r="I60" s="111" t="n">
        <v>6.336</v>
      </c>
      <c r="J60" s="111" t="n">
        <v>0</v>
      </c>
      <c r="K60" s="111" t="n">
        <v>7.72</v>
      </c>
      <c r="L60" s="111" t="n">
        <v>0.395</v>
      </c>
      <c r="M60" s="111" t="n">
        <v>4.0495</v>
      </c>
      <c r="N60" s="111" t="n">
        <v>9.324</v>
      </c>
      <c r="O60" s="111" t="n">
        <v>0</v>
      </c>
      <c r="P60" s="111" t="n">
        <v>0</v>
      </c>
      <c r="Q60" s="111" t="n">
        <v>0</v>
      </c>
      <c r="R60" s="112" t="n">
        <v>510.9999999999999</v>
      </c>
      <c r="S60" s="97" t="n">
        <v>28622.31765614808</v>
      </c>
      <c r="T60" s="111" t="n">
        <v>6.11</v>
      </c>
      <c r="U60" s="111" t="n">
        <v>0</v>
      </c>
      <c r="V60" s="111" t="n">
        <v>8.250999999999999</v>
      </c>
      <c r="W60" s="111" t="n">
        <v>0.375</v>
      </c>
      <c r="X60" s="111" t="n">
        <v>4.092000000000001</v>
      </c>
      <c r="Y60" s="111" t="n">
        <v>9.324</v>
      </c>
      <c r="Z60" s="111" t="n">
        <v>0</v>
      </c>
      <c r="AA60" s="111" t="n">
        <v>0</v>
      </c>
      <c r="AB60" s="111" t="n">
        <v>0</v>
      </c>
      <c r="AC60" s="112" t="n">
        <v>550</v>
      </c>
      <c r="AD60" s="112" t="n">
        <v>28701.54953582517</v>
      </c>
      <c r="AE60" s="20" t="n">
        <v>35861.57725804166</v>
      </c>
      <c r="AF60" s="20" t="n">
        <v>269.5220027045333</v>
      </c>
      <c r="AG60" s="20" t="n"/>
      <c r="AH60" s="20" t="n">
        <v>1010.660022089875</v>
      </c>
      <c r="AI60" s="20" t="n">
        <v>959.7824988132984</v>
      </c>
      <c r="AJ60" s="8" t="inlineStr">
        <is>
          <t>Site Level Budgets.xlsx</t>
        </is>
      </c>
      <c r="AK60" s="8" t="inlineStr">
        <is>
          <t>Electricity Contracting Rates Schedule.xlsx</t>
        </is>
      </c>
      <c r="AL60" s="8" t="inlineStr">
        <is>
          <t>Contracted energy/certificate/metering schedule plus non-negotiable network, regulatory, service and renewable components from the tender all-in budget.</t>
        </is>
      </c>
      <c r="AM60" s="97">
        <f>S60</f>
        <v/>
      </c>
      <c r="AN60" s="97">
        <f>SUM(AE60:AH60)</f>
        <v/>
      </c>
      <c r="AO60" s="97">
        <f>AM60+AN60</f>
        <v/>
      </c>
      <c r="AP60" s="97">
        <f>AD60</f>
        <v/>
      </c>
      <c r="AQ60" s="97">
        <f>SUM(AE60:AG60)+AI60</f>
        <v/>
      </c>
      <c r="AR60" s="107">
        <f>AP60+AQ60</f>
        <v/>
      </c>
    </row>
    <row r="61">
      <c r="A61" s="2" t="inlineStr">
        <is>
          <t>6407100027</t>
        </is>
      </c>
      <c r="B61" s="8" t="inlineStr">
        <is>
          <t>Roads - Dandenong</t>
        </is>
      </c>
      <c r="C61" s="8" t="inlineStr">
        <is>
          <t>VIC</t>
        </is>
      </c>
      <c r="D61" s="8" t="inlineStr">
        <is>
          <t>Engie, 24mth</t>
        </is>
      </c>
      <c r="E61" s="95" t="n">
        <v>118037.096</v>
      </c>
      <c r="F61" s="95" t="n">
        <v>80979.61599999999</v>
      </c>
      <c r="G61" s="95" t="n">
        <v>0</v>
      </c>
      <c r="H61" s="95" t="n">
        <v>37057.48</v>
      </c>
      <c r="I61" s="111" t="n">
        <v>6.336</v>
      </c>
      <c r="J61" s="111" t="n">
        <v>0</v>
      </c>
      <c r="K61" s="111" t="n">
        <v>7.72</v>
      </c>
      <c r="L61" s="111" t="n">
        <v>0.395</v>
      </c>
      <c r="M61" s="111" t="n">
        <v>4.0495</v>
      </c>
      <c r="N61" s="111" t="n">
        <v>9.324</v>
      </c>
      <c r="O61" s="111" t="n">
        <v>0</v>
      </c>
      <c r="P61" s="111" t="n">
        <v>0</v>
      </c>
      <c r="Q61" s="111" t="n">
        <v>0</v>
      </c>
      <c r="R61" s="112" t="n">
        <v>510.9999999999999</v>
      </c>
      <c r="S61" s="97" t="n">
        <v>11505.7155134341</v>
      </c>
      <c r="T61" s="111" t="n">
        <v>6.11</v>
      </c>
      <c r="U61" s="111" t="n">
        <v>0</v>
      </c>
      <c r="V61" s="111" t="n">
        <v>8.250999999999999</v>
      </c>
      <c r="W61" s="111" t="n">
        <v>0.375</v>
      </c>
      <c r="X61" s="111" t="n">
        <v>4.092000000000001</v>
      </c>
      <c r="Y61" s="111" t="n">
        <v>9.324</v>
      </c>
      <c r="Z61" s="111" t="n">
        <v>0</v>
      </c>
      <c r="AA61" s="111" t="n">
        <v>0</v>
      </c>
      <c r="AB61" s="111" t="n">
        <v>0</v>
      </c>
      <c r="AC61" s="112" t="n">
        <v>550</v>
      </c>
      <c r="AD61" s="112" t="n">
        <v>11523.19177244947</v>
      </c>
      <c r="AE61" s="20" t="n">
        <v>12213.26491933986</v>
      </c>
      <c r="AF61" s="20" t="n">
        <v>116.8250006973408</v>
      </c>
      <c r="AG61" s="20" t="n"/>
      <c r="AH61" s="20" t="n">
        <v>394.6630354060744</v>
      </c>
      <c r="AI61" s="20" t="n">
        <v>374.7953476264032</v>
      </c>
      <c r="AJ61" s="8" t="inlineStr">
        <is>
          <t>Site Level Budgets.xlsx</t>
        </is>
      </c>
      <c r="AK61" s="8" t="inlineStr">
        <is>
          <t>Electricity Contracting Rates Schedule.xlsx</t>
        </is>
      </c>
      <c r="AL61" s="8" t="inlineStr">
        <is>
          <t>Contracted energy/certificate/metering schedule plus non-negotiable network, regulatory, service and renewable components from the tender all-in budget.</t>
        </is>
      </c>
      <c r="AM61" s="97">
        <f>S61</f>
        <v/>
      </c>
      <c r="AN61" s="97">
        <f>SUM(AE61:AH61)</f>
        <v/>
      </c>
      <c r="AO61" s="97">
        <f>AM61+AN61</f>
        <v/>
      </c>
      <c r="AP61" s="97">
        <f>AD61</f>
        <v/>
      </c>
      <c r="AQ61" s="97">
        <f>SUM(AE61:AG61)+AI61</f>
        <v/>
      </c>
      <c r="AR61" s="107">
        <f>AP61+AQ61</f>
        <v/>
      </c>
    </row>
    <row r="62">
      <c r="A62" s="2" t="inlineStr">
        <is>
          <t>6407695655</t>
        </is>
      </c>
      <c r="B62" s="8" t="inlineStr">
        <is>
          <t>Spotless - Skilltech</t>
        </is>
      </c>
      <c r="C62" s="8" t="inlineStr">
        <is>
          <t>VIC</t>
        </is>
      </c>
      <c r="D62" s="8" t="inlineStr">
        <is>
          <t>Engie, 24mth</t>
        </is>
      </c>
      <c r="E62" s="95" t="n">
        <v>28429.415</v>
      </c>
      <c r="F62" s="95" t="n">
        <v>18831.768</v>
      </c>
      <c r="G62" s="95" t="n">
        <v>0</v>
      </c>
      <c r="H62" s="95" t="n">
        <v>9597.647000000001</v>
      </c>
      <c r="I62" s="111" t="n">
        <v>6.336</v>
      </c>
      <c r="J62" s="111" t="n">
        <v>0</v>
      </c>
      <c r="K62" s="111" t="n">
        <v>7.72</v>
      </c>
      <c r="L62" s="111" t="n">
        <v>0.395</v>
      </c>
      <c r="M62" s="111" t="n">
        <v>4.0495</v>
      </c>
      <c r="N62" s="111" t="n">
        <v>9.324</v>
      </c>
      <c r="O62" s="111" t="n">
        <v>0</v>
      </c>
      <c r="P62" s="111" t="n">
        <v>0</v>
      </c>
      <c r="Q62" s="111" t="n">
        <v>0</v>
      </c>
      <c r="R62" s="112" t="n">
        <v>510.9999999999999</v>
      </c>
      <c r="S62" s="97" t="n">
        <v>3220.288255814082</v>
      </c>
      <c r="T62" s="111" t="n">
        <v>6.11</v>
      </c>
      <c r="U62" s="111" t="n">
        <v>0</v>
      </c>
      <c r="V62" s="111" t="n">
        <v>8.250999999999999</v>
      </c>
      <c r="W62" s="111" t="n">
        <v>0.375</v>
      </c>
      <c r="X62" s="111" t="n">
        <v>4.092000000000001</v>
      </c>
      <c r="Y62" s="111" t="n">
        <v>9.324</v>
      </c>
      <c r="Z62" s="111" t="n">
        <v>0</v>
      </c>
      <c r="AA62" s="111" t="n">
        <v>0</v>
      </c>
      <c r="AB62" s="111" t="n">
        <v>0</v>
      </c>
      <c r="AC62" s="112" t="n">
        <v>550</v>
      </c>
      <c r="AD62" s="112" t="n">
        <v>3229.880020345066</v>
      </c>
      <c r="AE62" s="20" t="n">
        <v>5710.66692443122</v>
      </c>
      <c r="AF62" s="20" t="n">
        <v>342.6400154658731</v>
      </c>
      <c r="AG62" s="20" t="n"/>
      <c r="AH62" s="20" t="n">
        <v>95.89403253610692</v>
      </c>
      <c r="AI62" s="20" t="n">
        <v>91.06664175601851</v>
      </c>
      <c r="AJ62" s="8" t="inlineStr">
        <is>
          <t>Site Level Budgets.xlsx</t>
        </is>
      </c>
      <c r="AK62" s="8" t="inlineStr">
        <is>
          <t>Electricity Contracting Rates Schedule.xlsx</t>
        </is>
      </c>
      <c r="AL62" s="8" t="inlineStr">
        <is>
          <t>Contracted energy/certificate/metering schedule plus non-negotiable network, regulatory, service and renewable components from the tender all-in budget.</t>
        </is>
      </c>
      <c r="AM62" s="97">
        <f>S62</f>
        <v/>
      </c>
      <c r="AN62" s="97">
        <f>SUM(AE62:AH62)</f>
        <v/>
      </c>
      <c r="AO62" s="97">
        <f>AM62+AN62</f>
        <v/>
      </c>
      <c r="AP62" s="97">
        <f>AD62</f>
        <v/>
      </c>
      <c r="AQ62" s="97">
        <f>SUM(AE62:AG62)+AI62</f>
        <v/>
      </c>
      <c r="AR62" s="107">
        <f>AP62+AQ62</f>
        <v/>
      </c>
    </row>
    <row r="63">
      <c r="A63" s="2" t="inlineStr">
        <is>
          <t>6305885252</t>
        </is>
      </c>
      <c r="B63" s="8" t="n"/>
      <c r="C63" s="8" t="inlineStr">
        <is>
          <t>VIC</t>
        </is>
      </c>
      <c r="D63" s="8" t="inlineStr">
        <is>
          <t>Engie, 24mth</t>
        </is>
      </c>
      <c r="E63" s="95" t="n">
        <v>201844</v>
      </c>
      <c r="F63" s="95" t="n">
        <v>96800</v>
      </c>
      <c r="G63" s="95" t="n">
        <v>0</v>
      </c>
      <c r="H63" s="95" t="n">
        <v>105044</v>
      </c>
      <c r="I63" s="111" t="n">
        <v>6.336</v>
      </c>
      <c r="J63" s="111" t="n">
        <v>0</v>
      </c>
      <c r="K63" s="111" t="n">
        <v>7.72</v>
      </c>
      <c r="L63" s="111" t="n">
        <v>0.395</v>
      </c>
      <c r="M63" s="111" t="n">
        <v>4.0495</v>
      </c>
      <c r="N63" s="111" t="n">
        <v>9.324</v>
      </c>
      <c r="O63" s="111" t="n">
        <v>0</v>
      </c>
      <c r="P63" s="111" t="n">
        <v>0</v>
      </c>
      <c r="Q63" s="111" t="n">
        <v>0</v>
      </c>
      <c r="R63" s="112" t="n">
        <v>510.9999999999999</v>
      </c>
      <c r="S63" s="97" t="n">
        <v>20428.67170469042</v>
      </c>
      <c r="T63" s="111" t="n">
        <v>6.11</v>
      </c>
      <c r="U63" s="111" t="n">
        <v>0</v>
      </c>
      <c r="V63" s="111" t="n">
        <v>8.250999999999999</v>
      </c>
      <c r="W63" s="111" t="n">
        <v>0.375</v>
      </c>
      <c r="X63" s="111" t="n">
        <v>4.092000000000001</v>
      </c>
      <c r="Y63" s="111" t="n">
        <v>9.324</v>
      </c>
      <c r="Z63" s="111" t="n">
        <v>0</v>
      </c>
      <c r="AA63" s="111" t="n">
        <v>0</v>
      </c>
      <c r="AB63" s="111" t="n">
        <v>0</v>
      </c>
      <c r="AC63" s="112" t="n">
        <v>550</v>
      </c>
      <c r="AD63" s="112" t="n">
        <v>20796.45964318277</v>
      </c>
      <c r="AE63" s="20" t="n">
        <v>33585.83488548997</v>
      </c>
      <c r="AF63" s="20" t="n">
        <v>250.015425</v>
      </c>
      <c r="AG63" s="20" t="n"/>
      <c r="AH63" s="20" t="n">
        <v>692.3468926553868</v>
      </c>
      <c r="AI63" s="20" t="n">
        <v>657.4935350706064</v>
      </c>
      <c r="AJ63" s="8" t="inlineStr">
        <is>
          <t>Site Level Budgets.xlsx</t>
        </is>
      </c>
      <c r="AK63" s="8" t="inlineStr">
        <is>
          <t>Electricity Contracting Rates Schedule.xlsx</t>
        </is>
      </c>
      <c r="AL63" s="8" t="inlineStr">
        <is>
          <t>Contracted energy/certificate/metering schedule plus non-negotiable network, regulatory, service and renewable components from the tender all-in budget.</t>
        </is>
      </c>
      <c r="AM63" s="97">
        <f>S63</f>
        <v/>
      </c>
      <c r="AN63" s="97">
        <f>SUM(AE63:AH63)</f>
        <v/>
      </c>
      <c r="AO63" s="97">
        <f>AM63+AN63</f>
        <v/>
      </c>
      <c r="AP63" s="97">
        <f>AD63</f>
        <v/>
      </c>
      <c r="AQ63" s="97">
        <f>SUM(AE63:AG63)+AI63</f>
        <v/>
      </c>
      <c r="AR63" s="107">
        <f>AP63+AQ63</f>
        <v/>
      </c>
    </row>
    <row r="64">
      <c r="A64" s="2" t="inlineStr">
        <is>
          <t>4001200751</t>
        </is>
      </c>
      <c r="B64" s="8" t="inlineStr">
        <is>
          <t>Defence - HQJOC</t>
        </is>
      </c>
      <c r="C64" s="8" t="inlineStr">
        <is>
          <t>NSW</t>
        </is>
      </c>
      <c r="D64" s="8" t="inlineStr">
        <is>
          <t>Origin, 24mth</t>
        </is>
      </c>
      <c r="E64" s="95" t="n">
        <v>10268531.8</v>
      </c>
      <c r="F64" s="95" t="n">
        <v>1526691.4</v>
      </c>
      <c r="G64" s="95" t="n">
        <v>3218033.4</v>
      </c>
      <c r="H64" s="95" t="n">
        <v>5523807</v>
      </c>
      <c r="I64" s="111" t="n">
        <v>9.462999999999999</v>
      </c>
      <c r="J64" s="111" t="n">
        <v>9.462999999999999</v>
      </c>
      <c r="K64" s="111" t="n">
        <v>9.576000000000001</v>
      </c>
      <c r="L64" s="111" t="n">
        <v>0.375</v>
      </c>
      <c r="M64" s="111" t="n">
        <v>4</v>
      </c>
      <c r="N64" s="111" t="n">
        <v>0</v>
      </c>
      <c r="O64" s="111" t="n">
        <v>3.108</v>
      </c>
      <c r="P64" s="111" t="n">
        <v>0</v>
      </c>
      <c r="Q64" s="111" t="n">
        <v>0</v>
      </c>
      <c r="R64" s="112" t="n">
        <v>510.9999999999999</v>
      </c>
      <c r="S64" s="97" t="n">
        <v>1082719.786958673</v>
      </c>
      <c r="T64" s="111" t="n">
        <v>9.161</v>
      </c>
      <c r="U64" s="111" t="n">
        <v>9.161</v>
      </c>
      <c r="V64" s="111" t="n">
        <v>9.620000000000001</v>
      </c>
      <c r="W64" s="111" t="n">
        <v>0.375</v>
      </c>
      <c r="X64" s="111" t="n">
        <v>4</v>
      </c>
      <c r="Y64" s="111" t="n">
        <v>0</v>
      </c>
      <c r="Z64" s="111" t="n">
        <v>3.284</v>
      </c>
      <c r="AA64" s="111" t="n">
        <v>0</v>
      </c>
      <c r="AB64" s="111" t="n">
        <v>0</v>
      </c>
      <c r="AC64" s="112" t="n">
        <v>550</v>
      </c>
      <c r="AD64" s="112" t="n">
        <v>1072980.577288355</v>
      </c>
      <c r="AE64" s="20" t="n">
        <v>701994.7236202653</v>
      </c>
      <c r="AF64" s="20" t="n">
        <v>9102.193599646635</v>
      </c>
      <c r="AG64" s="20" t="n">
        <v>480</v>
      </c>
      <c r="AH64" s="20" t="n">
        <v>31206.96566372493</v>
      </c>
      <c r="AI64" s="20" t="n">
        <v>31216.56485340925</v>
      </c>
      <c r="AJ64" s="8" t="inlineStr">
        <is>
          <t>Site Level Budgets.xlsx</t>
        </is>
      </c>
      <c r="AK64" s="8" t="inlineStr">
        <is>
          <t>Electricity Contracting Rates Schedule.xlsx</t>
        </is>
      </c>
      <c r="AL64" s="8" t="inlineStr">
        <is>
          <t>Contracted energy/certificate/metering schedule plus non-negotiable network, regulatory, service and renewable components from the tender all-in budget.</t>
        </is>
      </c>
      <c r="AM64" s="97">
        <f>S64</f>
        <v/>
      </c>
      <c r="AN64" s="97">
        <f>SUM(AE64:AH64)</f>
        <v/>
      </c>
      <c r="AO64" s="97">
        <f>AM64+AN64</f>
        <v/>
      </c>
      <c r="AP64" s="97">
        <f>AD64</f>
        <v/>
      </c>
      <c r="AQ64" s="97">
        <f>SUM(AE64:AG64)+AI64</f>
        <v/>
      </c>
      <c r="AR64" s="107">
        <f>AP64+AQ64</f>
        <v/>
      </c>
    </row>
    <row r="65">
      <c r="A65" s="2" t="inlineStr">
        <is>
          <t>4103927806</t>
        </is>
      </c>
      <c r="B65" s="8" t="inlineStr">
        <is>
          <t>Sydney Entertainment Centre</t>
        </is>
      </c>
      <c r="C65" s="8" t="inlineStr">
        <is>
          <t>NSW</t>
        </is>
      </c>
      <c r="D65" s="8" t="inlineStr">
        <is>
          <t>Origin, 24mth</t>
        </is>
      </c>
      <c r="E65" s="95" t="n">
        <v>4948634.312000001</v>
      </c>
      <c r="F65" s="95" t="n">
        <v>843818.45</v>
      </c>
      <c r="G65" s="95" t="n">
        <v>1827977.972</v>
      </c>
      <c r="H65" s="95" t="n">
        <v>2276837.89</v>
      </c>
      <c r="I65" s="111" t="n">
        <v>9.462999999999999</v>
      </c>
      <c r="J65" s="111" t="n">
        <v>9.462999999999999</v>
      </c>
      <c r="K65" s="111" t="n">
        <v>9.576000000000001</v>
      </c>
      <c r="L65" s="111" t="n">
        <v>0.375</v>
      </c>
      <c r="M65" s="111" t="n">
        <v>4</v>
      </c>
      <c r="N65" s="111" t="n">
        <v>0</v>
      </c>
      <c r="O65" s="111" t="n">
        <v>3.108</v>
      </c>
      <c r="P65" s="111" t="n">
        <v>0</v>
      </c>
      <c r="Q65" s="111" t="n">
        <v>0</v>
      </c>
      <c r="R65" s="112" t="n">
        <v>510.9999999999999</v>
      </c>
      <c r="S65" s="97" t="n">
        <v>545369.6809170539</v>
      </c>
      <c r="T65" s="111" t="n">
        <v>9.161</v>
      </c>
      <c r="U65" s="111" t="n">
        <v>9.161</v>
      </c>
      <c r="V65" s="111" t="n">
        <v>9.620000000000001</v>
      </c>
      <c r="W65" s="111" t="n">
        <v>0.375</v>
      </c>
      <c r="X65" s="111" t="n">
        <v>4</v>
      </c>
      <c r="Y65" s="111" t="n">
        <v>0</v>
      </c>
      <c r="Z65" s="111" t="n">
        <v>3.284</v>
      </c>
      <c r="AA65" s="111" t="n">
        <v>0</v>
      </c>
      <c r="AB65" s="111" t="n">
        <v>0</v>
      </c>
      <c r="AC65" s="112" t="n">
        <v>550</v>
      </c>
      <c r="AD65" s="112" t="n">
        <v>539033.320206886</v>
      </c>
      <c r="AE65" s="20" t="n">
        <v>452927.3681771432</v>
      </c>
      <c r="AF65" s="20" t="n">
        <v>4500.258741075647</v>
      </c>
      <c r="AG65" s="20" t="n">
        <v>480</v>
      </c>
      <c r="AH65" s="20" t="n">
        <v>15750.55005844228</v>
      </c>
      <c r="AI65" s="20" t="n">
        <v>15755.39489081953</v>
      </c>
      <c r="AJ65" s="8" t="inlineStr">
        <is>
          <t>Site Level Budgets.xlsx</t>
        </is>
      </c>
      <c r="AK65" s="8" t="inlineStr">
        <is>
          <t>Electricity Contracting Rates Schedule.xlsx</t>
        </is>
      </c>
      <c r="AL65" s="8" t="inlineStr">
        <is>
          <t>Contracted energy/certificate/metering schedule plus non-negotiable network, regulatory, service and renewable components from the tender all-in budget.</t>
        </is>
      </c>
      <c r="AM65" s="97">
        <f>S65</f>
        <v/>
      </c>
      <c r="AN65" s="97">
        <f>SUM(AE65:AH65)</f>
        <v/>
      </c>
      <c r="AO65" s="97">
        <f>AM65+AN65</f>
        <v/>
      </c>
      <c r="AP65" s="97">
        <f>AD65</f>
        <v/>
      </c>
      <c r="AQ65" s="97">
        <f>SUM(AE65:AG65)+AI65</f>
        <v/>
      </c>
      <c r="AR65" s="107">
        <f>AP65+AQ65</f>
        <v/>
      </c>
    </row>
    <row r="66">
      <c r="A66" s="2" t="inlineStr">
        <is>
          <t>4103927804</t>
        </is>
      </c>
      <c r="B66" s="8" t="inlineStr">
        <is>
          <t>Sydney Entertainment Centre</t>
        </is>
      </c>
      <c r="C66" s="8" t="inlineStr">
        <is>
          <t>NSW</t>
        </is>
      </c>
      <c r="D66" s="8" t="inlineStr">
        <is>
          <t>Origin, 24mth</t>
        </is>
      </c>
      <c r="E66" s="95" t="n">
        <v>3094734.32</v>
      </c>
      <c r="F66" s="95" t="n">
        <v>508596.616</v>
      </c>
      <c r="G66" s="95" t="n">
        <v>1084572.694</v>
      </c>
      <c r="H66" s="95" t="n">
        <v>1501565.01</v>
      </c>
      <c r="I66" s="111" t="n">
        <v>9.462999999999999</v>
      </c>
      <c r="J66" s="111" t="n">
        <v>9.462999999999999</v>
      </c>
      <c r="K66" s="111" t="n">
        <v>9.576000000000001</v>
      </c>
      <c r="L66" s="111" t="n">
        <v>0.375</v>
      </c>
      <c r="M66" s="111" t="n">
        <v>4</v>
      </c>
      <c r="N66" s="111" t="n">
        <v>0</v>
      </c>
      <c r="O66" s="111" t="n">
        <v>3.108</v>
      </c>
      <c r="P66" s="111" t="n">
        <v>0</v>
      </c>
      <c r="Q66" s="111" t="n">
        <v>0</v>
      </c>
      <c r="R66" s="112" t="n">
        <v>510.9999999999999</v>
      </c>
      <c r="S66" s="97" t="n">
        <v>341562.3719591477</v>
      </c>
      <c r="T66" s="111" t="n">
        <v>9.161</v>
      </c>
      <c r="U66" s="111" t="n">
        <v>9.161</v>
      </c>
      <c r="V66" s="111" t="n">
        <v>9.620000000000001</v>
      </c>
      <c r="W66" s="111" t="n">
        <v>0.375</v>
      </c>
      <c r="X66" s="111" t="n">
        <v>4</v>
      </c>
      <c r="Y66" s="111" t="n">
        <v>0</v>
      </c>
      <c r="Z66" s="111" t="n">
        <v>3.284</v>
      </c>
      <c r="AA66" s="111" t="n">
        <v>0</v>
      </c>
      <c r="AB66" s="111" t="n">
        <v>0</v>
      </c>
      <c r="AC66" s="112" t="n">
        <v>550</v>
      </c>
      <c r="AD66" s="112" t="n">
        <v>337880.527492279</v>
      </c>
      <c r="AE66" s="20" t="n">
        <v>332414.9823916601</v>
      </c>
      <c r="AF66" s="20" t="n">
        <v>2949.550307773108</v>
      </c>
      <c r="AG66" s="20" t="n">
        <v>480</v>
      </c>
      <c r="AH66" s="20" t="n">
        <v>9849.943388732523</v>
      </c>
      <c r="AI66" s="20" t="n">
        <v>9852.973208292266</v>
      </c>
      <c r="AJ66" s="8" t="inlineStr">
        <is>
          <t>Site Level Budgets.xlsx</t>
        </is>
      </c>
      <c r="AK66" s="8" t="inlineStr">
        <is>
          <t>Electricity Contracting Rates Schedule.xlsx</t>
        </is>
      </c>
      <c r="AL66" s="8" t="inlineStr">
        <is>
          <t>Contracted energy/certificate/metering schedule plus non-negotiable network, regulatory, service and renewable components from the tender all-in budget.</t>
        </is>
      </c>
      <c r="AM66" s="97">
        <f>S66</f>
        <v/>
      </c>
      <c r="AN66" s="97">
        <f>SUM(AE66:AH66)</f>
        <v/>
      </c>
      <c r="AO66" s="97">
        <f>AM66+AN66</f>
        <v/>
      </c>
      <c r="AP66" s="97">
        <f>AD66</f>
        <v/>
      </c>
      <c r="AQ66" s="97">
        <f>SUM(AE66:AG66)+AI66</f>
        <v/>
      </c>
      <c r="AR66" s="107">
        <f>AP66+AQ66</f>
        <v/>
      </c>
    </row>
    <row r="67">
      <c r="A67" s="2" t="inlineStr">
        <is>
          <t>4103927809</t>
        </is>
      </c>
      <c r="B67" s="8" t="inlineStr">
        <is>
          <t>Sydney Entertainment Centre</t>
        </is>
      </c>
      <c r="C67" s="8" t="inlineStr">
        <is>
          <t>NSW</t>
        </is>
      </c>
      <c r="D67" s="8" t="inlineStr">
        <is>
          <t>Origin, 24mth</t>
        </is>
      </c>
      <c r="E67" s="95" t="n">
        <v>2847633.482</v>
      </c>
      <c r="F67" s="95" t="n">
        <v>454736.07</v>
      </c>
      <c r="G67" s="95" t="n">
        <v>904287.072</v>
      </c>
      <c r="H67" s="95" t="n">
        <v>1488610.34</v>
      </c>
      <c r="I67" s="111" t="n">
        <v>9.462999999999999</v>
      </c>
      <c r="J67" s="111" t="n">
        <v>9.462999999999999</v>
      </c>
      <c r="K67" s="111" t="n">
        <v>9.576000000000001</v>
      </c>
      <c r="L67" s="111" t="n">
        <v>0.375</v>
      </c>
      <c r="M67" s="111" t="n">
        <v>4</v>
      </c>
      <c r="N67" s="111" t="n">
        <v>0</v>
      </c>
      <c r="O67" s="111" t="n">
        <v>3.108</v>
      </c>
      <c r="P67" s="111" t="n">
        <v>0</v>
      </c>
      <c r="Q67" s="111" t="n">
        <v>0</v>
      </c>
      <c r="R67" s="112" t="n">
        <v>510.9999999999999</v>
      </c>
      <c r="S67" s="97" t="n">
        <v>314504.1514600837</v>
      </c>
      <c r="T67" s="111" t="n">
        <v>9.161</v>
      </c>
      <c r="U67" s="111" t="n">
        <v>9.161</v>
      </c>
      <c r="V67" s="111" t="n">
        <v>9.620000000000001</v>
      </c>
      <c r="W67" s="111" t="n">
        <v>0.375</v>
      </c>
      <c r="X67" s="111" t="n">
        <v>4</v>
      </c>
      <c r="Y67" s="111" t="n">
        <v>0</v>
      </c>
      <c r="Z67" s="111" t="n">
        <v>3.284</v>
      </c>
      <c r="AA67" s="111" t="n">
        <v>0</v>
      </c>
      <c r="AB67" s="111" t="n">
        <v>0</v>
      </c>
      <c r="AC67" s="112" t="n">
        <v>550</v>
      </c>
      <c r="AD67" s="112" t="n">
        <v>311502.6822373621</v>
      </c>
      <c r="AE67" s="20" t="n">
        <v>209381.545196768</v>
      </c>
      <c r="AF67" s="20" t="n">
        <v>2588.623071865655</v>
      </c>
      <c r="AG67" s="20" t="n">
        <v>480</v>
      </c>
      <c r="AH67" s="20" t="n">
        <v>9063.469005494235</v>
      </c>
      <c r="AI67" s="20" t="n">
        <v>9066.256907372268</v>
      </c>
      <c r="AJ67" s="8" t="inlineStr">
        <is>
          <t>Site Level Budgets.xlsx</t>
        </is>
      </c>
      <c r="AK67" s="8" t="inlineStr">
        <is>
          <t>Electricity Contracting Rates Schedule.xlsx</t>
        </is>
      </c>
      <c r="AL67" s="8" t="inlineStr">
        <is>
          <t>Contracted energy/certificate/metering schedule plus non-negotiable network, regulatory, service and renewable components from the tender all-in budget.</t>
        </is>
      </c>
      <c r="AM67" s="97">
        <f>S67</f>
        <v/>
      </c>
      <c r="AN67" s="97">
        <f>SUM(AE67:AH67)</f>
        <v/>
      </c>
      <c r="AO67" s="97">
        <f>AM67+AN67</f>
        <v/>
      </c>
      <c r="AP67" s="97">
        <f>AD67</f>
        <v/>
      </c>
      <c r="AQ67" s="97">
        <f>SUM(AE67:AG67)+AI67</f>
        <v/>
      </c>
      <c r="AR67" s="107">
        <f>AP67+AQ67</f>
        <v/>
      </c>
    </row>
    <row r="68">
      <c r="A68" s="2" t="inlineStr">
        <is>
          <t>4103927808</t>
        </is>
      </c>
      <c r="B68" s="8" t="inlineStr">
        <is>
          <t>Sydney Entertainment Centre</t>
        </is>
      </c>
      <c r="C68" s="8" t="inlineStr">
        <is>
          <t>NSW</t>
        </is>
      </c>
      <c r="D68" s="8" t="inlineStr">
        <is>
          <t>Origin, 24mth</t>
        </is>
      </c>
      <c r="E68" s="95" t="n">
        <v>2401931.455</v>
      </c>
      <c r="F68" s="95" t="n">
        <v>387294.01</v>
      </c>
      <c r="G68" s="95" t="n">
        <v>847028.045</v>
      </c>
      <c r="H68" s="95" t="n">
        <v>1167609.4</v>
      </c>
      <c r="I68" s="111" t="n">
        <v>9.462999999999999</v>
      </c>
      <c r="J68" s="111" t="n">
        <v>9.462999999999999</v>
      </c>
      <c r="K68" s="111" t="n">
        <v>9.576000000000001</v>
      </c>
      <c r="L68" s="111" t="n">
        <v>0.375</v>
      </c>
      <c r="M68" s="111" t="n">
        <v>4</v>
      </c>
      <c r="N68" s="111" t="n">
        <v>0</v>
      </c>
      <c r="O68" s="111" t="n">
        <v>3.108</v>
      </c>
      <c r="P68" s="111" t="n">
        <v>0</v>
      </c>
      <c r="Q68" s="111" t="n">
        <v>0</v>
      </c>
      <c r="R68" s="112" t="n">
        <v>510.9999999999999</v>
      </c>
      <c r="S68" s="97" t="n">
        <v>265347.3317985807</v>
      </c>
      <c r="T68" s="111" t="n">
        <v>9.161</v>
      </c>
      <c r="U68" s="111" t="n">
        <v>9.161</v>
      </c>
      <c r="V68" s="111" t="n">
        <v>9.620000000000001</v>
      </c>
      <c r="W68" s="111" t="n">
        <v>0.375</v>
      </c>
      <c r="X68" s="111" t="n">
        <v>4</v>
      </c>
      <c r="Y68" s="111" t="n">
        <v>0</v>
      </c>
      <c r="Z68" s="111" t="n">
        <v>3.284</v>
      </c>
      <c r="AA68" s="111" t="n">
        <v>0</v>
      </c>
      <c r="AB68" s="111" t="n">
        <v>0</v>
      </c>
      <c r="AC68" s="112" t="n">
        <v>550</v>
      </c>
      <c r="AD68" s="112" t="n">
        <v>262497.6450515339</v>
      </c>
      <c r="AE68" s="20" t="n">
        <v>275135.5547088848</v>
      </c>
      <c r="AF68" s="20" t="n">
        <v>2278.615903427369</v>
      </c>
      <c r="AG68" s="20" t="n">
        <v>480</v>
      </c>
      <c r="AH68" s="20" t="n">
        <v>7644.885282225436</v>
      </c>
      <c r="AI68" s="20" t="n">
        <v>7647.236831066476</v>
      </c>
      <c r="AJ68" s="8" t="inlineStr">
        <is>
          <t>Site Level Budgets.xlsx</t>
        </is>
      </c>
      <c r="AK68" s="8" t="inlineStr">
        <is>
          <t>Electricity Contracting Rates Schedule.xlsx</t>
        </is>
      </c>
      <c r="AL68" s="8" t="inlineStr">
        <is>
          <t>Contracted energy/certificate/metering schedule plus non-negotiable network, regulatory, service and renewable components from the tender all-in budget.</t>
        </is>
      </c>
      <c r="AM68" s="97">
        <f>S68</f>
        <v/>
      </c>
      <c r="AN68" s="97">
        <f>SUM(AE68:AH68)</f>
        <v/>
      </c>
      <c r="AO68" s="97">
        <f>AM68+AN68</f>
        <v/>
      </c>
      <c r="AP68" s="97">
        <f>AD68</f>
        <v/>
      </c>
      <c r="AQ68" s="97">
        <f>SUM(AE68:AG68)+AI68</f>
        <v/>
      </c>
      <c r="AR68" s="107">
        <f>AP68+AQ68</f>
        <v/>
      </c>
    </row>
    <row r="69">
      <c r="A69" s="2" t="inlineStr">
        <is>
          <t>4103711576</t>
        </is>
      </c>
      <c r="B69" s="8" t="inlineStr">
        <is>
          <t>Rail - Auburn</t>
        </is>
      </c>
      <c r="C69" s="8" t="inlineStr">
        <is>
          <t>NSW</t>
        </is>
      </c>
      <c r="D69" s="8" t="inlineStr">
        <is>
          <t>Origin, 24mth</t>
        </is>
      </c>
      <c r="E69" s="95" t="n">
        <v>2405011.6</v>
      </c>
      <c r="F69" s="95" t="n">
        <v>368759</v>
      </c>
      <c r="G69" s="95" t="n">
        <v>774018.3</v>
      </c>
      <c r="H69" s="95" t="n">
        <v>1262234.3</v>
      </c>
      <c r="I69" s="111" t="n">
        <v>9.462999999999999</v>
      </c>
      <c r="J69" s="111" t="n">
        <v>9.462999999999999</v>
      </c>
      <c r="K69" s="111" t="n">
        <v>9.576000000000001</v>
      </c>
      <c r="L69" s="111" t="n">
        <v>0.375</v>
      </c>
      <c r="M69" s="111" t="n">
        <v>4</v>
      </c>
      <c r="N69" s="111" t="n">
        <v>0</v>
      </c>
      <c r="O69" s="111" t="n">
        <v>3.108</v>
      </c>
      <c r="P69" s="111" t="n">
        <v>0</v>
      </c>
      <c r="Q69" s="111" t="n">
        <v>0</v>
      </c>
      <c r="R69" s="112" t="n">
        <v>510.9999999999999</v>
      </c>
      <c r="S69" s="97" t="n">
        <v>260567.613342066</v>
      </c>
      <c r="T69" s="111" t="n">
        <v>9.161</v>
      </c>
      <c r="U69" s="111" t="n">
        <v>9.161</v>
      </c>
      <c r="V69" s="111" t="n">
        <v>9.620000000000001</v>
      </c>
      <c r="W69" s="111" t="n">
        <v>0.375</v>
      </c>
      <c r="X69" s="111" t="n">
        <v>4</v>
      </c>
      <c r="Y69" s="111" t="n">
        <v>0</v>
      </c>
      <c r="Z69" s="111" t="n">
        <v>3.284</v>
      </c>
      <c r="AA69" s="111" t="n">
        <v>0</v>
      </c>
      <c r="AB69" s="111" t="n">
        <v>0</v>
      </c>
      <c r="AC69" s="112" t="n">
        <v>550</v>
      </c>
      <c r="AD69" s="112" t="n">
        <v>258088.2534771652</v>
      </c>
      <c r="AE69" s="20" t="n">
        <v>118932.903445642</v>
      </c>
      <c r="AF69" s="20" t="n">
        <v>2044.093377954793</v>
      </c>
      <c r="AG69" s="20" t="n">
        <v>480</v>
      </c>
      <c r="AH69" s="20" t="n">
        <v>7526.283182084732</v>
      </c>
      <c r="AI69" s="20" t="n">
        <v>7528.59824919703</v>
      </c>
      <c r="AJ69" s="8" t="inlineStr">
        <is>
          <t>Site Level Budgets.xlsx</t>
        </is>
      </c>
      <c r="AK69" s="8" t="inlineStr">
        <is>
          <t>Electricity Contracting Rates Schedule.xlsx</t>
        </is>
      </c>
      <c r="AL69" s="8" t="inlineStr">
        <is>
          <t>Contracted energy/certificate/metering schedule plus non-negotiable network, regulatory, service and renewable components from the tender all-in budget.</t>
        </is>
      </c>
      <c r="AM69" s="97">
        <f>S69</f>
        <v/>
      </c>
      <c r="AN69" s="97">
        <f>SUM(AE69:AH69)</f>
        <v/>
      </c>
      <c r="AO69" s="97">
        <f>AM69+AN69</f>
        <v/>
      </c>
      <c r="AP69" s="97">
        <f>AD69</f>
        <v/>
      </c>
      <c r="AQ69" s="97">
        <f>SUM(AE69:AG69)+AI69</f>
        <v/>
      </c>
      <c r="AR69" s="107">
        <f>AP69+AQ69</f>
        <v/>
      </c>
    </row>
    <row r="70">
      <c r="A70" s="2" t="inlineStr">
        <is>
          <t>4311396021</t>
        </is>
      </c>
      <c r="B70" s="8" t="inlineStr">
        <is>
          <t>New Asphalt Plant - Rose Hill</t>
        </is>
      </c>
      <c r="C70" s="8" t="inlineStr">
        <is>
          <t>NSW</t>
        </is>
      </c>
      <c r="D70" s="8" t="inlineStr">
        <is>
          <t>Origin, 24mth</t>
        </is>
      </c>
      <c r="E70" s="95" t="n">
        <v>1537138.97</v>
      </c>
      <c r="F70" s="95" t="n">
        <v>317504</v>
      </c>
      <c r="G70" s="95" t="n">
        <v>418461.65</v>
      </c>
      <c r="H70" s="95" t="n">
        <v>801173.3199999999</v>
      </c>
      <c r="I70" s="111" t="n">
        <v>9.462999999999999</v>
      </c>
      <c r="J70" s="111" t="n">
        <v>9.462999999999999</v>
      </c>
      <c r="K70" s="111" t="n">
        <v>9.576000000000001</v>
      </c>
      <c r="L70" s="111" t="n">
        <v>0.375</v>
      </c>
      <c r="M70" s="111" t="n">
        <v>4</v>
      </c>
      <c r="N70" s="111" t="n">
        <v>0</v>
      </c>
      <c r="O70" s="111" t="n">
        <v>3.108</v>
      </c>
      <c r="P70" s="111" t="n">
        <v>0</v>
      </c>
      <c r="Q70" s="111" t="n">
        <v>0</v>
      </c>
      <c r="R70" s="112" t="n">
        <v>510.9999999999999</v>
      </c>
      <c r="S70" s="97" t="n">
        <v>172846.6602877748</v>
      </c>
      <c r="T70" s="111" t="n">
        <v>9.161</v>
      </c>
      <c r="U70" s="111" t="n">
        <v>9.161</v>
      </c>
      <c r="V70" s="111" t="n">
        <v>9.620000000000001</v>
      </c>
      <c r="W70" s="111" t="n">
        <v>0.375</v>
      </c>
      <c r="X70" s="111" t="n">
        <v>4</v>
      </c>
      <c r="Y70" s="111" t="n">
        <v>0</v>
      </c>
      <c r="Z70" s="111" t="n">
        <v>3.284</v>
      </c>
      <c r="AA70" s="111" t="n">
        <v>0</v>
      </c>
      <c r="AB70" s="111" t="n">
        <v>0</v>
      </c>
      <c r="AC70" s="112" t="n">
        <v>550</v>
      </c>
      <c r="AD70" s="112" t="n">
        <v>171188.4098750009</v>
      </c>
      <c r="AE70" s="20" t="n">
        <v>131586.2485917658</v>
      </c>
      <c r="AF70" s="20" t="n">
        <v>1395.385307305457</v>
      </c>
      <c r="AG70" s="20" t="n">
        <v>480</v>
      </c>
      <c r="AH70" s="20" t="n">
        <v>4982.227086140423</v>
      </c>
      <c r="AI70" s="20" t="n">
        <v>4983.759607544956</v>
      </c>
      <c r="AJ70" s="8" t="inlineStr">
        <is>
          <t>Site Level Budgets.xlsx</t>
        </is>
      </c>
      <c r="AK70" s="8" t="inlineStr">
        <is>
          <t>Electricity Contracting Rates Schedule.xlsx</t>
        </is>
      </c>
      <c r="AL70" s="8" t="inlineStr">
        <is>
          <t>Contracted energy/certificate/metering schedule plus non-negotiable network, regulatory, service and renewable components from the tender all-in budget.</t>
        </is>
      </c>
      <c r="AM70" s="97">
        <f>S70</f>
        <v/>
      </c>
      <c r="AN70" s="97">
        <f>SUM(AE70:AH70)</f>
        <v/>
      </c>
      <c r="AO70" s="97">
        <f>AM70+AN70</f>
        <v/>
      </c>
      <c r="AP70" s="97">
        <f>AD70</f>
        <v/>
      </c>
      <c r="AQ70" s="97">
        <f>SUM(AE70:AG70)+AI70</f>
        <v/>
      </c>
      <c r="AR70" s="107">
        <f>AP70+AQ70</f>
        <v/>
      </c>
    </row>
    <row r="71">
      <c r="A71" s="2" t="inlineStr">
        <is>
          <t>4103713125</t>
        </is>
      </c>
      <c r="B71" s="8" t="inlineStr">
        <is>
          <t>Rail - Auburn</t>
        </is>
      </c>
      <c r="C71" s="8" t="inlineStr">
        <is>
          <t>NSW</t>
        </is>
      </c>
      <c r="D71" s="8" t="inlineStr">
        <is>
          <t>Origin, 24mth</t>
        </is>
      </c>
      <c r="E71" s="95" t="n">
        <v>1251891.6</v>
      </c>
      <c r="F71" s="95" t="n">
        <v>193376</v>
      </c>
      <c r="G71" s="95" t="n">
        <v>394504.7</v>
      </c>
      <c r="H71" s="95" t="n">
        <v>664010.9</v>
      </c>
      <c r="I71" s="111" t="n">
        <v>9.462999999999999</v>
      </c>
      <c r="J71" s="111" t="n">
        <v>9.462999999999999</v>
      </c>
      <c r="K71" s="111" t="n">
        <v>9.576000000000001</v>
      </c>
      <c r="L71" s="111" t="n">
        <v>0.375</v>
      </c>
      <c r="M71" s="111" t="n">
        <v>4</v>
      </c>
      <c r="N71" s="111" t="n">
        <v>0</v>
      </c>
      <c r="O71" s="111" t="n">
        <v>3.108</v>
      </c>
      <c r="P71" s="111" t="n">
        <v>0</v>
      </c>
      <c r="Q71" s="111" t="n">
        <v>0</v>
      </c>
      <c r="R71" s="112" t="n">
        <v>510.9999999999999</v>
      </c>
      <c r="S71" s="97" t="n">
        <v>135906.2400370619</v>
      </c>
      <c r="T71" s="111" t="n">
        <v>9.161</v>
      </c>
      <c r="U71" s="111" t="n">
        <v>9.161</v>
      </c>
      <c r="V71" s="111" t="n">
        <v>9.620000000000001</v>
      </c>
      <c r="W71" s="111" t="n">
        <v>0.375</v>
      </c>
      <c r="X71" s="111" t="n">
        <v>4</v>
      </c>
      <c r="Y71" s="111" t="n">
        <v>0</v>
      </c>
      <c r="Z71" s="111" t="n">
        <v>3.284</v>
      </c>
      <c r="AA71" s="111" t="n">
        <v>0</v>
      </c>
      <c r="AB71" s="111" t="n">
        <v>0</v>
      </c>
      <c r="AC71" s="112" t="n">
        <v>550</v>
      </c>
      <c r="AD71" s="112" t="n">
        <v>134640.4249642627</v>
      </c>
      <c r="AE71" s="20" t="n">
        <v>103918.9096207689</v>
      </c>
      <c r="AF71" s="20" t="n">
        <v>1194.291969742484</v>
      </c>
      <c r="AG71" s="20" t="n">
        <v>480</v>
      </c>
      <c r="AH71" s="20" t="n">
        <v>3917.69033250116</v>
      </c>
      <c r="AI71" s="20" t="n">
        <v>3918.895404888886</v>
      </c>
      <c r="AJ71" s="8" t="inlineStr">
        <is>
          <t>Site Level Budgets.xlsx</t>
        </is>
      </c>
      <c r="AK71" s="8" t="inlineStr">
        <is>
          <t>Electricity Contracting Rates Schedule.xlsx</t>
        </is>
      </c>
      <c r="AL71" s="8" t="inlineStr">
        <is>
          <t>Contracted energy/certificate/metering schedule plus non-negotiable network, regulatory, service and renewable components from the tender all-in budget.</t>
        </is>
      </c>
      <c r="AM71" s="97">
        <f>S71</f>
        <v/>
      </c>
      <c r="AN71" s="97">
        <f>SUM(AE71:AH71)</f>
        <v/>
      </c>
      <c r="AO71" s="97">
        <f>AM71+AN71</f>
        <v/>
      </c>
      <c r="AP71" s="97">
        <f>AD71</f>
        <v/>
      </c>
      <c r="AQ71" s="97">
        <f>SUM(AE71:AG71)+AI71</f>
        <v/>
      </c>
      <c r="AR71" s="107">
        <f>AP71+AQ71</f>
        <v/>
      </c>
    </row>
    <row r="72">
      <c r="A72" s="2" t="inlineStr">
        <is>
          <t>4104030101</t>
        </is>
      </c>
      <c r="B72" s="8" t="inlineStr">
        <is>
          <t>Roads - Teralba</t>
        </is>
      </c>
      <c r="C72" s="8" t="inlineStr">
        <is>
          <t>NSW</t>
        </is>
      </c>
      <c r="D72" s="8" t="inlineStr">
        <is>
          <t>Origin, 24mth</t>
        </is>
      </c>
      <c r="E72" s="95" t="n">
        <v>687204.96</v>
      </c>
      <c r="F72" s="95" t="n">
        <v>108812.83</v>
      </c>
      <c r="G72" s="95" t="n">
        <v>200701.39</v>
      </c>
      <c r="H72" s="95" t="n">
        <v>377690.74</v>
      </c>
      <c r="I72" s="111" t="n">
        <v>9.462999999999999</v>
      </c>
      <c r="J72" s="111" t="n">
        <v>9.462999999999999</v>
      </c>
      <c r="K72" s="111" t="n">
        <v>9.576000000000001</v>
      </c>
      <c r="L72" s="111" t="n">
        <v>0.375</v>
      </c>
      <c r="M72" s="111" t="n">
        <v>4</v>
      </c>
      <c r="N72" s="111" t="n">
        <v>0</v>
      </c>
      <c r="O72" s="111" t="n">
        <v>3.108</v>
      </c>
      <c r="P72" s="111" t="n">
        <v>0</v>
      </c>
      <c r="Q72" s="111" t="n">
        <v>0</v>
      </c>
      <c r="R72" s="112" t="n">
        <v>510.9999999999999</v>
      </c>
      <c r="S72" s="97" t="n">
        <v>75508.30703016614</v>
      </c>
      <c r="T72" s="111" t="n">
        <v>9.161</v>
      </c>
      <c r="U72" s="111" t="n">
        <v>9.161</v>
      </c>
      <c r="V72" s="111" t="n">
        <v>9.620000000000001</v>
      </c>
      <c r="W72" s="111" t="n">
        <v>0.375</v>
      </c>
      <c r="X72" s="111" t="n">
        <v>4</v>
      </c>
      <c r="Y72" s="111" t="n">
        <v>0</v>
      </c>
      <c r="Z72" s="111" t="n">
        <v>3.284</v>
      </c>
      <c r="AA72" s="111" t="n">
        <v>0</v>
      </c>
      <c r="AB72" s="111" t="n">
        <v>0</v>
      </c>
      <c r="AC72" s="112" t="n">
        <v>550</v>
      </c>
      <c r="AD72" s="112" t="n">
        <v>74858.81765302521</v>
      </c>
      <c r="AE72" s="20" t="n">
        <v>72429.92806598119</v>
      </c>
      <c r="AF72" s="20" t="n">
        <v>629.642057916263</v>
      </c>
      <c r="AG72" s="20" t="n">
        <v>480</v>
      </c>
      <c r="AH72" s="20" t="n">
        <v>2164.980168085738</v>
      </c>
      <c r="AI72" s="20" t="n">
        <v>2165.646110924275</v>
      </c>
      <c r="AJ72" s="8" t="inlineStr">
        <is>
          <t>Site Level Budgets.xlsx</t>
        </is>
      </c>
      <c r="AK72" s="8" t="inlineStr">
        <is>
          <t>Electricity Contracting Rates Schedule.xlsx</t>
        </is>
      </c>
      <c r="AL72" s="8" t="inlineStr">
        <is>
          <t>Contracted energy/certificate/metering schedule plus non-negotiable network, regulatory, service and renewable components from the tender all-in budget.</t>
        </is>
      </c>
      <c r="AM72" s="97">
        <f>S72</f>
        <v/>
      </c>
      <c r="AN72" s="97">
        <f>SUM(AE72:AH72)</f>
        <v/>
      </c>
      <c r="AO72" s="97">
        <f>AM72+AN72</f>
        <v/>
      </c>
      <c r="AP72" s="97">
        <f>AD72</f>
        <v/>
      </c>
      <c r="AQ72" s="97">
        <f>SUM(AE72:AG72)+AI72</f>
        <v/>
      </c>
      <c r="AR72" s="107">
        <f>AP72+AQ72</f>
        <v/>
      </c>
    </row>
    <row r="73">
      <c r="A73" s="2" t="inlineStr">
        <is>
          <t>NAAA00AC25</t>
        </is>
      </c>
      <c r="B73" s="8" t="inlineStr">
        <is>
          <t>Roads - Kelso</t>
        </is>
      </c>
      <c r="C73" s="8" t="inlineStr">
        <is>
          <t>NSW</t>
        </is>
      </c>
      <c r="D73" s="8" t="inlineStr">
        <is>
          <t>Origin, 24mth</t>
        </is>
      </c>
      <c r="E73" s="95" t="n">
        <v>468259.76</v>
      </c>
      <c r="F73" s="95" t="n">
        <v>74843.39999999999</v>
      </c>
      <c r="G73" s="95" t="n">
        <v>144454.12</v>
      </c>
      <c r="H73" s="95" t="n">
        <v>248962.24</v>
      </c>
      <c r="I73" s="111" t="n">
        <v>9.462999999999999</v>
      </c>
      <c r="J73" s="111" t="n">
        <v>9.462999999999999</v>
      </c>
      <c r="K73" s="111" t="n">
        <v>9.576000000000001</v>
      </c>
      <c r="L73" s="111" t="n">
        <v>0.375</v>
      </c>
      <c r="M73" s="111" t="n">
        <v>4</v>
      </c>
      <c r="N73" s="111" t="n">
        <v>0</v>
      </c>
      <c r="O73" s="111" t="n">
        <v>3.108</v>
      </c>
      <c r="P73" s="111" t="n">
        <v>0</v>
      </c>
      <c r="Q73" s="111" t="n">
        <v>0</v>
      </c>
      <c r="R73" s="112" t="n">
        <v>510.9999999999999</v>
      </c>
      <c r="S73" s="97" t="n">
        <v>54193.6594092747</v>
      </c>
      <c r="T73" s="111" t="n">
        <v>9.161</v>
      </c>
      <c r="U73" s="111" t="n">
        <v>9.161</v>
      </c>
      <c r="V73" s="111" t="n">
        <v>9.620000000000001</v>
      </c>
      <c r="W73" s="111" t="n">
        <v>0.375</v>
      </c>
      <c r="X73" s="111" t="n">
        <v>4</v>
      </c>
      <c r="Y73" s="111" t="n">
        <v>0</v>
      </c>
      <c r="Z73" s="111" t="n">
        <v>3.284</v>
      </c>
      <c r="AA73" s="111" t="n">
        <v>0</v>
      </c>
      <c r="AB73" s="111" t="n">
        <v>0</v>
      </c>
      <c r="AC73" s="112" t="n">
        <v>550</v>
      </c>
      <c r="AD73" s="112" t="n">
        <v>53691.80859819619</v>
      </c>
      <c r="AE73" s="20" t="n">
        <v>92991.18189800164</v>
      </c>
      <c r="AF73" s="20" t="n">
        <v>437.9382451200439</v>
      </c>
      <c r="AG73" s="20" t="n">
        <v>480</v>
      </c>
      <c r="AH73" s="20" t="n">
        <v>1555.032065182396</v>
      </c>
      <c r="AI73" s="20" t="n">
        <v>1555.510389410382</v>
      </c>
      <c r="AJ73" s="8" t="inlineStr">
        <is>
          <t>Site Level Budgets.xlsx</t>
        </is>
      </c>
      <c r="AK73" s="8" t="inlineStr">
        <is>
          <t>Electricity Contracting Rates Schedule.xlsx</t>
        </is>
      </c>
      <c r="AL73" s="8" t="inlineStr">
        <is>
          <t>Contracted energy/certificate/metering schedule plus non-negotiable network, regulatory, service and renewable components from the tender all-in budget.</t>
        </is>
      </c>
      <c r="AM73" s="97">
        <f>S73</f>
        <v/>
      </c>
      <c r="AN73" s="97">
        <f>SUM(AE73:AH73)</f>
        <v/>
      </c>
      <c r="AO73" s="97">
        <f>AM73+AN73</f>
        <v/>
      </c>
      <c r="AP73" s="97">
        <f>AD73</f>
        <v/>
      </c>
      <c r="AQ73" s="97">
        <f>SUM(AE73:AG73)+AI73</f>
        <v/>
      </c>
      <c r="AR73" s="107">
        <f>AP73+AQ73</f>
        <v/>
      </c>
    </row>
    <row r="74">
      <c r="A74" s="2" t="inlineStr">
        <is>
          <t>4311396022</t>
        </is>
      </c>
      <c r="B74" s="8" t="inlineStr">
        <is>
          <t>New Asphalt Plant  Rose Hill</t>
        </is>
      </c>
      <c r="C74" s="8" t="inlineStr">
        <is>
          <t>NSW</t>
        </is>
      </c>
      <c r="D74" s="8" t="inlineStr">
        <is>
          <t>Origin, 24mth</t>
        </is>
      </c>
      <c r="E74" s="95" t="n">
        <v>553695.01</v>
      </c>
      <c r="F74" s="95" t="n">
        <v>101828.86</v>
      </c>
      <c r="G74" s="95" t="n">
        <v>178944.41</v>
      </c>
      <c r="H74" s="95" t="n">
        <v>272921.74</v>
      </c>
      <c r="I74" s="111" t="n">
        <v>9.462999999999999</v>
      </c>
      <c r="J74" s="111" t="n">
        <v>9.462999999999999</v>
      </c>
      <c r="K74" s="111" t="n">
        <v>9.576000000000001</v>
      </c>
      <c r="L74" s="111" t="n">
        <v>0.375</v>
      </c>
      <c r="M74" s="111" t="n">
        <v>4</v>
      </c>
      <c r="N74" s="111" t="n">
        <v>0</v>
      </c>
      <c r="O74" s="111" t="n">
        <v>3.108</v>
      </c>
      <c r="P74" s="111" t="n">
        <v>0</v>
      </c>
      <c r="Q74" s="111" t="n">
        <v>0</v>
      </c>
      <c r="R74" s="112" t="n">
        <v>510.9999999999999</v>
      </c>
      <c r="S74" s="97" t="n">
        <v>62594.39365631668</v>
      </c>
      <c r="T74" s="111" t="n">
        <v>9.161</v>
      </c>
      <c r="U74" s="111" t="n">
        <v>9.161</v>
      </c>
      <c r="V74" s="111" t="n">
        <v>9.620000000000001</v>
      </c>
      <c r="W74" s="111" t="n">
        <v>0.375</v>
      </c>
      <c r="X74" s="111" t="n">
        <v>4</v>
      </c>
      <c r="Y74" s="111" t="n">
        <v>0</v>
      </c>
      <c r="Z74" s="111" t="n">
        <v>3.284</v>
      </c>
      <c r="AA74" s="111" t="n">
        <v>0</v>
      </c>
      <c r="AB74" s="111" t="n">
        <v>0</v>
      </c>
      <c r="AC74" s="112" t="n">
        <v>550</v>
      </c>
      <c r="AD74" s="112" t="n">
        <v>61939.41376220697</v>
      </c>
      <c r="AE74" s="20" t="n">
        <v>50491.89872978396</v>
      </c>
      <c r="AF74" s="20" t="n">
        <v>519.0067097864217</v>
      </c>
      <c r="AG74" s="20" t="n">
        <v>480</v>
      </c>
      <c r="AH74" s="20" t="n">
        <v>1794.65508982756</v>
      </c>
      <c r="AI74" s="20" t="n">
        <v>1795.20712153775</v>
      </c>
      <c r="AJ74" s="8" t="inlineStr">
        <is>
          <t>Site Level Budgets.xlsx</t>
        </is>
      </c>
      <c r="AK74" s="8" t="inlineStr">
        <is>
          <t>Electricity Contracting Rates Schedule.xlsx</t>
        </is>
      </c>
      <c r="AL74" s="8" t="inlineStr">
        <is>
          <t>Contracted energy/certificate/metering schedule plus non-negotiable network, regulatory, service and renewable components from the tender all-in budget.</t>
        </is>
      </c>
      <c r="AM74" s="97">
        <f>S74</f>
        <v/>
      </c>
      <c r="AN74" s="97">
        <f>SUM(AE74:AH74)</f>
        <v/>
      </c>
      <c r="AO74" s="97">
        <f>AM74+AN74</f>
        <v/>
      </c>
      <c r="AP74" s="97">
        <f>AD74</f>
        <v/>
      </c>
      <c r="AQ74" s="97">
        <f>SUM(AE74:AG74)+AI74</f>
        <v/>
      </c>
      <c r="AR74" s="107">
        <f>AP74+AQ74</f>
        <v/>
      </c>
    </row>
    <row r="75">
      <c r="A75" s="2" t="inlineStr">
        <is>
          <t>4311006315</t>
        </is>
      </c>
      <c r="B75" s="8" t="inlineStr">
        <is>
          <t>Roads Workshops Eastern Creek</t>
        </is>
      </c>
      <c r="C75" s="8" t="inlineStr">
        <is>
          <t>NSW</t>
        </is>
      </c>
      <c r="D75" s="8" t="inlineStr">
        <is>
          <t>Origin, 24mth</t>
        </is>
      </c>
      <c r="E75" s="95" t="n">
        <v>631132.8899999999</v>
      </c>
      <c r="F75" s="95" t="n">
        <v>96562.17999999999</v>
      </c>
      <c r="G75" s="95" t="n">
        <v>202771.11</v>
      </c>
      <c r="H75" s="95" t="n">
        <v>331799.6</v>
      </c>
      <c r="I75" s="111" t="n">
        <v>9.462999999999999</v>
      </c>
      <c r="J75" s="111" t="n">
        <v>9.462999999999999</v>
      </c>
      <c r="K75" s="111" t="n">
        <v>9.576000000000001</v>
      </c>
      <c r="L75" s="111" t="n">
        <v>0.375</v>
      </c>
      <c r="M75" s="111" t="n">
        <v>4</v>
      </c>
      <c r="N75" s="111" t="n">
        <v>0</v>
      </c>
      <c r="O75" s="111" t="n">
        <v>3.108</v>
      </c>
      <c r="P75" s="111" t="n">
        <v>0</v>
      </c>
      <c r="Q75" s="111" t="n">
        <v>0</v>
      </c>
      <c r="R75" s="112" t="n">
        <v>510.9999999999999</v>
      </c>
      <c r="S75" s="97" t="n">
        <v>71296.59420840694</v>
      </c>
      <c r="T75" s="111" t="n">
        <v>9.161</v>
      </c>
      <c r="U75" s="111" t="n">
        <v>9.161</v>
      </c>
      <c r="V75" s="111" t="n">
        <v>9.620000000000001</v>
      </c>
      <c r="W75" s="111" t="n">
        <v>0.375</v>
      </c>
      <c r="X75" s="111" t="n">
        <v>4</v>
      </c>
      <c r="Y75" s="111" t="n">
        <v>0</v>
      </c>
      <c r="Z75" s="111" t="n">
        <v>3.284</v>
      </c>
      <c r="AA75" s="111" t="n">
        <v>0</v>
      </c>
      <c r="AB75" s="111" t="n">
        <v>0</v>
      </c>
      <c r="AC75" s="112" t="n">
        <v>550</v>
      </c>
      <c r="AD75" s="112" t="n">
        <v>70626.20768687363</v>
      </c>
      <c r="AE75" s="20" t="n">
        <v>42817.18712560362</v>
      </c>
      <c r="AF75" s="20" t="n">
        <v>590.2014233514742</v>
      </c>
      <c r="AG75" s="20" t="n">
        <v>480</v>
      </c>
      <c r="AH75" s="20" t="n">
        <v>2045.649379061728</v>
      </c>
      <c r="AI75" s="20" t="n">
        <v>2046.278616028526</v>
      </c>
      <c r="AJ75" s="8" t="inlineStr">
        <is>
          <t>Site Level Budgets.xlsx</t>
        </is>
      </c>
      <c r="AK75" s="8" t="inlineStr">
        <is>
          <t>Electricity Contracting Rates Schedule.xlsx</t>
        </is>
      </c>
      <c r="AL75" s="8" t="inlineStr">
        <is>
          <t>Contracted energy/certificate/metering schedule plus non-negotiable network, regulatory, service and renewable components from the tender all-in budget.</t>
        </is>
      </c>
      <c r="AM75" s="97">
        <f>S75</f>
        <v/>
      </c>
      <c r="AN75" s="97">
        <f>SUM(AE75:AH75)</f>
        <v/>
      </c>
      <c r="AO75" s="97">
        <f>AM75+AN75</f>
        <v/>
      </c>
      <c r="AP75" s="97">
        <f>AD75</f>
        <v/>
      </c>
      <c r="AQ75" s="97">
        <f>SUM(AE75:AG75)+AI75</f>
        <v/>
      </c>
      <c r="AR75" s="107">
        <f>AP75+AQ75</f>
        <v/>
      </c>
    </row>
    <row r="76">
      <c r="A76" s="2" t="inlineStr">
        <is>
          <t>4204072845</t>
        </is>
      </c>
      <c r="B76" s="8" t="inlineStr">
        <is>
          <t>Roads - Mogo</t>
        </is>
      </c>
      <c r="C76" s="8" t="inlineStr">
        <is>
          <t>NSW</t>
        </is>
      </c>
      <c r="D76" s="8" t="inlineStr">
        <is>
          <t>Origin, 24mth</t>
        </is>
      </c>
      <c r="E76" s="95" t="n">
        <v>377879.64</v>
      </c>
      <c r="F76" s="95" t="n">
        <v>57864.8</v>
      </c>
      <c r="G76" s="95" t="n">
        <v>112322.24</v>
      </c>
      <c r="H76" s="95" t="n">
        <v>207692.6</v>
      </c>
      <c r="I76" s="111" t="n">
        <v>9.462999999999999</v>
      </c>
      <c r="J76" s="111" t="n">
        <v>9.462999999999999</v>
      </c>
      <c r="K76" s="111" t="n">
        <v>9.576000000000001</v>
      </c>
      <c r="L76" s="111" t="n">
        <v>0.375</v>
      </c>
      <c r="M76" s="111" t="n">
        <v>4</v>
      </c>
      <c r="N76" s="111" t="n">
        <v>0</v>
      </c>
      <c r="O76" s="111" t="n">
        <v>3.108</v>
      </c>
      <c r="P76" s="111" t="n">
        <v>0</v>
      </c>
      <c r="Q76" s="111" t="n">
        <v>0</v>
      </c>
      <c r="R76" s="112" t="n">
        <v>510.9999999999999</v>
      </c>
      <c r="S76" s="97" t="n">
        <v>42353.34619104223</v>
      </c>
      <c r="T76" s="111" t="n">
        <v>9.161</v>
      </c>
      <c r="U76" s="111" t="n">
        <v>9.161</v>
      </c>
      <c r="V76" s="111" t="n">
        <v>9.620000000000001</v>
      </c>
      <c r="W76" s="111" t="n">
        <v>0.375</v>
      </c>
      <c r="X76" s="111" t="n">
        <v>4</v>
      </c>
      <c r="Y76" s="111" t="n">
        <v>0</v>
      </c>
      <c r="Z76" s="111" t="n">
        <v>3.284</v>
      </c>
      <c r="AA76" s="111" t="n">
        <v>0</v>
      </c>
      <c r="AB76" s="111" t="n">
        <v>0</v>
      </c>
      <c r="AC76" s="112" t="n">
        <v>550</v>
      </c>
      <c r="AD76" s="112" t="n">
        <v>41991.48092580538</v>
      </c>
      <c r="AE76" s="20" t="n">
        <v>76324.12952431734</v>
      </c>
      <c r="AF76" s="20" t="n">
        <v>360.2622805116543</v>
      </c>
      <c r="AG76" s="20" t="n">
        <v>480</v>
      </c>
      <c r="AH76" s="20" t="n">
        <v>1207.06238514052</v>
      </c>
      <c r="AI76" s="20" t="n">
        <v>1207.433674708388</v>
      </c>
      <c r="AJ76" s="8" t="inlineStr">
        <is>
          <t>Site Level Budgets.xlsx</t>
        </is>
      </c>
      <c r="AK76" s="8" t="inlineStr">
        <is>
          <t>Electricity Contracting Rates Schedule.xlsx</t>
        </is>
      </c>
      <c r="AL76" s="8" t="inlineStr">
        <is>
          <t>Contracted energy/certificate/metering schedule plus non-negotiable network, regulatory, service and renewable components from the tender all-in budget.</t>
        </is>
      </c>
      <c r="AM76" s="97">
        <f>S76</f>
        <v/>
      </c>
      <c r="AN76" s="97">
        <f>SUM(AE76:AH76)</f>
        <v/>
      </c>
      <c r="AO76" s="97">
        <f>AM76+AN76</f>
        <v/>
      </c>
      <c r="AP76" s="97">
        <f>AD76</f>
        <v/>
      </c>
      <c r="AQ76" s="97">
        <f>SUM(AE76:AG76)+AI76</f>
        <v/>
      </c>
      <c r="AR76" s="107">
        <f>AP76+AQ76</f>
        <v/>
      </c>
    </row>
    <row r="77">
      <c r="A77" s="2" t="inlineStr">
        <is>
          <t>4001198085</t>
        </is>
      </c>
      <c r="B77" s="8" t="inlineStr">
        <is>
          <t>NSW Schools 2 - Kelso HS</t>
        </is>
      </c>
      <c r="C77" s="8" t="inlineStr">
        <is>
          <t>NSW</t>
        </is>
      </c>
      <c r="D77" s="8" t="inlineStr">
        <is>
          <t>Origin, 24mth</t>
        </is>
      </c>
      <c r="E77" s="95" t="n">
        <v>399092.86</v>
      </c>
      <c r="F77" s="95" t="n">
        <v>75044.75</v>
      </c>
      <c r="G77" s="95" t="n">
        <v>209969.61</v>
      </c>
      <c r="H77" s="95" t="n">
        <v>114078.5</v>
      </c>
      <c r="I77" s="111" t="n">
        <v>9.462999999999999</v>
      </c>
      <c r="J77" s="111" t="n">
        <v>9.462999999999999</v>
      </c>
      <c r="K77" s="111" t="n">
        <v>9.576000000000001</v>
      </c>
      <c r="L77" s="111" t="n">
        <v>0.375</v>
      </c>
      <c r="M77" s="111" t="n">
        <v>4</v>
      </c>
      <c r="N77" s="111" t="n">
        <v>0</v>
      </c>
      <c r="O77" s="111" t="n">
        <v>3.108</v>
      </c>
      <c r="P77" s="111" t="n">
        <v>0</v>
      </c>
      <c r="Q77" s="111" t="n">
        <v>0</v>
      </c>
      <c r="R77" s="112" t="n">
        <v>510.9999999999999</v>
      </c>
      <c r="S77" s="97" t="n">
        <v>46149.12953239733</v>
      </c>
      <c r="T77" s="111" t="n">
        <v>9.161</v>
      </c>
      <c r="U77" s="111" t="n">
        <v>9.161</v>
      </c>
      <c r="V77" s="111" t="n">
        <v>9.620000000000001</v>
      </c>
      <c r="W77" s="111" t="n">
        <v>0.375</v>
      </c>
      <c r="X77" s="111" t="n">
        <v>4</v>
      </c>
      <c r="Y77" s="111" t="n">
        <v>0</v>
      </c>
      <c r="Z77" s="111" t="n">
        <v>3.284</v>
      </c>
      <c r="AA77" s="111" t="n">
        <v>0</v>
      </c>
      <c r="AB77" s="111" t="n">
        <v>0</v>
      </c>
      <c r="AC77" s="112" t="n">
        <v>550</v>
      </c>
      <c r="AD77" s="112" t="n">
        <v>45351.53579789581</v>
      </c>
      <c r="AE77" s="20" t="n">
        <v>65613.30679236901</v>
      </c>
      <c r="AF77" s="20" t="n">
        <v>384.3077085461848</v>
      </c>
      <c r="AG77" s="20" t="n">
        <v>480</v>
      </c>
      <c r="AH77" s="20" t="n">
        <v>1325.337445791517</v>
      </c>
      <c r="AI77" s="20" t="n">
        <v>1325.745116491545</v>
      </c>
      <c r="AJ77" s="8" t="inlineStr">
        <is>
          <t>Site Level Budgets.xlsx</t>
        </is>
      </c>
      <c r="AK77" s="8" t="inlineStr">
        <is>
          <t>Electricity Contracting Rates Schedule.xlsx</t>
        </is>
      </c>
      <c r="AL77" s="8" t="inlineStr">
        <is>
          <t>Contracted energy/certificate/metering schedule plus non-negotiable network, regulatory, service and renewable components from the tender all-in budget.</t>
        </is>
      </c>
      <c r="AM77" s="97">
        <f>S77</f>
        <v/>
      </c>
      <c r="AN77" s="97">
        <f>SUM(AE77:AH77)</f>
        <v/>
      </c>
      <c r="AO77" s="97">
        <f>AM77+AN77</f>
        <v/>
      </c>
      <c r="AP77" s="97">
        <f>AD77</f>
        <v/>
      </c>
      <c r="AQ77" s="97">
        <f>SUM(AE77:AG77)+AI77</f>
        <v/>
      </c>
      <c r="AR77" s="107">
        <f>AP77+AQ77</f>
        <v/>
      </c>
    </row>
    <row r="78">
      <c r="A78" s="2" t="inlineStr">
        <is>
          <t>4407159054</t>
        </is>
      </c>
      <c r="B78" s="8" t="inlineStr">
        <is>
          <t>RPQ Chinderra</t>
        </is>
      </c>
      <c r="C78" s="8" t="inlineStr">
        <is>
          <t>NSW</t>
        </is>
      </c>
      <c r="D78" s="8" t="inlineStr">
        <is>
          <t>Origin, 24mth</t>
        </is>
      </c>
      <c r="E78" s="95" t="n">
        <v>379736.789</v>
      </c>
      <c r="F78" s="95" t="n">
        <v>52113.651</v>
      </c>
      <c r="G78" s="95" t="n">
        <v>104110.992</v>
      </c>
      <c r="H78" s="95" t="n">
        <v>223512.146</v>
      </c>
      <c r="I78" s="111" t="n">
        <v>9.462999999999999</v>
      </c>
      <c r="J78" s="111" t="n">
        <v>9.462999999999999</v>
      </c>
      <c r="K78" s="111" t="n">
        <v>9.576000000000001</v>
      </c>
      <c r="L78" s="111" t="n">
        <v>0.375</v>
      </c>
      <c r="M78" s="111" t="n">
        <v>4</v>
      </c>
      <c r="N78" s="111" t="n">
        <v>0</v>
      </c>
      <c r="O78" s="111" t="n">
        <v>3.108</v>
      </c>
      <c r="P78" s="111" t="n">
        <v>0</v>
      </c>
      <c r="Q78" s="111" t="n">
        <v>0</v>
      </c>
      <c r="R78" s="112" t="n">
        <v>510.9999999999999</v>
      </c>
      <c r="S78" s="97" t="n">
        <v>41108.03101026339</v>
      </c>
      <c r="T78" s="111" t="n">
        <v>9.161</v>
      </c>
      <c r="U78" s="111" t="n">
        <v>9.161</v>
      </c>
      <c r="V78" s="111" t="n">
        <v>9.620000000000001</v>
      </c>
      <c r="W78" s="111" t="n">
        <v>0.375</v>
      </c>
      <c r="X78" s="111" t="n">
        <v>4</v>
      </c>
      <c r="Y78" s="111" t="n">
        <v>0</v>
      </c>
      <c r="Z78" s="111" t="n">
        <v>3.284</v>
      </c>
      <c r="AA78" s="111" t="n">
        <v>0</v>
      </c>
      <c r="AB78" s="111" t="n">
        <v>0</v>
      </c>
      <c r="AC78" s="112" t="n">
        <v>550</v>
      </c>
      <c r="AD78" s="112" t="n">
        <v>40813.20512758743</v>
      </c>
      <c r="AE78" s="20" t="n">
        <v>35079.53154955838</v>
      </c>
      <c r="AF78" s="20" t="n">
        <v>358.8204052279755</v>
      </c>
      <c r="AG78" s="20" t="n">
        <v>480</v>
      </c>
      <c r="AH78" s="20" t="n">
        <v>1166.034513130501</v>
      </c>
      <c r="AI78" s="20" t="n">
        <v>1166.393182620852</v>
      </c>
      <c r="AJ78" s="8" t="inlineStr">
        <is>
          <t>Site Level Budgets.xlsx</t>
        </is>
      </c>
      <c r="AK78" s="8" t="inlineStr">
        <is>
          <t>Electricity Contracting Rates Schedule.xlsx</t>
        </is>
      </c>
      <c r="AL78" s="8" t="inlineStr">
        <is>
          <t>Contracted energy/certificate/metering schedule plus non-negotiable network, regulatory, service and renewable components from the tender all-in budget.</t>
        </is>
      </c>
      <c r="AM78" s="97">
        <f>S78</f>
        <v/>
      </c>
      <c r="AN78" s="97">
        <f>SUM(AE78:AH78)</f>
        <v/>
      </c>
      <c r="AO78" s="97">
        <f>AM78+AN78</f>
        <v/>
      </c>
      <c r="AP78" s="97">
        <f>AD78</f>
        <v/>
      </c>
      <c r="AQ78" s="97">
        <f>SUM(AE78:AG78)+AI78</f>
        <v/>
      </c>
      <c r="AR78" s="107">
        <f>AP78+AQ78</f>
        <v/>
      </c>
    </row>
    <row r="79">
      <c r="A79" s="2" t="inlineStr">
        <is>
          <t>4103803680</t>
        </is>
      </c>
      <c r="B79" s="8" t="inlineStr">
        <is>
          <t>Corporate Office - Hexham</t>
        </is>
      </c>
      <c r="C79" s="8" t="inlineStr">
        <is>
          <t>NSW</t>
        </is>
      </c>
      <c r="D79" s="8" t="inlineStr">
        <is>
          <t>Origin, 24mth</t>
        </is>
      </c>
      <c r="E79" s="95" t="n">
        <v>346471.8100000001</v>
      </c>
      <c r="F79" s="95" t="n">
        <v>58908.73</v>
      </c>
      <c r="G79" s="95" t="n">
        <v>132509.63</v>
      </c>
      <c r="H79" s="95" t="n">
        <v>155053.45</v>
      </c>
      <c r="I79" s="111" t="n">
        <v>9.462999999999999</v>
      </c>
      <c r="J79" s="111" t="n">
        <v>9.462999999999999</v>
      </c>
      <c r="K79" s="111" t="n">
        <v>9.576000000000001</v>
      </c>
      <c r="L79" s="111" t="n">
        <v>0.375</v>
      </c>
      <c r="M79" s="111" t="n">
        <v>4</v>
      </c>
      <c r="N79" s="111" t="n">
        <v>0</v>
      </c>
      <c r="O79" s="111" t="n">
        <v>3.108</v>
      </c>
      <c r="P79" s="111" t="n">
        <v>0</v>
      </c>
      <c r="Q79" s="111" t="n">
        <v>0</v>
      </c>
      <c r="R79" s="112" t="n">
        <v>510.9999999999999</v>
      </c>
      <c r="S79" s="97" t="n">
        <v>38524.06984646287</v>
      </c>
      <c r="T79" s="111" t="n">
        <v>9.161</v>
      </c>
      <c r="U79" s="111" t="n">
        <v>9.161</v>
      </c>
      <c r="V79" s="111" t="n">
        <v>9.620000000000001</v>
      </c>
      <c r="W79" s="111" t="n">
        <v>0.375</v>
      </c>
      <c r="X79" s="111" t="n">
        <v>4</v>
      </c>
      <c r="Y79" s="111" t="n">
        <v>0</v>
      </c>
      <c r="Z79" s="111" t="n">
        <v>3.284</v>
      </c>
      <c r="AA79" s="111" t="n">
        <v>0</v>
      </c>
      <c r="AB79" s="111" t="n">
        <v>0</v>
      </c>
      <c r="AC79" s="112" t="n">
        <v>550</v>
      </c>
      <c r="AD79" s="112" t="n">
        <v>38066.66389321226</v>
      </c>
      <c r="AE79" s="20" t="n">
        <v>25512.37687864941</v>
      </c>
      <c r="AF79" s="20" t="n">
        <v>323.7583089177044</v>
      </c>
      <c r="AG79" s="20" t="n">
        <v>480</v>
      </c>
      <c r="AH79" s="20" t="n">
        <v>1098.681821698813</v>
      </c>
      <c r="AI79" s="20" t="n">
        <v>1099.019773658732</v>
      </c>
      <c r="AJ79" s="8" t="inlineStr">
        <is>
          <t>Site Level Budgets.xlsx</t>
        </is>
      </c>
      <c r="AK79" s="8" t="inlineStr">
        <is>
          <t>Electricity Contracting Rates Schedule.xlsx</t>
        </is>
      </c>
      <c r="AL79" s="8" t="inlineStr">
        <is>
          <t>Contracted energy/certificate/metering schedule plus non-negotiable network, regulatory, service and renewable components from the tender all-in budget.</t>
        </is>
      </c>
      <c r="AM79" s="97">
        <f>S79</f>
        <v/>
      </c>
      <c r="AN79" s="97">
        <f>SUM(AE79:AH79)</f>
        <v/>
      </c>
      <c r="AO79" s="97">
        <f>AM79+AN79</f>
        <v/>
      </c>
      <c r="AP79" s="97">
        <f>AD79</f>
        <v/>
      </c>
      <c r="AQ79" s="97">
        <f>SUM(AE79:AG79)+AI79</f>
        <v/>
      </c>
      <c r="AR79" s="107">
        <f>AP79+AQ79</f>
        <v/>
      </c>
    </row>
    <row r="80">
      <c r="A80" s="2" t="inlineStr">
        <is>
          <t>4310984436</t>
        </is>
      </c>
      <c r="B80" s="8" t="inlineStr">
        <is>
          <t>NSW Schools 2 - Rouse Hill HS</t>
        </is>
      </c>
      <c r="C80" s="8" t="inlineStr">
        <is>
          <t>NSW</t>
        </is>
      </c>
      <c r="D80" s="8" t="inlineStr">
        <is>
          <t>Origin, 24mth</t>
        </is>
      </c>
      <c r="E80" s="95" t="n">
        <v>238859.85</v>
      </c>
      <c r="F80" s="95" t="n">
        <v>41331.71</v>
      </c>
      <c r="G80" s="95" t="n">
        <v>122316.77</v>
      </c>
      <c r="H80" s="95" t="n">
        <v>75211.37</v>
      </c>
      <c r="I80" s="111" t="n">
        <v>9.462999999999999</v>
      </c>
      <c r="J80" s="111" t="n">
        <v>9.462999999999999</v>
      </c>
      <c r="K80" s="111" t="n">
        <v>9.576000000000001</v>
      </c>
      <c r="L80" s="111" t="n">
        <v>0.375</v>
      </c>
      <c r="M80" s="111" t="n">
        <v>4</v>
      </c>
      <c r="N80" s="111" t="n">
        <v>0</v>
      </c>
      <c r="O80" s="111" t="n">
        <v>3.108</v>
      </c>
      <c r="P80" s="111" t="n">
        <v>0</v>
      </c>
      <c r="Q80" s="111" t="n">
        <v>0</v>
      </c>
      <c r="R80" s="112" t="n">
        <v>510.9999999999999</v>
      </c>
      <c r="S80" s="97" t="n">
        <v>27235.45564217751</v>
      </c>
      <c r="T80" s="111" t="n">
        <v>9.161</v>
      </c>
      <c r="U80" s="111" t="n">
        <v>9.161</v>
      </c>
      <c r="V80" s="111" t="n">
        <v>9.620000000000001</v>
      </c>
      <c r="W80" s="111" t="n">
        <v>0.375</v>
      </c>
      <c r="X80" s="111" t="n">
        <v>4</v>
      </c>
      <c r="Y80" s="111" t="n">
        <v>0</v>
      </c>
      <c r="Z80" s="111" t="n">
        <v>3.284</v>
      </c>
      <c r="AA80" s="111" t="n">
        <v>0</v>
      </c>
      <c r="AB80" s="111" t="n">
        <v>0</v>
      </c>
      <c r="AC80" s="112" t="n">
        <v>550</v>
      </c>
      <c r="AD80" s="112" t="n">
        <v>26797.01596613876</v>
      </c>
      <c r="AE80" s="20" t="n">
        <v>25367.15491440747</v>
      </c>
      <c r="AF80" s="20" t="n">
        <v>236.5146613423706</v>
      </c>
      <c r="AG80" s="20" t="n">
        <v>480</v>
      </c>
      <c r="AH80" s="20" t="n">
        <v>773.2725534128278</v>
      </c>
      <c r="AI80" s="20" t="n">
        <v>773.5104102425457</v>
      </c>
      <c r="AJ80" s="8" t="inlineStr">
        <is>
          <t>Site Level Budgets.xlsx</t>
        </is>
      </c>
      <c r="AK80" s="8" t="inlineStr">
        <is>
          <t>Electricity Contracting Rates Schedule.xlsx</t>
        </is>
      </c>
      <c r="AL80" s="8" t="inlineStr">
        <is>
          <t>Contracted energy/certificate/metering schedule plus non-negotiable network, regulatory, service and renewable components from the tender all-in budget.</t>
        </is>
      </c>
      <c r="AM80" s="97">
        <f>S80</f>
        <v/>
      </c>
      <c r="AN80" s="97">
        <f>SUM(AE80:AH80)</f>
        <v/>
      </c>
      <c r="AO80" s="97">
        <f>AM80+AN80</f>
        <v/>
      </c>
      <c r="AP80" s="97">
        <f>AD80</f>
        <v/>
      </c>
      <c r="AQ80" s="97">
        <f>SUM(AE80:AG80)+AI80</f>
        <v/>
      </c>
      <c r="AR80" s="107">
        <f>AP80+AQ80</f>
        <v/>
      </c>
    </row>
    <row r="81">
      <c r="A81" s="2" t="inlineStr">
        <is>
          <t>4103766552</t>
        </is>
      </c>
      <c r="B81" s="8" t="inlineStr">
        <is>
          <t>NSW Schools 2 - Kariong HS</t>
        </is>
      </c>
      <c r="C81" s="8" t="inlineStr">
        <is>
          <t>NSW</t>
        </is>
      </c>
      <c r="D81" s="8" t="inlineStr">
        <is>
          <t>Origin, 24mth</t>
        </is>
      </c>
      <c r="E81" s="95" t="n">
        <v>224019.81</v>
      </c>
      <c r="F81" s="95" t="n">
        <v>39760.81</v>
      </c>
      <c r="G81" s="95" t="n">
        <v>103828.76</v>
      </c>
      <c r="H81" s="95" t="n">
        <v>80430.24000000001</v>
      </c>
      <c r="I81" s="111" t="n">
        <v>9.462999999999999</v>
      </c>
      <c r="J81" s="111" t="n">
        <v>9.462999999999999</v>
      </c>
      <c r="K81" s="111" t="n">
        <v>9.576000000000001</v>
      </c>
      <c r="L81" s="111" t="n">
        <v>0.375</v>
      </c>
      <c r="M81" s="111" t="n">
        <v>4</v>
      </c>
      <c r="N81" s="111" t="n">
        <v>0</v>
      </c>
      <c r="O81" s="111" t="n">
        <v>3.108</v>
      </c>
      <c r="P81" s="111" t="n">
        <v>0</v>
      </c>
      <c r="Q81" s="111" t="n">
        <v>0</v>
      </c>
      <c r="R81" s="112" t="n">
        <v>510.9999999999999</v>
      </c>
      <c r="S81" s="97" t="n">
        <v>25190.67631370433</v>
      </c>
      <c r="T81" s="111" t="n">
        <v>9.161</v>
      </c>
      <c r="U81" s="111" t="n">
        <v>9.161</v>
      </c>
      <c r="V81" s="111" t="n">
        <v>9.620000000000001</v>
      </c>
      <c r="W81" s="111" t="n">
        <v>0.375</v>
      </c>
      <c r="X81" s="111" t="n">
        <v>4</v>
      </c>
      <c r="Y81" s="111" t="n">
        <v>0</v>
      </c>
      <c r="Z81" s="111" t="n">
        <v>3.284</v>
      </c>
      <c r="AA81" s="111" t="n">
        <v>0</v>
      </c>
      <c r="AB81" s="111" t="n">
        <v>0</v>
      </c>
      <c r="AC81" s="112" t="n">
        <v>550</v>
      </c>
      <c r="AD81" s="112" t="n">
        <v>24821.4921027145</v>
      </c>
      <c r="AE81" s="20" t="n">
        <v>24718.30134062632</v>
      </c>
      <c r="AF81" s="20" t="n">
        <v>215.1664454197804</v>
      </c>
      <c r="AG81" s="20" t="n">
        <v>480</v>
      </c>
      <c r="AH81" s="20" t="n">
        <v>713.9367965721042</v>
      </c>
      <c r="AI81" s="20" t="n">
        <v>714.1564018617296</v>
      </c>
      <c r="AJ81" s="8" t="inlineStr">
        <is>
          <t>Site Level Budgets.xlsx</t>
        </is>
      </c>
      <c r="AK81" s="8" t="inlineStr">
        <is>
          <t>Electricity Contracting Rates Schedule.xlsx</t>
        </is>
      </c>
      <c r="AL81" s="8" t="inlineStr">
        <is>
          <t>Contracted energy/certificate/metering schedule plus non-negotiable network, regulatory, service and renewable components from the tender all-in budget.</t>
        </is>
      </c>
      <c r="AM81" s="97">
        <f>S81</f>
        <v/>
      </c>
      <c r="AN81" s="97">
        <f>SUM(AE81:AH81)</f>
        <v/>
      </c>
      <c r="AO81" s="97">
        <f>AM81+AN81</f>
        <v/>
      </c>
      <c r="AP81" s="97">
        <f>AD81</f>
        <v/>
      </c>
      <c r="AQ81" s="97">
        <f>SUM(AE81:AG81)+AI81</f>
        <v/>
      </c>
      <c r="AR81" s="107">
        <f>AP81+AQ81</f>
        <v/>
      </c>
    </row>
    <row r="82">
      <c r="A82" s="2" t="inlineStr">
        <is>
          <t>4001287259</t>
        </is>
      </c>
      <c r="B82" s="8" t="inlineStr">
        <is>
          <t>RPQ SPRAYSEAL</t>
        </is>
      </c>
      <c r="C82" s="8" t="inlineStr">
        <is>
          <t>NSW</t>
        </is>
      </c>
      <c r="D82" s="8" t="inlineStr">
        <is>
          <t>Origin, 24mth</t>
        </is>
      </c>
      <c r="E82" s="95" t="n">
        <v>171810.509</v>
      </c>
      <c r="F82" s="95" t="n">
        <v>24877.573</v>
      </c>
      <c r="G82" s="95" t="n">
        <v>50443.837</v>
      </c>
      <c r="H82" s="95" t="n">
        <v>96489.099</v>
      </c>
      <c r="I82" s="111" t="n">
        <v>9.462999999999999</v>
      </c>
      <c r="J82" s="111" t="n">
        <v>9.462999999999999</v>
      </c>
      <c r="K82" s="111" t="n">
        <v>9.576000000000001</v>
      </c>
      <c r="L82" s="111" t="n">
        <v>0.375</v>
      </c>
      <c r="M82" s="111" t="n">
        <v>4</v>
      </c>
      <c r="N82" s="111" t="n">
        <v>0</v>
      </c>
      <c r="O82" s="111" t="n">
        <v>3.108</v>
      </c>
      <c r="P82" s="111" t="n">
        <v>0</v>
      </c>
      <c r="Q82" s="111" t="n">
        <v>0</v>
      </c>
      <c r="R82" s="112" t="n">
        <v>510.9999999999999</v>
      </c>
      <c r="S82" s="97" t="n">
        <v>19099.65944022464</v>
      </c>
      <c r="T82" s="111" t="n">
        <v>9.161</v>
      </c>
      <c r="U82" s="111" t="n">
        <v>9.161</v>
      </c>
      <c r="V82" s="111" t="n">
        <v>9.620000000000001</v>
      </c>
      <c r="W82" s="111" t="n">
        <v>0.375</v>
      </c>
      <c r="X82" s="111" t="n">
        <v>4</v>
      </c>
      <c r="Y82" s="111" t="n">
        <v>0</v>
      </c>
      <c r="Z82" s="111" t="n">
        <v>3.284</v>
      </c>
      <c r="AA82" s="111" t="n">
        <v>0</v>
      </c>
      <c r="AB82" s="111" t="n">
        <v>0</v>
      </c>
      <c r="AC82" s="112" t="n">
        <v>550</v>
      </c>
      <c r="AD82" s="112" t="n">
        <v>18947.78551661613</v>
      </c>
      <c r="AE82" s="20" t="n">
        <v>19299.51580033275</v>
      </c>
      <c r="AF82" s="20" t="n">
        <v>164.9951091456479</v>
      </c>
      <c r="AG82" s="20" t="n">
        <v>480</v>
      </c>
      <c r="AH82" s="20" t="n">
        <v>534.1140724054135</v>
      </c>
      <c r="AI82" s="20" t="n">
        <v>534.2783646454644</v>
      </c>
      <c r="AJ82" s="8" t="inlineStr">
        <is>
          <t>Site Level Budgets.xlsx</t>
        </is>
      </c>
      <c r="AK82" s="8" t="inlineStr">
        <is>
          <t>Electricity Contracting Rates Schedule.xlsx</t>
        </is>
      </c>
      <c r="AL82" s="8" t="inlineStr">
        <is>
          <t>Contracted energy/certificate/metering schedule plus non-negotiable network, regulatory, service and renewable components from the tender all-in budget.</t>
        </is>
      </c>
      <c r="AM82" s="97">
        <f>S82</f>
        <v/>
      </c>
      <c r="AN82" s="97">
        <f>SUM(AE82:AH82)</f>
        <v/>
      </c>
      <c r="AO82" s="97">
        <f>AM82+AN82</f>
        <v/>
      </c>
      <c r="AP82" s="97">
        <f>AD82</f>
        <v/>
      </c>
      <c r="AQ82" s="97">
        <f>SUM(AE82:AG82)+AI82</f>
        <v/>
      </c>
      <c r="AR82" s="107">
        <f>AP82+AQ82</f>
        <v/>
      </c>
    </row>
    <row r="83">
      <c r="A83" s="2" t="inlineStr">
        <is>
          <t>4310934278</t>
        </is>
      </c>
      <c r="B83" s="8" t="inlineStr">
        <is>
          <t>NSW Schools 2 - Halinda HS</t>
        </is>
      </c>
      <c r="C83" s="8" t="inlineStr">
        <is>
          <t>NSW</t>
        </is>
      </c>
      <c r="D83" s="8" t="inlineStr">
        <is>
          <t>Origin, 24mth</t>
        </is>
      </c>
      <c r="E83" s="95" t="n">
        <v>210805.16</v>
      </c>
      <c r="F83" s="95" t="n">
        <v>33941</v>
      </c>
      <c r="G83" s="95" t="n">
        <v>101035.45</v>
      </c>
      <c r="H83" s="95" t="n">
        <v>75828.71000000001</v>
      </c>
      <c r="I83" s="111" t="n">
        <v>9.462999999999999</v>
      </c>
      <c r="J83" s="111" t="n">
        <v>9.462999999999999</v>
      </c>
      <c r="K83" s="111" t="n">
        <v>9.576000000000001</v>
      </c>
      <c r="L83" s="111" t="n">
        <v>0.375</v>
      </c>
      <c r="M83" s="111" t="n">
        <v>4</v>
      </c>
      <c r="N83" s="111" t="n">
        <v>0</v>
      </c>
      <c r="O83" s="111" t="n">
        <v>3.108</v>
      </c>
      <c r="P83" s="111" t="n">
        <v>0</v>
      </c>
      <c r="Q83" s="111" t="n">
        <v>0</v>
      </c>
      <c r="R83" s="112" t="n">
        <v>510.9999999999999</v>
      </c>
      <c r="S83" s="97" t="n">
        <v>24138.06684488132</v>
      </c>
      <c r="T83" s="111" t="n">
        <v>9.161</v>
      </c>
      <c r="U83" s="111" t="n">
        <v>9.161</v>
      </c>
      <c r="V83" s="111" t="n">
        <v>9.620000000000001</v>
      </c>
      <c r="W83" s="111" t="n">
        <v>0.375</v>
      </c>
      <c r="X83" s="111" t="n">
        <v>4</v>
      </c>
      <c r="Y83" s="111" t="n">
        <v>0</v>
      </c>
      <c r="Z83" s="111" t="n">
        <v>3.284</v>
      </c>
      <c r="AA83" s="111" t="n">
        <v>0</v>
      </c>
      <c r="AB83" s="111" t="n">
        <v>0</v>
      </c>
      <c r="AC83" s="112" t="n">
        <v>550</v>
      </c>
      <c r="AD83" s="112" t="n">
        <v>23785.38027391945</v>
      </c>
      <c r="AE83" s="20" t="n">
        <v>19313.59980785098</v>
      </c>
      <c r="AF83" s="20" t="n">
        <v>205.5301246999839</v>
      </c>
      <c r="AG83" s="20" t="n">
        <v>480</v>
      </c>
      <c r="AH83" s="20" t="n">
        <v>683.2688511242194</v>
      </c>
      <c r="AI83" s="20" t="n">
        <v>683.4790230255186</v>
      </c>
      <c r="AJ83" s="8" t="inlineStr">
        <is>
          <t>Site Level Budgets.xlsx</t>
        </is>
      </c>
      <c r="AK83" s="8" t="inlineStr">
        <is>
          <t>Electricity Contracting Rates Schedule.xlsx</t>
        </is>
      </c>
      <c r="AL83" s="8" t="inlineStr">
        <is>
          <t>Contracted energy/certificate/metering schedule plus non-negotiable network, regulatory, service and renewable components from the tender all-in budget.</t>
        </is>
      </c>
      <c r="AM83" s="97">
        <f>S83</f>
        <v/>
      </c>
      <c r="AN83" s="97">
        <f>SUM(AE83:AH83)</f>
        <v/>
      </c>
      <c r="AO83" s="97">
        <f>AM83+AN83</f>
        <v/>
      </c>
      <c r="AP83" s="97">
        <f>AD83</f>
        <v/>
      </c>
      <c r="AQ83" s="97">
        <f>SUM(AE83:AG83)+AI83</f>
        <v/>
      </c>
      <c r="AR83" s="107">
        <f>AP83+AQ83</f>
        <v/>
      </c>
    </row>
    <row r="84">
      <c r="A84" s="2" t="inlineStr">
        <is>
          <t>4310938258</t>
        </is>
      </c>
      <c r="B84" s="8" t="inlineStr">
        <is>
          <t>NSW Schools 2 - Ropes Crossing PS</t>
        </is>
      </c>
      <c r="C84" s="8" t="inlineStr">
        <is>
          <t>NSW</t>
        </is>
      </c>
      <c r="D84" s="8" t="inlineStr">
        <is>
          <t>Origin, 24mth</t>
        </is>
      </c>
      <c r="E84" s="95" t="n">
        <v>147736.15</v>
      </c>
      <c r="F84" s="95" t="n">
        <v>27008.96</v>
      </c>
      <c r="G84" s="95" t="n">
        <v>88327.74000000001</v>
      </c>
      <c r="H84" s="95" t="n">
        <v>32399.45</v>
      </c>
      <c r="I84" s="111" t="n">
        <v>9.462999999999999</v>
      </c>
      <c r="J84" s="111" t="n">
        <v>9.462999999999999</v>
      </c>
      <c r="K84" s="111" t="n">
        <v>9.576000000000001</v>
      </c>
      <c r="L84" s="111" t="n">
        <v>0.375</v>
      </c>
      <c r="M84" s="111" t="n">
        <v>4</v>
      </c>
      <c r="N84" s="111" t="n">
        <v>0</v>
      </c>
      <c r="O84" s="111" t="n">
        <v>3.108</v>
      </c>
      <c r="P84" s="111" t="n">
        <v>0</v>
      </c>
      <c r="Q84" s="111" t="n">
        <v>0</v>
      </c>
      <c r="R84" s="112" t="n">
        <v>510.9999999999999</v>
      </c>
      <c r="S84" s="97" t="n">
        <v>17056.02617523394</v>
      </c>
      <c r="T84" s="111" t="n">
        <v>9.161</v>
      </c>
      <c r="U84" s="111" t="n">
        <v>9.161</v>
      </c>
      <c r="V84" s="111" t="n">
        <v>9.620000000000001</v>
      </c>
      <c r="W84" s="111" t="n">
        <v>0.375</v>
      </c>
      <c r="X84" s="111" t="n">
        <v>4</v>
      </c>
      <c r="Y84" s="111" t="n">
        <v>0</v>
      </c>
      <c r="Z84" s="111" t="n">
        <v>3.284</v>
      </c>
      <c r="AA84" s="111" t="n">
        <v>0</v>
      </c>
      <c r="AB84" s="111" t="n">
        <v>0</v>
      </c>
      <c r="AC84" s="112" t="n">
        <v>550</v>
      </c>
      <c r="AD84" s="112" t="n">
        <v>16732.53245048222</v>
      </c>
      <c r="AE84" s="20" t="n">
        <v>15038.40127761366</v>
      </c>
      <c r="AF84" s="20" t="n">
        <v>152.0471012987715</v>
      </c>
      <c r="AG84" s="20" t="n">
        <v>480</v>
      </c>
      <c r="AH84" s="20" t="n">
        <v>478.8474318181554</v>
      </c>
      <c r="AI84" s="20" t="n">
        <v>478.9947241687608</v>
      </c>
      <c r="AJ84" s="8" t="inlineStr">
        <is>
          <t>Site Level Budgets.xlsx</t>
        </is>
      </c>
      <c r="AK84" s="8" t="inlineStr">
        <is>
          <t>Electricity Contracting Rates Schedule.xlsx</t>
        </is>
      </c>
      <c r="AL84" s="8" t="inlineStr">
        <is>
          <t>Contracted energy/certificate/metering schedule plus non-negotiable network, regulatory, service and renewable components from the tender all-in budget.</t>
        </is>
      </c>
      <c r="AM84" s="97">
        <f>S84</f>
        <v/>
      </c>
      <c r="AN84" s="97">
        <f>SUM(AE84:AH84)</f>
        <v/>
      </c>
      <c r="AO84" s="97">
        <f>AM84+AN84</f>
        <v/>
      </c>
      <c r="AP84" s="97">
        <f>AD84</f>
        <v/>
      </c>
      <c r="AQ84" s="97">
        <f>SUM(AE84:AG84)+AI84</f>
        <v/>
      </c>
      <c r="AR84" s="107">
        <f>AP84+AQ84</f>
        <v/>
      </c>
    </row>
    <row r="85">
      <c r="A85" s="2" t="inlineStr">
        <is>
          <t>4311006154</t>
        </is>
      </c>
      <c r="B85" s="8" t="inlineStr">
        <is>
          <t>NSW Schools 2 - Elderslie PS</t>
        </is>
      </c>
      <c r="C85" s="8" t="inlineStr">
        <is>
          <t>NSW</t>
        </is>
      </c>
      <c r="D85" s="8" t="inlineStr">
        <is>
          <t>Origin, 24mth</t>
        </is>
      </c>
      <c r="E85" s="95" t="n">
        <v>141294.49</v>
      </c>
      <c r="F85" s="95" t="n">
        <v>31202.96</v>
      </c>
      <c r="G85" s="95" t="n">
        <v>82153.00999999999</v>
      </c>
      <c r="H85" s="95" t="n">
        <v>27938.52</v>
      </c>
      <c r="I85" s="111" t="n">
        <v>9.462999999999999</v>
      </c>
      <c r="J85" s="111" t="n">
        <v>9.462999999999999</v>
      </c>
      <c r="K85" s="111" t="n">
        <v>9.576000000000001</v>
      </c>
      <c r="L85" s="111" t="n">
        <v>0.375</v>
      </c>
      <c r="M85" s="111" t="n">
        <v>4</v>
      </c>
      <c r="N85" s="111" t="n">
        <v>0</v>
      </c>
      <c r="O85" s="111" t="n">
        <v>3.108</v>
      </c>
      <c r="P85" s="111" t="n">
        <v>0</v>
      </c>
      <c r="Q85" s="111" t="n">
        <v>0</v>
      </c>
      <c r="R85" s="112" t="n">
        <v>510.9999999999999</v>
      </c>
      <c r="S85" s="97" t="n">
        <v>16210.20798111116</v>
      </c>
      <c r="T85" s="111" t="n">
        <v>9.161</v>
      </c>
      <c r="U85" s="111" t="n">
        <v>9.161</v>
      </c>
      <c r="V85" s="111" t="n">
        <v>9.620000000000001</v>
      </c>
      <c r="W85" s="111" t="n">
        <v>0.375</v>
      </c>
      <c r="X85" s="111" t="n">
        <v>4</v>
      </c>
      <c r="Y85" s="111" t="n">
        <v>0</v>
      </c>
      <c r="Z85" s="111" t="n">
        <v>3.284</v>
      </c>
      <c r="AA85" s="111" t="n">
        <v>0</v>
      </c>
      <c r="AB85" s="111" t="n">
        <v>0</v>
      </c>
      <c r="AC85" s="112" t="n">
        <v>550</v>
      </c>
      <c r="AD85" s="112" t="n">
        <v>15892.6186339246</v>
      </c>
      <c r="AE85" s="20" t="n">
        <v>14692.15145583148</v>
      </c>
      <c r="AF85" s="20" t="n">
        <v>144.5808766096424</v>
      </c>
      <c r="AG85" s="20" t="n">
        <v>480</v>
      </c>
      <c r="AH85" s="20" t="n">
        <v>454.0339098918804</v>
      </c>
      <c r="AI85" s="20" t="n">
        <v>454.1735696611489</v>
      </c>
      <c r="AJ85" s="8" t="inlineStr">
        <is>
          <t>Site Level Budgets.xlsx</t>
        </is>
      </c>
      <c r="AK85" s="8" t="inlineStr">
        <is>
          <t>Electricity Contracting Rates Schedule.xlsx</t>
        </is>
      </c>
      <c r="AL85" s="8" t="inlineStr">
        <is>
          <t>Contracted energy/certificate/metering schedule plus non-negotiable network, regulatory, service and renewable components from the tender all-in budget.</t>
        </is>
      </c>
      <c r="AM85" s="97">
        <f>S85</f>
        <v/>
      </c>
      <c r="AN85" s="97">
        <f>SUM(AE85:AH85)</f>
        <v/>
      </c>
      <c r="AO85" s="97">
        <f>AM85+AN85</f>
        <v/>
      </c>
      <c r="AP85" s="97">
        <f>AD85</f>
        <v/>
      </c>
      <c r="AQ85" s="97">
        <f>SUM(AE85:AG85)+AI85</f>
        <v/>
      </c>
      <c r="AR85" s="107">
        <f>AP85+AQ85</f>
        <v/>
      </c>
    </row>
    <row r="86">
      <c r="A86" s="2" t="inlineStr">
        <is>
          <t>4103689689</t>
        </is>
      </c>
      <c r="B86" s="8" t="inlineStr">
        <is>
          <t>NSW Schools 2-  Ashtonfield</t>
        </is>
      </c>
      <c r="C86" s="8" t="inlineStr">
        <is>
          <t>NSW</t>
        </is>
      </c>
      <c r="D86" s="8" t="inlineStr">
        <is>
          <t>Origin, 24mth</t>
        </is>
      </c>
      <c r="E86" s="95" t="n">
        <v>143552.12</v>
      </c>
      <c r="F86" s="95" t="n">
        <v>29569.36</v>
      </c>
      <c r="G86" s="95" t="n">
        <v>62188.81</v>
      </c>
      <c r="H86" s="95" t="n">
        <v>51793.95</v>
      </c>
      <c r="I86" s="111" t="n">
        <v>9.462999999999999</v>
      </c>
      <c r="J86" s="111" t="n">
        <v>9.462999999999999</v>
      </c>
      <c r="K86" s="111" t="n">
        <v>9.576000000000001</v>
      </c>
      <c r="L86" s="111" t="n">
        <v>0.375</v>
      </c>
      <c r="M86" s="111" t="n">
        <v>4</v>
      </c>
      <c r="N86" s="111" t="n">
        <v>0</v>
      </c>
      <c r="O86" s="111" t="n">
        <v>3.108</v>
      </c>
      <c r="P86" s="111" t="n">
        <v>0</v>
      </c>
      <c r="Q86" s="111" t="n">
        <v>0</v>
      </c>
      <c r="R86" s="112" t="n">
        <v>510.9999999999999</v>
      </c>
      <c r="S86" s="97" t="n">
        <v>16268.99121396968</v>
      </c>
      <c r="T86" s="111" t="n">
        <v>9.161</v>
      </c>
      <c r="U86" s="111" t="n">
        <v>9.161</v>
      </c>
      <c r="V86" s="111" t="n">
        <v>9.620000000000001</v>
      </c>
      <c r="W86" s="111" t="n">
        <v>0.375</v>
      </c>
      <c r="X86" s="111" t="n">
        <v>4</v>
      </c>
      <c r="Y86" s="111" t="n">
        <v>0</v>
      </c>
      <c r="Z86" s="111" t="n">
        <v>3.284</v>
      </c>
      <c r="AA86" s="111" t="n">
        <v>0</v>
      </c>
      <c r="AB86" s="111" t="n">
        <v>0</v>
      </c>
      <c r="AC86" s="112" t="n">
        <v>550</v>
      </c>
      <c r="AD86" s="112" t="n">
        <v>16034.6621841168</v>
      </c>
      <c r="AE86" s="20" t="n">
        <v>17626.32105879347</v>
      </c>
      <c r="AF86" s="20" t="n">
        <v>131.1205830142248</v>
      </c>
      <c r="AG86" s="20" t="n">
        <v>480</v>
      </c>
      <c r="AH86" s="20" t="n">
        <v>455.2119397832873</v>
      </c>
      <c r="AI86" s="20" t="n">
        <v>455.3519619117964</v>
      </c>
      <c r="AJ86" s="8" t="inlineStr">
        <is>
          <t>Site Level Budgets.xlsx</t>
        </is>
      </c>
      <c r="AK86" s="8" t="inlineStr">
        <is>
          <t>Electricity Contracting Rates Schedule.xlsx</t>
        </is>
      </c>
      <c r="AL86" s="8" t="inlineStr">
        <is>
          <t>Contracted energy/certificate/metering schedule plus non-negotiable network, regulatory, service and renewable components from the tender all-in budget.</t>
        </is>
      </c>
      <c r="AM86" s="97">
        <f>S86</f>
        <v/>
      </c>
      <c r="AN86" s="97">
        <f>SUM(AE86:AH86)</f>
        <v/>
      </c>
      <c r="AO86" s="97">
        <f>AM86+AN86</f>
        <v/>
      </c>
      <c r="AP86" s="97">
        <f>AD86</f>
        <v/>
      </c>
      <c r="AQ86" s="97">
        <f>SUM(AE86:AG86)+AI86</f>
        <v/>
      </c>
      <c r="AR86" s="107">
        <f>AP86+AQ86</f>
        <v/>
      </c>
    </row>
    <row r="87">
      <c r="A87" s="2" t="inlineStr">
        <is>
          <t>4311006155</t>
        </is>
      </c>
      <c r="B87" s="8" t="inlineStr">
        <is>
          <t>NSW Schools 2 - Middleton Grange PS</t>
        </is>
      </c>
      <c r="C87" s="8" t="inlineStr">
        <is>
          <t>NSW</t>
        </is>
      </c>
      <c r="D87" s="8" t="inlineStr">
        <is>
          <t>Origin, 24mth</t>
        </is>
      </c>
      <c r="E87" s="95" t="n">
        <v>125233.95</v>
      </c>
      <c r="F87" s="95" t="n">
        <v>23618.66</v>
      </c>
      <c r="G87" s="95" t="n">
        <v>66528.02</v>
      </c>
      <c r="H87" s="95" t="n">
        <v>35087.27</v>
      </c>
      <c r="I87" s="111" t="n">
        <v>9.462999999999999</v>
      </c>
      <c r="J87" s="111" t="n">
        <v>9.462999999999999</v>
      </c>
      <c r="K87" s="111" t="n">
        <v>9.576000000000001</v>
      </c>
      <c r="L87" s="111" t="n">
        <v>0.375</v>
      </c>
      <c r="M87" s="111" t="n">
        <v>4</v>
      </c>
      <c r="N87" s="111" t="n">
        <v>0</v>
      </c>
      <c r="O87" s="111" t="n">
        <v>3.108</v>
      </c>
      <c r="P87" s="111" t="n">
        <v>0</v>
      </c>
      <c r="Q87" s="111" t="n">
        <v>0</v>
      </c>
      <c r="R87" s="112" t="n">
        <v>510.9999999999999</v>
      </c>
      <c r="S87" s="97" t="n">
        <v>14535.93795938487</v>
      </c>
      <c r="T87" s="111" t="n">
        <v>9.161</v>
      </c>
      <c r="U87" s="111" t="n">
        <v>9.161</v>
      </c>
      <c r="V87" s="111" t="n">
        <v>9.620000000000001</v>
      </c>
      <c r="W87" s="111" t="n">
        <v>0.375</v>
      </c>
      <c r="X87" s="111" t="n">
        <v>4</v>
      </c>
      <c r="Y87" s="111" t="n">
        <v>0</v>
      </c>
      <c r="Z87" s="111" t="n">
        <v>3.284</v>
      </c>
      <c r="AA87" s="111" t="n">
        <v>0</v>
      </c>
      <c r="AB87" s="111" t="n">
        <v>0</v>
      </c>
      <c r="AC87" s="112" t="n">
        <v>550</v>
      </c>
      <c r="AD87" s="112" t="n">
        <v>14290.09237116575</v>
      </c>
      <c r="AE87" s="20" t="n">
        <v>13178.02778215553</v>
      </c>
      <c r="AF87" s="20" t="n">
        <v>130.0055567841701</v>
      </c>
      <c r="AG87" s="20" t="n">
        <v>480</v>
      </c>
      <c r="AH87" s="20" t="n">
        <v>405.4259277583672</v>
      </c>
      <c r="AI87" s="20" t="n">
        <v>405.5506358259643</v>
      </c>
      <c r="AJ87" s="8" t="inlineStr">
        <is>
          <t>Site Level Budgets.xlsx</t>
        </is>
      </c>
      <c r="AK87" s="8" t="inlineStr">
        <is>
          <t>Electricity Contracting Rates Schedule.xlsx</t>
        </is>
      </c>
      <c r="AL87" s="8" t="inlineStr">
        <is>
          <t>Contracted energy/certificate/metering schedule plus non-negotiable network, regulatory, service and renewable components from the tender all-in budget.</t>
        </is>
      </c>
      <c r="AM87" s="97">
        <f>S87</f>
        <v/>
      </c>
      <c r="AN87" s="97">
        <f>SUM(AE87:AH87)</f>
        <v/>
      </c>
      <c r="AO87" s="97">
        <f>AM87+AN87</f>
        <v/>
      </c>
      <c r="AP87" s="97">
        <f>AD87</f>
        <v/>
      </c>
      <c r="AQ87" s="97">
        <f>SUM(AE87:AG87)+AI87</f>
        <v/>
      </c>
      <c r="AR87" s="107">
        <f>AP87+AQ87</f>
        <v/>
      </c>
    </row>
    <row r="88">
      <c r="A88" s="2" t="inlineStr">
        <is>
          <t>4310955386</t>
        </is>
      </c>
      <c r="B88" s="8" t="inlineStr">
        <is>
          <t>NSW Schools 2 - Tullimbar</t>
        </is>
      </c>
      <c r="C88" s="8" t="inlineStr">
        <is>
          <t>NSW</t>
        </is>
      </c>
      <c r="D88" s="8" t="inlineStr">
        <is>
          <t>Origin, 24mth</t>
        </is>
      </c>
      <c r="E88" s="95" t="n">
        <v>110678.1</v>
      </c>
      <c r="F88" s="95" t="n">
        <v>23411.94</v>
      </c>
      <c r="G88" s="95" t="n">
        <v>52031.62</v>
      </c>
      <c r="H88" s="95" t="n">
        <v>35234.54</v>
      </c>
      <c r="I88" s="111" t="n">
        <v>9.462999999999999</v>
      </c>
      <c r="J88" s="111" t="n">
        <v>9.462999999999999</v>
      </c>
      <c r="K88" s="111" t="n">
        <v>9.576000000000001</v>
      </c>
      <c r="L88" s="111" t="n">
        <v>0.375</v>
      </c>
      <c r="M88" s="111" t="n">
        <v>4</v>
      </c>
      <c r="N88" s="111" t="n">
        <v>0</v>
      </c>
      <c r="O88" s="111" t="n">
        <v>3.108</v>
      </c>
      <c r="P88" s="111" t="n">
        <v>0</v>
      </c>
      <c r="Q88" s="111" t="n">
        <v>0</v>
      </c>
      <c r="R88" s="112" t="n">
        <v>510.9999999999999</v>
      </c>
      <c r="S88" s="97" t="n">
        <v>12798.15655817331</v>
      </c>
      <c r="T88" s="111" t="n">
        <v>9.161</v>
      </c>
      <c r="U88" s="111" t="n">
        <v>9.161</v>
      </c>
      <c r="V88" s="111" t="n">
        <v>9.620000000000001</v>
      </c>
      <c r="W88" s="111" t="n">
        <v>0.375</v>
      </c>
      <c r="X88" s="111" t="n">
        <v>4</v>
      </c>
      <c r="Y88" s="111" t="n">
        <v>0</v>
      </c>
      <c r="Z88" s="111" t="n">
        <v>3.284</v>
      </c>
      <c r="AA88" s="111" t="n">
        <v>0</v>
      </c>
      <c r="AB88" s="111" t="n">
        <v>0</v>
      </c>
      <c r="AC88" s="112" t="n">
        <v>550</v>
      </c>
      <c r="AD88" s="112" t="n">
        <v>12598.78327310902</v>
      </c>
      <c r="AE88" s="20" t="n">
        <v>10729.09442908906</v>
      </c>
      <c r="AF88" s="20" t="n">
        <v>110.645426597886</v>
      </c>
      <c r="AG88" s="20" t="n">
        <v>480</v>
      </c>
      <c r="AH88" s="20" t="n">
        <v>354.5406299651627</v>
      </c>
      <c r="AI88" s="20" t="n">
        <v>354.6496858341154</v>
      </c>
      <c r="AJ88" s="8" t="inlineStr">
        <is>
          <t>Site Level Budgets.xlsx</t>
        </is>
      </c>
      <c r="AK88" s="8" t="inlineStr">
        <is>
          <t>Electricity Contracting Rates Schedule.xlsx</t>
        </is>
      </c>
      <c r="AL88" s="8" t="inlineStr">
        <is>
          <t>Contracted energy/certificate/metering schedule plus non-negotiable network, regulatory, service and renewable components from the tender all-in budget.</t>
        </is>
      </c>
      <c r="AM88" s="97">
        <f>S88</f>
        <v/>
      </c>
      <c r="AN88" s="97">
        <f>SUM(AE88:AH88)</f>
        <v/>
      </c>
      <c r="AO88" s="97">
        <f>AM88+AN88</f>
        <v/>
      </c>
      <c r="AP88" s="97">
        <f>AD88</f>
        <v/>
      </c>
      <c r="AQ88" s="97">
        <f>SUM(AE88:AG88)+AI88</f>
        <v/>
      </c>
      <c r="AR88" s="107">
        <f>AP88+AQ88</f>
        <v/>
      </c>
    </row>
    <row r="89">
      <c r="A89" s="2" t="inlineStr">
        <is>
          <t>4103705443</t>
        </is>
      </c>
      <c r="B89" s="8" t="inlineStr">
        <is>
          <t>NSW Schools 2- Warnervale PS</t>
        </is>
      </c>
      <c r="C89" s="8" t="inlineStr">
        <is>
          <t>NSW</t>
        </is>
      </c>
      <c r="D89" s="8" t="inlineStr">
        <is>
          <t>Origin, 24mth</t>
        </is>
      </c>
      <c r="E89" s="95" t="n">
        <v>106397.96</v>
      </c>
      <c r="F89" s="95" t="n">
        <v>20453.87</v>
      </c>
      <c r="G89" s="95" t="n">
        <v>56661.35</v>
      </c>
      <c r="H89" s="95" t="n">
        <v>29282.74</v>
      </c>
      <c r="I89" s="111" t="n">
        <v>9.462999999999999</v>
      </c>
      <c r="J89" s="111" t="n">
        <v>9.462999999999999</v>
      </c>
      <c r="K89" s="111" t="n">
        <v>9.576000000000001</v>
      </c>
      <c r="L89" s="111" t="n">
        <v>0.375</v>
      </c>
      <c r="M89" s="111" t="n">
        <v>4</v>
      </c>
      <c r="N89" s="111" t="n">
        <v>0</v>
      </c>
      <c r="O89" s="111" t="n">
        <v>3.108</v>
      </c>
      <c r="P89" s="111" t="n">
        <v>0</v>
      </c>
      <c r="Q89" s="111" t="n">
        <v>0</v>
      </c>
      <c r="R89" s="112" t="n">
        <v>510.9999999999999</v>
      </c>
      <c r="S89" s="97" t="n">
        <v>12146.74037512329</v>
      </c>
      <c r="T89" s="111" t="n">
        <v>9.161</v>
      </c>
      <c r="U89" s="111" t="n">
        <v>9.161</v>
      </c>
      <c r="V89" s="111" t="n">
        <v>9.620000000000001</v>
      </c>
      <c r="W89" s="111" t="n">
        <v>0.375</v>
      </c>
      <c r="X89" s="111" t="n">
        <v>4</v>
      </c>
      <c r="Y89" s="111" t="n">
        <v>0</v>
      </c>
      <c r="Z89" s="111" t="n">
        <v>3.284</v>
      </c>
      <c r="AA89" s="111" t="n">
        <v>0</v>
      </c>
      <c r="AB89" s="111" t="n">
        <v>0</v>
      </c>
      <c r="AC89" s="112" t="n">
        <v>550</v>
      </c>
      <c r="AD89" s="112" t="n">
        <v>11941.21984650236</v>
      </c>
      <c r="AE89" s="20" t="n">
        <v>12499.22668805657</v>
      </c>
      <c r="AF89" s="20" t="n">
        <v>109.6613317042</v>
      </c>
      <c r="AG89" s="20" t="n">
        <v>480</v>
      </c>
      <c r="AH89" s="20" t="n">
        <v>336.0085911452998</v>
      </c>
      <c r="AI89" s="20" t="n">
        <v>336.1119466024346</v>
      </c>
      <c r="AJ89" s="8" t="inlineStr">
        <is>
          <t>Site Level Budgets.xlsx</t>
        </is>
      </c>
      <c r="AK89" s="8" t="inlineStr">
        <is>
          <t>Electricity Contracting Rates Schedule.xlsx</t>
        </is>
      </c>
      <c r="AL89" s="8" t="inlineStr">
        <is>
          <t>Contracted energy/certificate/metering schedule plus non-negotiable network, regulatory, service and renewable components from the tender all-in budget.</t>
        </is>
      </c>
      <c r="AM89" s="97">
        <f>S89</f>
        <v/>
      </c>
      <c r="AN89" s="97">
        <f>SUM(AE89:AH89)</f>
        <v/>
      </c>
      <c r="AO89" s="97">
        <f>AM89+AN89</f>
        <v/>
      </c>
      <c r="AP89" s="97">
        <f>AD89</f>
        <v/>
      </c>
      <c r="AQ89" s="97">
        <f>SUM(AE89:AG89)+AI89</f>
        <v/>
      </c>
      <c r="AR89" s="107">
        <f>AP89+AQ89</f>
        <v/>
      </c>
    </row>
    <row r="90">
      <c r="A90" s="2" t="inlineStr">
        <is>
          <t>4103759848</t>
        </is>
      </c>
      <c r="B90" s="8" t="inlineStr">
        <is>
          <t>Corporate Office - North Ryde</t>
        </is>
      </c>
      <c r="C90" s="8" t="inlineStr">
        <is>
          <t>NSW</t>
        </is>
      </c>
      <c r="D90" s="8" t="inlineStr">
        <is>
          <t>Origin, 24mth</t>
        </is>
      </c>
      <c r="E90" s="95" t="n">
        <v>102767.91</v>
      </c>
      <c r="F90" s="95" t="n">
        <v>20172.83</v>
      </c>
      <c r="G90" s="95" t="n">
        <v>45508.02</v>
      </c>
      <c r="H90" s="95" t="n">
        <v>37087.06</v>
      </c>
      <c r="I90" s="111" t="n">
        <v>9.462999999999999</v>
      </c>
      <c r="J90" s="111" t="n">
        <v>9.462999999999999</v>
      </c>
      <c r="K90" s="111" t="n">
        <v>9.576000000000001</v>
      </c>
      <c r="L90" s="111" t="n">
        <v>0.375</v>
      </c>
      <c r="M90" s="111" t="n">
        <v>4</v>
      </c>
      <c r="N90" s="111" t="n">
        <v>0</v>
      </c>
      <c r="O90" s="111" t="n">
        <v>3.108</v>
      </c>
      <c r="P90" s="111" t="n">
        <v>0</v>
      </c>
      <c r="Q90" s="111" t="n">
        <v>0</v>
      </c>
      <c r="R90" s="112" t="n">
        <v>510.9999999999999</v>
      </c>
      <c r="S90" s="97" t="n">
        <v>11956.79346769065</v>
      </c>
      <c r="T90" s="111" t="n">
        <v>9.161</v>
      </c>
      <c r="U90" s="111" t="n">
        <v>9.161</v>
      </c>
      <c r="V90" s="111" t="n">
        <v>9.620000000000001</v>
      </c>
      <c r="W90" s="111" t="n">
        <v>0.375</v>
      </c>
      <c r="X90" s="111" t="n">
        <v>4</v>
      </c>
      <c r="Y90" s="111" t="n">
        <v>0</v>
      </c>
      <c r="Z90" s="111" t="n">
        <v>3.284</v>
      </c>
      <c r="AA90" s="111" t="n">
        <v>0</v>
      </c>
      <c r="AB90" s="111" t="n">
        <v>0</v>
      </c>
      <c r="AC90" s="112" t="n">
        <v>550</v>
      </c>
      <c r="AD90" s="112" t="n">
        <v>11786.20415644864</v>
      </c>
      <c r="AE90" s="20" t="n">
        <v>8213.344750295557</v>
      </c>
      <c r="AF90" s="20" t="n">
        <v>101.6142480561621</v>
      </c>
      <c r="AG90" s="20" t="n">
        <v>480</v>
      </c>
      <c r="AH90" s="20" t="n">
        <v>330.8111134612034</v>
      </c>
      <c r="AI90" s="20" t="n">
        <v>330.9128701863528</v>
      </c>
      <c r="AJ90" s="8" t="inlineStr">
        <is>
          <t>Site Level Budgets.xlsx</t>
        </is>
      </c>
      <c r="AK90" s="8" t="inlineStr">
        <is>
          <t>Electricity Contracting Rates Schedule.xlsx</t>
        </is>
      </c>
      <c r="AL90" s="8" t="inlineStr">
        <is>
          <t>Contracted energy/certificate/metering schedule plus non-negotiable network, regulatory, service and renewable components from the tender all-in budget.</t>
        </is>
      </c>
      <c r="AM90" s="97">
        <f>S90</f>
        <v/>
      </c>
      <c r="AN90" s="97">
        <f>SUM(AE90:AH90)</f>
        <v/>
      </c>
      <c r="AO90" s="97">
        <f>AM90+AN90</f>
        <v/>
      </c>
      <c r="AP90" s="97">
        <f>AD90</f>
        <v/>
      </c>
      <c r="AQ90" s="97">
        <f>SUM(AE90:AG90)+AI90</f>
        <v/>
      </c>
      <c r="AR90" s="107">
        <f>AP90+AQ90</f>
        <v/>
      </c>
    </row>
    <row r="91">
      <c r="A91" s="2" t="inlineStr">
        <is>
          <t>4103759849</t>
        </is>
      </c>
      <c r="B91" s="8" t="inlineStr">
        <is>
          <t>Corporate Office - North Ryde</t>
        </is>
      </c>
      <c r="C91" s="8" t="inlineStr">
        <is>
          <t>NSW</t>
        </is>
      </c>
      <c r="D91" s="8" t="inlineStr">
        <is>
          <t>Origin, 24mth</t>
        </is>
      </c>
      <c r="E91" s="95" t="n">
        <v>94304.32999999999</v>
      </c>
      <c r="F91" s="95" t="n">
        <v>18754.35</v>
      </c>
      <c r="G91" s="95" t="n">
        <v>46453.13</v>
      </c>
      <c r="H91" s="95" t="n">
        <v>29096.85</v>
      </c>
      <c r="I91" s="111" t="n">
        <v>9.462999999999999</v>
      </c>
      <c r="J91" s="111" t="n">
        <v>9.462999999999999</v>
      </c>
      <c r="K91" s="111" t="n">
        <v>9.576000000000001</v>
      </c>
      <c r="L91" s="111" t="n">
        <v>0.375</v>
      </c>
      <c r="M91" s="111" t="n">
        <v>4</v>
      </c>
      <c r="N91" s="111" t="n">
        <v>0</v>
      </c>
      <c r="O91" s="111" t="n">
        <v>3.108</v>
      </c>
      <c r="P91" s="111" t="n">
        <v>0</v>
      </c>
      <c r="Q91" s="111" t="n">
        <v>0</v>
      </c>
      <c r="R91" s="112" t="n">
        <v>510.9999999999999</v>
      </c>
      <c r="S91" s="97" t="n">
        <v>10771.56415331428</v>
      </c>
      <c r="T91" s="111" t="n">
        <v>9.161</v>
      </c>
      <c r="U91" s="111" t="n">
        <v>9.161</v>
      </c>
      <c r="V91" s="111" t="n">
        <v>9.620000000000001</v>
      </c>
      <c r="W91" s="111" t="n">
        <v>0.375</v>
      </c>
      <c r="X91" s="111" t="n">
        <v>4</v>
      </c>
      <c r="Y91" s="111" t="n">
        <v>0</v>
      </c>
      <c r="Z91" s="111" t="n">
        <v>3.284</v>
      </c>
      <c r="AA91" s="111" t="n">
        <v>0</v>
      </c>
      <c r="AB91" s="111" t="n">
        <v>0</v>
      </c>
      <c r="AC91" s="112" t="n">
        <v>550</v>
      </c>
      <c r="AD91" s="112" t="n">
        <v>10601.8407922842</v>
      </c>
      <c r="AE91" s="20" t="n">
        <v>29997.98005235452</v>
      </c>
      <c r="AF91" s="20" t="n">
        <v>1799.878803141271</v>
      </c>
      <c r="AG91" s="20" t="n">
        <v>480</v>
      </c>
      <c r="AH91" s="20" t="n">
        <v>295.9296044851575</v>
      </c>
      <c r="AI91" s="20" t="n">
        <v>296.02063173969</v>
      </c>
      <c r="AJ91" s="8" t="inlineStr">
        <is>
          <t>Site Level Budgets.xlsx</t>
        </is>
      </c>
      <c r="AK91" s="8" t="inlineStr">
        <is>
          <t>Electricity Contracting Rates Schedule.xlsx</t>
        </is>
      </c>
      <c r="AL91" s="8" t="inlineStr">
        <is>
          <t>Contracted energy/certificate/metering schedule plus non-negotiable network, regulatory, service and renewable components from the tender all-in budget.</t>
        </is>
      </c>
      <c r="AM91" s="97">
        <f>S91</f>
        <v/>
      </c>
      <c r="AN91" s="97">
        <f>SUM(AE91:AH91)</f>
        <v/>
      </c>
      <c r="AO91" s="97">
        <f>AM91+AN91</f>
        <v/>
      </c>
      <c r="AP91" s="97">
        <f>AD91</f>
        <v/>
      </c>
      <c r="AQ91" s="97">
        <f>SUM(AE91:AG91)+AI91</f>
        <v/>
      </c>
      <c r="AR91" s="107">
        <f>AP91+AQ91</f>
        <v/>
      </c>
    </row>
    <row r="92">
      <c r="A92" s="2" t="inlineStr">
        <is>
          <t>4103742938</t>
        </is>
      </c>
      <c r="B92" s="8" t="inlineStr">
        <is>
          <t>Corporate Office - North Ryde</t>
        </is>
      </c>
      <c r="C92" s="8" t="inlineStr">
        <is>
          <t>NSW</t>
        </is>
      </c>
      <c r="D92" s="8" t="inlineStr">
        <is>
          <t>Origin, 24mth</t>
        </is>
      </c>
      <c r="E92" s="95" t="n">
        <v>105623.45</v>
      </c>
      <c r="F92" s="95" t="n">
        <v>18914.37</v>
      </c>
      <c r="G92" s="95" t="n">
        <v>43771.83</v>
      </c>
      <c r="H92" s="95" t="n">
        <v>42937.25</v>
      </c>
      <c r="I92" s="111" t="n">
        <v>9.462999999999999</v>
      </c>
      <c r="J92" s="111" t="n">
        <v>9.462999999999999</v>
      </c>
      <c r="K92" s="111" t="n">
        <v>9.576000000000001</v>
      </c>
      <c r="L92" s="111" t="n">
        <v>0.375</v>
      </c>
      <c r="M92" s="111" t="n">
        <v>4</v>
      </c>
      <c r="N92" s="111" t="n">
        <v>0</v>
      </c>
      <c r="O92" s="111" t="n">
        <v>3.108</v>
      </c>
      <c r="P92" s="111" t="n">
        <v>0</v>
      </c>
      <c r="Q92" s="111" t="n">
        <v>0</v>
      </c>
      <c r="R92" s="112" t="n">
        <v>510.9999999999999</v>
      </c>
      <c r="S92" s="97" t="n">
        <v>12010.4730383962</v>
      </c>
      <c r="T92" s="111" t="n">
        <v>9.161</v>
      </c>
      <c r="U92" s="111" t="n">
        <v>9.161</v>
      </c>
      <c r="V92" s="111" t="n">
        <v>9.620000000000001</v>
      </c>
      <c r="W92" s="111" t="n">
        <v>0.375</v>
      </c>
      <c r="X92" s="111" t="n">
        <v>4</v>
      </c>
      <c r="Y92" s="111" t="n">
        <v>0</v>
      </c>
      <c r="Z92" s="111" t="n">
        <v>3.284</v>
      </c>
      <c r="AA92" s="111" t="n">
        <v>0</v>
      </c>
      <c r="AB92" s="111" t="n">
        <v>0</v>
      </c>
      <c r="AC92" s="112" t="n">
        <v>550</v>
      </c>
      <c r="AD92" s="112" t="n">
        <v>11857.241988081</v>
      </c>
      <c r="AE92" s="20" t="n">
        <v>33027.6064937878</v>
      </c>
      <c r="AF92" s="20" t="n">
        <v>1981.656389627268</v>
      </c>
      <c r="AG92" s="20" t="n">
        <v>480</v>
      </c>
      <c r="AH92" s="20" t="n">
        <v>331.4493171507375</v>
      </c>
      <c r="AI92" s="20" t="n">
        <v>331.55127018585</v>
      </c>
      <c r="AJ92" s="8" t="inlineStr">
        <is>
          <t>Site Level Budgets.xlsx</t>
        </is>
      </c>
      <c r="AK92" s="8" t="inlineStr">
        <is>
          <t>Electricity Contracting Rates Schedule.xlsx</t>
        </is>
      </c>
      <c r="AL92" s="8" t="inlineStr">
        <is>
          <t>Contracted energy/certificate/metering schedule plus non-negotiable network, regulatory, service and renewable components from the tender all-in budget.</t>
        </is>
      </c>
      <c r="AM92" s="97">
        <f>S92</f>
        <v/>
      </c>
      <c r="AN92" s="97">
        <f>SUM(AE92:AH92)</f>
        <v/>
      </c>
      <c r="AO92" s="97">
        <f>AM92+AN92</f>
        <v/>
      </c>
      <c r="AP92" s="97">
        <f>AD92</f>
        <v/>
      </c>
      <c r="AQ92" s="97">
        <f>SUM(AE92:AG92)+AI92</f>
        <v/>
      </c>
      <c r="AR92" s="107">
        <f>AP92+AQ92</f>
        <v/>
      </c>
    </row>
    <row r="93">
      <c r="A93" s="2" t="inlineStr">
        <is>
          <t>4103737729</t>
        </is>
      </c>
      <c r="B93" s="8" t="inlineStr">
        <is>
          <t>Corporate Office - North Ryde</t>
        </is>
      </c>
      <c r="C93" s="8" t="inlineStr">
        <is>
          <t>NSW</t>
        </is>
      </c>
      <c r="D93" s="8" t="inlineStr">
        <is>
          <t>Origin, 24mth</t>
        </is>
      </c>
      <c r="E93" s="95" t="n">
        <v>13618.63</v>
      </c>
      <c r="F93" s="95" t="n">
        <v>2011.9</v>
      </c>
      <c r="G93" s="95" t="n">
        <v>4935.81</v>
      </c>
      <c r="H93" s="95" t="n">
        <v>6670.92</v>
      </c>
      <c r="I93" s="111" t="n">
        <v>9.462999999999999</v>
      </c>
      <c r="J93" s="111" t="n">
        <v>9.462999999999999</v>
      </c>
      <c r="K93" s="111" t="n">
        <v>9.576000000000001</v>
      </c>
      <c r="L93" s="111" t="n">
        <v>0.375</v>
      </c>
      <c r="M93" s="111" t="n">
        <v>4</v>
      </c>
      <c r="N93" s="111" t="n">
        <v>0</v>
      </c>
      <c r="O93" s="111" t="n">
        <v>3.108</v>
      </c>
      <c r="P93" s="111" t="n">
        <v>0</v>
      </c>
      <c r="Q93" s="111" t="n">
        <v>0</v>
      </c>
      <c r="R93" s="112" t="n">
        <v>510.9999999999999</v>
      </c>
      <c r="S93" s="97" t="n">
        <v>2046.68602830702</v>
      </c>
      <c r="T93" s="111" t="n">
        <v>9.161</v>
      </c>
      <c r="U93" s="111" t="n">
        <v>9.161</v>
      </c>
      <c r="V93" s="111" t="n">
        <v>9.620000000000001</v>
      </c>
      <c r="W93" s="111" t="n">
        <v>0.375</v>
      </c>
      <c r="X93" s="111" t="n">
        <v>4</v>
      </c>
      <c r="Y93" s="111" t="n">
        <v>0</v>
      </c>
      <c r="Z93" s="111" t="n">
        <v>3.284</v>
      </c>
      <c r="AA93" s="111" t="n">
        <v>0</v>
      </c>
      <c r="AB93" s="111" t="n">
        <v>0</v>
      </c>
      <c r="AC93" s="112" t="n">
        <v>550</v>
      </c>
      <c r="AD93" s="112" t="n">
        <v>2030.734555085789</v>
      </c>
      <c r="AE93" s="20" t="n">
        <v>1113.855574791887</v>
      </c>
      <c r="AF93" s="20" t="n">
        <v>14.09730611508766</v>
      </c>
      <c r="AG93" s="20" t="n">
        <v>480</v>
      </c>
      <c r="AH93" s="20" t="n">
        <v>43.293576364282</v>
      </c>
      <c r="AI93" s="20" t="n">
        <v>43.30689336716242</v>
      </c>
      <c r="AJ93" s="8" t="inlineStr">
        <is>
          <t>Site Level Budgets.xlsx</t>
        </is>
      </c>
      <c r="AK93" s="8" t="inlineStr">
        <is>
          <t>Electricity Contracting Rates Schedule.xlsx</t>
        </is>
      </c>
      <c r="AL93" s="8" t="inlineStr">
        <is>
          <t>Contracted energy/certificate/metering schedule plus non-negotiable network, regulatory, service and renewable components from the tender all-in budget.</t>
        </is>
      </c>
      <c r="AM93" s="97">
        <f>S93</f>
        <v/>
      </c>
      <c r="AN93" s="97">
        <f>SUM(AE93:AH93)</f>
        <v/>
      </c>
      <c r="AO93" s="97">
        <f>AM93+AN93</f>
        <v/>
      </c>
      <c r="AP93" s="97">
        <f>AD93</f>
        <v/>
      </c>
      <c r="AQ93" s="97">
        <f>SUM(AE93:AG93)+AI93</f>
        <v/>
      </c>
      <c r="AR93" s="107">
        <f>AP93+AQ93</f>
        <v/>
      </c>
    </row>
    <row r="94">
      <c r="A94" s="2" t="inlineStr">
        <is>
          <t>4103742940</t>
        </is>
      </c>
      <c r="B94" s="8" t="inlineStr">
        <is>
          <t>Corporate Office - North Ryde</t>
        </is>
      </c>
      <c r="C94" s="8" t="inlineStr">
        <is>
          <t>NSW</t>
        </is>
      </c>
      <c r="D94" s="8" t="inlineStr">
        <is>
          <t>Origin, 24mth</t>
        </is>
      </c>
      <c r="E94" s="95" t="n">
        <v>90701.86</v>
      </c>
      <c r="F94" s="95" t="n">
        <v>16940.36</v>
      </c>
      <c r="G94" s="95" t="n">
        <v>43480.91</v>
      </c>
      <c r="H94" s="95" t="n">
        <v>30280.59</v>
      </c>
      <c r="I94" s="111" t="n">
        <v>9.462999999999999</v>
      </c>
      <c r="J94" s="111" t="n">
        <v>9.462999999999999</v>
      </c>
      <c r="K94" s="111" t="n">
        <v>9.576000000000001</v>
      </c>
      <c r="L94" s="111" t="n">
        <v>0.375</v>
      </c>
      <c r="M94" s="111" t="n">
        <v>4</v>
      </c>
      <c r="N94" s="111" t="n">
        <v>0</v>
      </c>
      <c r="O94" s="111" t="n">
        <v>3.108</v>
      </c>
      <c r="P94" s="111" t="n">
        <v>0</v>
      </c>
      <c r="Q94" s="111" t="n">
        <v>0</v>
      </c>
      <c r="R94" s="112" t="n">
        <v>510.9999999999999</v>
      </c>
      <c r="S94" s="97" t="n">
        <v>10383.76597716448</v>
      </c>
      <c r="T94" s="111" t="n">
        <v>9.161</v>
      </c>
      <c r="U94" s="111" t="n">
        <v>9.161</v>
      </c>
      <c r="V94" s="111" t="n">
        <v>9.620000000000001</v>
      </c>
      <c r="W94" s="111" t="n">
        <v>0.375</v>
      </c>
      <c r="X94" s="111" t="n">
        <v>4</v>
      </c>
      <c r="Y94" s="111" t="n">
        <v>0</v>
      </c>
      <c r="Z94" s="111" t="n">
        <v>3.284</v>
      </c>
      <c r="AA94" s="111" t="n">
        <v>0</v>
      </c>
      <c r="AB94" s="111" t="n">
        <v>0</v>
      </c>
      <c r="AC94" s="112" t="n">
        <v>550</v>
      </c>
      <c r="AD94" s="112" t="n">
        <v>10228.70277632336</v>
      </c>
      <c r="AE94" s="20" t="n">
        <v>28780.6084255249</v>
      </c>
      <c r="AF94" s="20" t="n">
        <v>1726.836505531494</v>
      </c>
      <c r="AG94" s="20" t="n">
        <v>480</v>
      </c>
      <c r="AH94" s="20" t="n">
        <v>284.624953656615</v>
      </c>
      <c r="AI94" s="20" t="n">
        <v>284.71250362698</v>
      </c>
      <c r="AJ94" s="8" t="inlineStr">
        <is>
          <t>Site Level Budgets.xlsx</t>
        </is>
      </c>
      <c r="AK94" s="8" t="inlineStr">
        <is>
          <t>Electricity Contracting Rates Schedule.xlsx</t>
        </is>
      </c>
      <c r="AL94" s="8" t="inlineStr">
        <is>
          <t>Contracted energy/certificate/metering schedule plus non-negotiable network, regulatory, service and renewable components from the tender all-in budget.</t>
        </is>
      </c>
      <c r="AM94" s="97">
        <f>S94</f>
        <v/>
      </c>
      <c r="AN94" s="97">
        <f>SUM(AE94:AH94)</f>
        <v/>
      </c>
      <c r="AO94" s="97">
        <f>AM94+AN94</f>
        <v/>
      </c>
      <c r="AP94" s="97">
        <f>AD94</f>
        <v/>
      </c>
      <c r="AQ94" s="97">
        <f>SUM(AE94:AG94)+AI94</f>
        <v/>
      </c>
      <c r="AR94" s="107">
        <f>AP94+AQ94</f>
        <v/>
      </c>
    </row>
    <row r="95">
      <c r="A95" s="2" t="inlineStr">
        <is>
          <t>4103742939</t>
        </is>
      </c>
      <c r="B95" s="8" t="inlineStr">
        <is>
          <t>Corporate Office - North Ryde</t>
        </is>
      </c>
      <c r="C95" s="8" t="inlineStr">
        <is>
          <t>NSW</t>
        </is>
      </c>
      <c r="D95" s="8" t="inlineStr">
        <is>
          <t>Origin, 24mth</t>
        </is>
      </c>
      <c r="E95" s="95" t="n">
        <v>81857.7999999999</v>
      </c>
      <c r="F95" s="95" t="n">
        <v>11708.98</v>
      </c>
      <c r="G95" s="95" t="n">
        <v>23625.9899999999</v>
      </c>
      <c r="H95" s="95" t="n">
        <v>46522.83</v>
      </c>
      <c r="I95" s="111" t="n">
        <v>9.462999999999999</v>
      </c>
      <c r="J95" s="111" t="n">
        <v>9.462999999999999</v>
      </c>
      <c r="K95" s="111" t="n">
        <v>9.576000000000001</v>
      </c>
      <c r="L95" s="111" t="n">
        <v>0.375</v>
      </c>
      <c r="M95" s="111" t="n">
        <v>4</v>
      </c>
      <c r="N95" s="111" t="n">
        <v>0</v>
      </c>
      <c r="O95" s="111" t="n">
        <v>3.108</v>
      </c>
      <c r="P95" s="111" t="n">
        <v>0</v>
      </c>
      <c r="Q95" s="111" t="n">
        <v>0</v>
      </c>
      <c r="R95" s="112" t="n">
        <v>510.9999999999999</v>
      </c>
      <c r="S95" s="97" t="n">
        <v>9447.23779733463</v>
      </c>
      <c r="T95" s="111" t="n">
        <v>9.161</v>
      </c>
      <c r="U95" s="111" t="n">
        <v>9.161</v>
      </c>
      <c r="V95" s="111" t="n">
        <v>9.620000000000001</v>
      </c>
      <c r="W95" s="111" t="n">
        <v>0.375</v>
      </c>
      <c r="X95" s="111" t="n">
        <v>4</v>
      </c>
      <c r="Y95" s="111" t="n">
        <v>0</v>
      </c>
      <c r="Z95" s="111" t="n">
        <v>3.284</v>
      </c>
      <c r="AA95" s="111" t="n">
        <v>0</v>
      </c>
      <c r="AB95" s="111" t="n">
        <v>0</v>
      </c>
      <c r="AC95" s="112" t="n">
        <v>550</v>
      </c>
      <c r="AD95" s="112" t="n">
        <v>9375.674222303111</v>
      </c>
      <c r="AE95" s="20" t="n">
        <v>25187.87100214537</v>
      </c>
      <c r="AF95" s="20" t="n">
        <v>1511.272260128722</v>
      </c>
      <c r="AG95" s="20" t="n">
        <v>480</v>
      </c>
      <c r="AH95" s="20" t="n">
        <v>256.8720479539497</v>
      </c>
      <c r="AI95" s="20" t="n">
        <v>256.9510611953996</v>
      </c>
      <c r="AJ95" s="8" t="inlineStr">
        <is>
          <t>Site Level Budgets.xlsx</t>
        </is>
      </c>
      <c r="AK95" s="8" t="inlineStr">
        <is>
          <t>Electricity Contracting Rates Schedule.xlsx</t>
        </is>
      </c>
      <c r="AL95" s="8" t="inlineStr">
        <is>
          <t>Contracted energy/certificate/metering schedule plus non-negotiable network, regulatory, service and renewable components from the tender all-in budget.</t>
        </is>
      </c>
      <c r="AM95" s="97">
        <f>S95</f>
        <v/>
      </c>
      <c r="AN95" s="97">
        <f>SUM(AE95:AH95)</f>
        <v/>
      </c>
      <c r="AO95" s="97">
        <f>AM95+AN95</f>
        <v/>
      </c>
      <c r="AP95" s="97">
        <f>AD95</f>
        <v/>
      </c>
      <c r="AQ95" s="97">
        <f>SUM(AE95:AG95)+AI95</f>
        <v/>
      </c>
      <c r="AR95" s="107">
        <f>AP95+AQ95</f>
        <v/>
      </c>
    </row>
    <row r="96">
      <c r="A96" s="2" t="inlineStr">
        <is>
          <t>4001127731</t>
        </is>
      </c>
      <c r="B96" s="8" t="inlineStr">
        <is>
          <t>Roads - Jerramadra (Mogo)</t>
        </is>
      </c>
      <c r="C96" s="8" t="inlineStr">
        <is>
          <t>NSW</t>
        </is>
      </c>
      <c r="D96" s="8" t="inlineStr">
        <is>
          <t>Origin, 24mth</t>
        </is>
      </c>
      <c r="E96" s="95" t="n">
        <v>44278.31</v>
      </c>
      <c r="F96" s="95" t="n">
        <v>6535.48</v>
      </c>
      <c r="G96" s="95" t="n">
        <v>14928.52</v>
      </c>
      <c r="H96" s="95" t="n">
        <v>22814.31</v>
      </c>
      <c r="I96" s="111" t="n">
        <v>9.462999999999999</v>
      </c>
      <c r="J96" s="111" t="n">
        <v>9.462999999999999</v>
      </c>
      <c r="K96" s="111" t="n">
        <v>9.576000000000001</v>
      </c>
      <c r="L96" s="111" t="n">
        <v>0.375</v>
      </c>
      <c r="M96" s="111" t="n">
        <v>4</v>
      </c>
      <c r="N96" s="111" t="n">
        <v>0</v>
      </c>
      <c r="O96" s="111" t="n">
        <v>3.108</v>
      </c>
      <c r="P96" s="111" t="n">
        <v>0</v>
      </c>
      <c r="Q96" s="111" t="n">
        <v>0</v>
      </c>
      <c r="R96" s="112" t="n">
        <v>510.9999999999999</v>
      </c>
      <c r="S96" s="97" t="n">
        <v>5359.93600005724</v>
      </c>
      <c r="T96" s="111" t="n">
        <v>9.161</v>
      </c>
      <c r="U96" s="111" t="n">
        <v>9.161</v>
      </c>
      <c r="V96" s="111" t="n">
        <v>9.620000000000001</v>
      </c>
      <c r="W96" s="111" t="n">
        <v>0.375</v>
      </c>
      <c r="X96" s="111" t="n">
        <v>4</v>
      </c>
      <c r="Y96" s="111" t="n">
        <v>0</v>
      </c>
      <c r="Z96" s="111" t="n">
        <v>3.284</v>
      </c>
      <c r="AA96" s="111" t="n">
        <v>0</v>
      </c>
      <c r="AB96" s="111" t="n">
        <v>0</v>
      </c>
      <c r="AC96" s="112" t="n">
        <v>550</v>
      </c>
      <c r="AD96" s="112" t="n">
        <v>5312.851847284441</v>
      </c>
      <c r="AE96" s="20" t="n">
        <v>14122.02374683092</v>
      </c>
      <c r="AF96" s="20" t="n">
        <v>847.3214248098553</v>
      </c>
      <c r="AG96" s="20" t="n">
        <v>480</v>
      </c>
      <c r="AH96" s="20" t="n">
        <v>138.9465655031025</v>
      </c>
      <c r="AI96" s="20" t="n">
        <v>138.98930514183</v>
      </c>
      <c r="AJ96" s="8" t="inlineStr">
        <is>
          <t>Site Level Budgets.xlsx</t>
        </is>
      </c>
      <c r="AK96" s="8" t="inlineStr">
        <is>
          <t>Electricity Contracting Rates Schedule.xlsx</t>
        </is>
      </c>
      <c r="AL96" s="8" t="inlineStr">
        <is>
          <t>Contracted energy/certificate/metering schedule plus non-negotiable network, regulatory, service and renewable components from the tender all-in budget.</t>
        </is>
      </c>
      <c r="AM96" s="97">
        <f>S96</f>
        <v/>
      </c>
      <c r="AN96" s="97">
        <f>SUM(AE96:AH96)</f>
        <v/>
      </c>
      <c r="AO96" s="97">
        <f>AM96+AN96</f>
        <v/>
      </c>
      <c r="AP96" s="97">
        <f>AD96</f>
        <v/>
      </c>
      <c r="AQ96" s="97">
        <f>SUM(AE96:AG96)+AI96</f>
        <v/>
      </c>
      <c r="AR96" s="107">
        <f>AP96+AQ96</f>
        <v/>
      </c>
    </row>
    <row r="97">
      <c r="A97" s="2" t="inlineStr">
        <is>
          <t>4103737079</t>
        </is>
      </c>
      <c r="B97" s="8" t="inlineStr">
        <is>
          <t>Corporate Office - North Ryde</t>
        </is>
      </c>
      <c r="C97" s="8" t="inlineStr">
        <is>
          <t>NSW</t>
        </is>
      </c>
      <c r="D97" s="8" t="inlineStr">
        <is>
          <t>Origin, 24mth</t>
        </is>
      </c>
      <c r="E97" s="95" t="n">
        <v>19241.4</v>
      </c>
      <c r="F97" s="95" t="n">
        <v>2738.08</v>
      </c>
      <c r="G97" s="95" t="n">
        <v>6006.14</v>
      </c>
      <c r="H97" s="95" t="n">
        <v>10497.18</v>
      </c>
      <c r="I97" s="111" t="n">
        <v>9.462999999999999</v>
      </c>
      <c r="J97" s="111" t="n">
        <v>9.462999999999999</v>
      </c>
      <c r="K97" s="111" t="n">
        <v>9.576000000000001</v>
      </c>
      <c r="L97" s="111" t="n">
        <v>0.375</v>
      </c>
      <c r="M97" s="111" t="n">
        <v>4</v>
      </c>
      <c r="N97" s="111" t="n">
        <v>0</v>
      </c>
      <c r="O97" s="111" t="n">
        <v>3.108</v>
      </c>
      <c r="P97" s="111" t="n">
        <v>0</v>
      </c>
      <c r="Q97" s="111" t="n">
        <v>0</v>
      </c>
      <c r="R97" s="112" t="n">
        <v>510.9999999999999</v>
      </c>
      <c r="S97" s="97" t="n">
        <v>2640.86436673504</v>
      </c>
      <c r="T97" s="111" t="n">
        <v>9.161</v>
      </c>
      <c r="U97" s="111" t="n">
        <v>9.161</v>
      </c>
      <c r="V97" s="111" t="n">
        <v>9.620000000000001</v>
      </c>
      <c r="W97" s="111" t="n">
        <v>0.375</v>
      </c>
      <c r="X97" s="111" t="n">
        <v>4</v>
      </c>
      <c r="Y97" s="111" t="n">
        <v>0</v>
      </c>
      <c r="Z97" s="111" t="n">
        <v>3.284</v>
      </c>
      <c r="AA97" s="111" t="n">
        <v>0</v>
      </c>
      <c r="AB97" s="111" t="n">
        <v>0</v>
      </c>
      <c r="AC97" s="112" t="n">
        <v>550</v>
      </c>
      <c r="AD97" s="112" t="n">
        <v>2622.48087122752</v>
      </c>
      <c r="AE97" s="20" t="n">
        <v>6591.966117454908</v>
      </c>
      <c r="AF97" s="20" t="n">
        <v>395.5179670472945</v>
      </c>
      <c r="AG97" s="20" t="n">
        <v>480</v>
      </c>
      <c r="AH97" s="20" t="n">
        <v>60.38004714885001</v>
      </c>
      <c r="AI97" s="20" t="n">
        <v>60.3986199102</v>
      </c>
      <c r="AJ97" s="8" t="inlineStr">
        <is>
          <t>Site Level Budgets.xlsx</t>
        </is>
      </c>
      <c r="AK97" s="8" t="inlineStr">
        <is>
          <t>Electricity Contracting Rates Schedule.xlsx</t>
        </is>
      </c>
      <c r="AL97" s="8" t="inlineStr">
        <is>
          <t>Contracted energy/certificate/metering schedule plus non-negotiable network, regulatory, service and renewable components from the tender all-in budget.</t>
        </is>
      </c>
      <c r="AM97" s="97">
        <f>S97</f>
        <v/>
      </c>
      <c r="AN97" s="97">
        <f>SUM(AE97:AH97)</f>
        <v/>
      </c>
      <c r="AO97" s="97">
        <f>AM97+AN97</f>
        <v/>
      </c>
      <c r="AP97" s="97">
        <f>AD97</f>
        <v/>
      </c>
      <c r="AQ97" s="97">
        <f>SUM(AE97:AG97)+AI97</f>
        <v/>
      </c>
      <c r="AR97" s="107">
        <f>AP97+AQ97</f>
        <v/>
      </c>
    </row>
    <row r="98">
      <c r="A98" s="2" t="inlineStr">
        <is>
          <t>4310957406</t>
        </is>
      </c>
      <c r="B98" s="8" t="inlineStr">
        <is>
          <t>NSW Schools 2 - John Palmer PS</t>
        </is>
      </c>
      <c r="C98" s="8" t="inlineStr">
        <is>
          <t>NSW</t>
        </is>
      </c>
      <c r="D98" s="8" t="inlineStr">
        <is>
          <t>Origin, 24mth</t>
        </is>
      </c>
      <c r="E98" s="95" t="n">
        <v>26836.14</v>
      </c>
      <c r="F98" s="95" t="n">
        <v>5280.89</v>
      </c>
      <c r="G98" s="95" t="n">
        <v>13153.31</v>
      </c>
      <c r="H98" s="95" t="n">
        <v>8401.940000000001</v>
      </c>
      <c r="I98" s="111" t="n">
        <v>9.462999999999999</v>
      </c>
      <c r="J98" s="111" t="n">
        <v>9.462999999999999</v>
      </c>
      <c r="K98" s="111" t="n">
        <v>9.576000000000001</v>
      </c>
      <c r="L98" s="111" t="n">
        <v>0.375</v>
      </c>
      <c r="M98" s="111" t="n">
        <v>4</v>
      </c>
      <c r="N98" s="111" t="n">
        <v>0</v>
      </c>
      <c r="O98" s="111" t="n">
        <v>3.108</v>
      </c>
      <c r="P98" s="111" t="n">
        <v>0</v>
      </c>
      <c r="Q98" s="111" t="n">
        <v>0</v>
      </c>
      <c r="R98" s="112" t="n">
        <v>510.9999999999999</v>
      </c>
      <c r="S98" s="97" t="n">
        <v>3458.88761092696</v>
      </c>
      <c r="T98" s="111" t="n">
        <v>9.161</v>
      </c>
      <c r="U98" s="111" t="n">
        <v>9.161</v>
      </c>
      <c r="V98" s="111" t="n">
        <v>9.620000000000001</v>
      </c>
      <c r="W98" s="111" t="n">
        <v>0.375</v>
      </c>
      <c r="X98" s="111" t="n">
        <v>4</v>
      </c>
      <c r="Y98" s="111" t="n">
        <v>0</v>
      </c>
      <c r="Z98" s="111" t="n">
        <v>3.284</v>
      </c>
      <c r="AA98" s="111" t="n">
        <v>0</v>
      </c>
      <c r="AB98" s="111" t="n">
        <v>0</v>
      </c>
      <c r="AC98" s="112" t="n">
        <v>550</v>
      </c>
      <c r="AD98" s="112" t="n">
        <v>3411.023637512561</v>
      </c>
      <c r="AE98" s="20" t="n">
        <v>9140.299672459547</v>
      </c>
      <c r="AF98" s="20" t="n">
        <v>548.4179803475728</v>
      </c>
      <c r="AG98" s="20" t="n">
        <v>480</v>
      </c>
      <c r="AH98" s="20" t="n">
        <v>84.21255202288501</v>
      </c>
      <c r="AI98" s="20" t="n">
        <v>84.23845560702</v>
      </c>
      <c r="AJ98" s="8" t="inlineStr">
        <is>
          <t>Site Level Budgets.xlsx</t>
        </is>
      </c>
      <c r="AK98" s="8" t="inlineStr">
        <is>
          <t>Electricity Contracting Rates Schedule.xlsx</t>
        </is>
      </c>
      <c r="AL98" s="8" t="inlineStr">
        <is>
          <t>Contracted energy/certificate/metering schedule plus non-negotiable network, regulatory, service and renewable components from the tender all-in budget.</t>
        </is>
      </c>
      <c r="AM98" s="97">
        <f>S98</f>
        <v/>
      </c>
      <c r="AN98" s="97">
        <f>SUM(AE98:AH98)</f>
        <v/>
      </c>
      <c r="AO98" s="97">
        <f>AM98+AN98</f>
        <v/>
      </c>
      <c r="AP98" s="97">
        <f>AD98</f>
        <v/>
      </c>
      <c r="AQ98" s="97">
        <f>SUM(AE98:AG98)+AI98</f>
        <v/>
      </c>
      <c r="AR98" s="107">
        <f>AP98+AQ98</f>
        <v/>
      </c>
    </row>
    <row r="99">
      <c r="A99" s="2" t="inlineStr">
        <is>
          <t>4001158058</t>
        </is>
      </c>
      <c r="B99" s="8" t="inlineStr">
        <is>
          <t>Roads - Tamworth</t>
        </is>
      </c>
      <c r="C99" s="8" t="inlineStr">
        <is>
          <t>NSW</t>
        </is>
      </c>
      <c r="D99" s="8" t="inlineStr">
        <is>
          <t>Origin, 24mth</t>
        </is>
      </c>
      <c r="E99" s="95" t="n">
        <v>0</v>
      </c>
      <c r="F99" s="95" t="n">
        <v>0</v>
      </c>
      <c r="G99" s="95" t="n">
        <v>0</v>
      </c>
      <c r="H99" s="95" t="n">
        <v>0</v>
      </c>
      <c r="I99" s="111" t="n">
        <v>9.462999999999999</v>
      </c>
      <c r="J99" s="111" t="n">
        <v>9.462999999999999</v>
      </c>
      <c r="K99" s="111" t="n">
        <v>9.576000000000001</v>
      </c>
      <c r="L99" s="111" t="n">
        <v>0.375</v>
      </c>
      <c r="M99" s="111" t="n">
        <v>4</v>
      </c>
      <c r="N99" s="111" t="n">
        <v>0</v>
      </c>
      <c r="O99" s="111" t="n">
        <v>3.108</v>
      </c>
      <c r="P99" s="111" t="n">
        <v>0</v>
      </c>
      <c r="Q99" s="111" t="n">
        <v>0</v>
      </c>
      <c r="R99" s="112" t="n">
        <v>510.9999999999999</v>
      </c>
      <c r="S99" s="97" t="n">
        <v>550</v>
      </c>
      <c r="T99" s="111" t="n">
        <v>9.161</v>
      </c>
      <c r="U99" s="111" t="n">
        <v>9.161</v>
      </c>
      <c r="V99" s="111" t="n">
        <v>9.620000000000001</v>
      </c>
      <c r="W99" s="111" t="n">
        <v>0.375</v>
      </c>
      <c r="X99" s="111" t="n">
        <v>4</v>
      </c>
      <c r="Y99" s="111" t="n">
        <v>0</v>
      </c>
      <c r="Z99" s="111" t="n">
        <v>3.284</v>
      </c>
      <c r="AA99" s="111" t="n">
        <v>0</v>
      </c>
      <c r="AB99" s="111" t="n">
        <v>0</v>
      </c>
      <c r="AC99" s="112" t="n">
        <v>550</v>
      </c>
      <c r="AD99" s="112" t="n">
        <v>550</v>
      </c>
      <c r="AE99" s="20" t="n">
        <v>0</v>
      </c>
      <c r="AF99" s="20" t="n">
        <v>0</v>
      </c>
      <c r="AG99" s="20" t="n">
        <v>480</v>
      </c>
      <c r="AH99" s="20" t="n">
        <v>0</v>
      </c>
      <c r="AI99" s="20" t="n">
        <v>0</v>
      </c>
      <c r="AJ99" s="8" t="inlineStr">
        <is>
          <t>Site Level Budgets.xlsx</t>
        </is>
      </c>
      <c r="AK99" s="8" t="inlineStr">
        <is>
          <t>Electricity Contracting Rates Schedule.xlsx</t>
        </is>
      </c>
      <c r="AL99" s="8" t="inlineStr">
        <is>
          <t>Contracted energy/certificate/metering schedule plus non-negotiable network, regulatory, service and renewable components from the tender all-in budget.</t>
        </is>
      </c>
      <c r="AM99" s="97">
        <f>S99</f>
        <v/>
      </c>
      <c r="AN99" s="97">
        <f>SUM(AE99:AH99)</f>
        <v/>
      </c>
      <c r="AO99" s="97">
        <f>AM99+AN99</f>
        <v/>
      </c>
      <c r="AP99" s="97">
        <f>AD99</f>
        <v/>
      </c>
      <c r="AQ99" s="97">
        <f>SUM(AE99:AG99)+AI99</f>
        <v/>
      </c>
      <c r="AR99" s="107">
        <f>AP99+AQ99</f>
        <v/>
      </c>
    </row>
    <row r="100">
      <c r="A100" s="5" t="inlineStr">
        <is>
          <t>7001184714</t>
        </is>
      </c>
      <c r="B100" s="9" t="inlineStr">
        <is>
          <t>Roads - Hume</t>
        </is>
      </c>
      <c r="C100" s="9" t="inlineStr">
        <is>
          <t>ACT</t>
        </is>
      </c>
      <c r="D100" s="9" t="inlineStr">
        <is>
          <t>Origin, 24mth</t>
        </is>
      </c>
      <c r="E100" s="101" t="n">
        <v>928827.6759999999</v>
      </c>
      <c r="F100" s="101" t="n">
        <v>144465.72</v>
      </c>
      <c r="G100" s="101" t="n">
        <v>292126.736</v>
      </c>
      <c r="H100" s="101" t="n">
        <v>492235.2199999999</v>
      </c>
      <c r="I100" s="113" t="n">
        <v>10.322</v>
      </c>
      <c r="J100" s="113" t="n">
        <v>10.322</v>
      </c>
      <c r="K100" s="113" t="n">
        <v>10.449</v>
      </c>
      <c r="L100" s="113" t="n">
        <v>0.375</v>
      </c>
      <c r="M100" s="113" t="n">
        <v>4</v>
      </c>
      <c r="N100" s="113" t="n">
        <v>0</v>
      </c>
      <c r="O100" s="113" t="n">
        <v>0</v>
      </c>
      <c r="P100" s="113" t="n">
        <v>0.4005</v>
      </c>
      <c r="Q100" s="113" t="n">
        <v>0</v>
      </c>
      <c r="R100" s="114" t="n">
        <v>510.9999999999999</v>
      </c>
      <c r="S100" s="103" t="n">
        <v>107120.3802729818</v>
      </c>
      <c r="T100" s="113" t="n">
        <v>9.977</v>
      </c>
      <c r="U100" s="113" t="n">
        <v>9.977</v>
      </c>
      <c r="V100" s="113" t="n">
        <v>10.448</v>
      </c>
      <c r="W100" s="113" t="n">
        <v>0.375</v>
      </c>
      <c r="X100" s="113" t="n">
        <v>4</v>
      </c>
      <c r="Y100" s="113" t="n">
        <v>0</v>
      </c>
      <c r="Z100" s="113" t="n">
        <v>0</v>
      </c>
      <c r="AA100" s="113" t="n">
        <v>0.4005</v>
      </c>
      <c r="AB100" s="113" t="n">
        <v>0</v>
      </c>
      <c r="AC100" s="114" t="n">
        <v>550</v>
      </c>
      <c r="AD100" s="114" t="n">
        <v>105612.6255113431</v>
      </c>
      <c r="AE100" s="26" t="n">
        <v>73468.9381239592</v>
      </c>
      <c r="AF100" s="26" t="n">
        <v>847.2595063610197</v>
      </c>
      <c r="AG100" s="26" t="n">
        <v>480</v>
      </c>
      <c r="AH100" s="26" t="n">
        <v>2824.501663048926</v>
      </c>
      <c r="AI100" s="26" t="n">
        <v>2825.370473157522</v>
      </c>
      <c r="AJ100" s="9" t="inlineStr">
        <is>
          <t>Site Level Budgets.xlsx</t>
        </is>
      </c>
      <c r="AK100" s="9" t="inlineStr">
        <is>
          <t>Electricity Contracting Rates Schedule.xlsx</t>
        </is>
      </c>
      <c r="AL100" s="9" t="inlineStr">
        <is>
          <t>Contracted energy/certificate/metering schedule plus non-negotiable network, regulatory, service and renewable components from the tender all-in budget.</t>
        </is>
      </c>
      <c r="AM100" s="103">
        <f>S100</f>
        <v/>
      </c>
      <c r="AN100" s="103">
        <f>SUM(AE100:AH100)</f>
        <v/>
      </c>
      <c r="AO100" s="103">
        <f>AM100+AN100</f>
        <v/>
      </c>
      <c r="AP100" s="103">
        <f>AD100</f>
        <v/>
      </c>
      <c r="AQ100" s="103">
        <f>SUM(AE100:AG100)+AI100</f>
        <v/>
      </c>
      <c r="AR100" s="110">
        <f>AP100+AQ100</f>
        <v/>
      </c>
    </row>
    <row r="104" ht="30.75" customHeight="1">
      <c r="A104" s="38" t="inlineStr">
        <is>
          <t>SME Electricity Rates raw source schedule</t>
        </is>
      </c>
      <c r="B104" s="38" t="n"/>
      <c r="C104" s="38" t="n"/>
      <c r="D104" s="38" t="n"/>
      <c r="E104" s="38" t="n"/>
      <c r="F104" s="38" t="n"/>
      <c r="G104" s="38" t="n"/>
      <c r="H104" s="38" t="n"/>
      <c r="I104" s="38" t="n"/>
      <c r="J104" s="38" t="n"/>
      <c r="K104" s="38" t="n"/>
      <c r="L104" s="38" t="n"/>
      <c r="M104" s="38" t="n"/>
      <c r="N104" s="38" t="n"/>
      <c r="O104" s="38" t="n"/>
      <c r="P104" s="38" t="n"/>
      <c r="Q104" s="38" t="n"/>
      <c r="R104" s="38" t="n"/>
      <c r="S104" s="38" t="n"/>
      <c r="T104" s="38" t="n"/>
      <c r="U104" s="38" t="n"/>
      <c r="V104" s="38" t="n"/>
      <c r="W104" s="38" t="n"/>
      <c r="X104" s="38" t="n"/>
      <c r="Y104" s="38" t="n"/>
      <c r="Z104" s="38" t="n"/>
      <c r="AA104" s="38" t="n"/>
      <c r="AB104" s="38" t="n"/>
      <c r="AC104" s="38" t="n"/>
      <c r="AD104" s="38" t="n"/>
      <c r="AE104" s="38" t="n"/>
      <c r="AF104" s="38" t="n"/>
      <c r="AG104" s="38" t="n"/>
      <c r="AH104" s="38" t="n"/>
      <c r="AI104" s="38" t="n"/>
      <c r="AJ104" s="38" t="n"/>
      <c r="AK104" s="38" t="n"/>
      <c r="AL104" s="38" t="n"/>
      <c r="AM104" s="38" t="n"/>
      <c r="AN104" s="38" t="n"/>
      <c r="AO104" s="38" t="n"/>
      <c r="AP104" s="38" t="n"/>
      <c r="AQ104" s="38" t="n"/>
      <c r="AR104" s="38" t="n"/>
      <c r="AS104" s="38" t="n"/>
      <c r="AT104" s="38" t="n"/>
      <c r="AU104" s="38" t="n"/>
      <c r="AV104" s="38" t="n"/>
      <c r="AW104" s="38" t="n"/>
      <c r="AX104" s="38" t="n"/>
      <c r="AY104" s="38" t="n"/>
      <c r="AZ104" s="38" t="n"/>
      <c r="BA104" s="38" t="n"/>
      <c r="BB104" s="38" t="n"/>
      <c r="BC104" s="38" t="n"/>
      <c r="BD104" s="38" t="n"/>
      <c r="BE104" s="38" t="n"/>
      <c r="BF104" s="38" t="n"/>
      <c r="BG104" s="38" t="n"/>
      <c r="BH104" s="38" t="n"/>
      <c r="BI104" s="38" t="n"/>
      <c r="BJ104" s="38" t="n"/>
      <c r="BK104" s="38" t="n"/>
      <c r="BL104" s="38" t="n"/>
      <c r="BM104" s="38" t="n"/>
    </row>
    <row r="105" ht="65.25" customHeight="1">
      <c r="A105" s="39" t="inlineStr">
        <is>
          <t>Retailer</t>
        </is>
      </c>
      <c r="B105" s="40" t="inlineStr">
        <is>
          <t>Contract Term</t>
        </is>
      </c>
      <c r="C105" s="40" t="inlineStr">
        <is>
          <t>NMI</t>
        </is>
      </c>
      <c r="D105" s="40" t="inlineStr">
        <is>
          <t>State</t>
        </is>
      </c>
      <c r="E105" s="40" t="inlineStr">
        <is>
          <t>Network</t>
        </is>
      </c>
      <c r="F105" s="40" t="inlineStr">
        <is>
          <t>NT</t>
        </is>
      </c>
      <c r="G105" s="40" t="inlineStr">
        <is>
          <t>Meter Type</t>
        </is>
      </c>
      <c r="H105" s="40" t="inlineStr">
        <is>
          <t>GST Inc. Rates</t>
        </is>
      </c>
      <c r="I105" s="40" t="inlineStr">
        <is>
          <t>Block 1 kWh/day</t>
        </is>
      </c>
      <c r="J105" s="40" t="inlineStr">
        <is>
          <t>Block 2 kWh/day</t>
        </is>
      </c>
      <c r="K105" s="40" t="inlineStr">
        <is>
          <t>Peak 1 c/kWh (inc GST)</t>
        </is>
      </c>
      <c r="L105" s="40" t="inlineStr">
        <is>
          <t>Peak 2 c/kWh (inc GST)</t>
        </is>
      </c>
      <c r="M105" s="40" t="inlineStr">
        <is>
          <t>Peak 3 c/kWh (inc GST)</t>
        </is>
      </c>
      <c r="N105" s="40" t="inlineStr">
        <is>
          <t>Shoulder c/kWh (inc GST)</t>
        </is>
      </c>
      <c r="O105" s="40" t="inlineStr">
        <is>
          <t>Off Peak c/kWh (inc GST)</t>
        </is>
      </c>
      <c r="P105" s="40" t="inlineStr">
        <is>
          <t>Service Fee</t>
        </is>
      </c>
      <c r="Q105" s="40" t="inlineStr">
        <is>
          <t>Meter Fee</t>
        </is>
      </c>
      <c r="R105" s="40" t="inlineStr">
        <is>
          <t>Usage Discount</t>
        </is>
      </c>
      <c r="S105" s="40" t="inlineStr">
        <is>
          <t>Supply Discount</t>
        </is>
      </c>
      <c r="T105" s="40" t="inlineStr">
        <is>
          <t>Controlled Load c/kWh (inc GST)</t>
        </is>
      </c>
      <c r="U105" s="40" t="inlineStr">
        <is>
          <t>Demand 1 (inc GST)</t>
        </is>
      </c>
      <c r="V105" s="40" t="inlineStr">
        <is>
          <t>Demand 2 (inc GST)</t>
        </is>
      </c>
      <c r="W105" s="40" t="inlineStr">
        <is>
          <t>Demand 3 (inc GST)</t>
        </is>
      </c>
      <c r="X105" s="40" t="inlineStr">
        <is>
          <t>SC1 c/Day (inc GST)</t>
        </is>
      </c>
      <c r="Y105" s="40" t="inlineStr">
        <is>
          <t>SC2 c/Day (inc GST)</t>
        </is>
      </c>
      <c r="Z105" s="40" t="inlineStr">
        <is>
          <t>SC3 c/Day (inc GST)</t>
        </is>
      </c>
      <c r="AA105" s="40" t="inlineStr">
        <is>
          <t>SC4 c/Day (inc GST)</t>
        </is>
      </c>
      <c r="AB105" s="40" t="inlineStr">
        <is>
          <t>SC5 c/Day (inc GST)</t>
        </is>
      </c>
      <c r="AC105" s="40" t="inlineStr">
        <is>
          <t>Peak 1 c/kWh (inc GST).1</t>
        </is>
      </c>
      <c r="AD105" s="40" t="inlineStr">
        <is>
          <t>Peak 2 c/kWh (inc GST).1</t>
        </is>
      </c>
      <c r="AE105" s="40" t="inlineStr">
        <is>
          <t>Peak 3 c/kWh (inc GST).1</t>
        </is>
      </c>
      <c r="AF105" s="40" t="inlineStr">
        <is>
          <t>Shoulder c/kWh (inc GST).1</t>
        </is>
      </c>
      <c r="AG105" s="40" t="inlineStr">
        <is>
          <t>Off Peak c/kWh (inc GST).1</t>
        </is>
      </c>
      <c r="AH105" s="40" t="inlineStr">
        <is>
          <t>Service Fee.1</t>
        </is>
      </c>
      <c r="AI105" s="40" t="inlineStr">
        <is>
          <t>Meter Fee.1</t>
        </is>
      </c>
      <c r="AJ105" s="40" t="inlineStr">
        <is>
          <t>Controlled Load c/kWh (inc GST).1</t>
        </is>
      </c>
      <c r="AK105" s="40" t="inlineStr">
        <is>
          <t>Demand 1 (inc GST).1</t>
        </is>
      </c>
      <c r="AL105" s="40" t="inlineStr">
        <is>
          <t>Demand 2 (inc GST).1</t>
        </is>
      </c>
      <c r="AM105" s="40" t="inlineStr">
        <is>
          <t>Demand 3 (inc GST).1</t>
        </is>
      </c>
      <c r="AN105" s="40" t="inlineStr">
        <is>
          <t>Service Charge c/Day (inc GST)</t>
        </is>
      </c>
      <c r="AO105" s="40" t="inlineStr">
        <is>
          <t>SC1 c/Day (inc GST).1</t>
        </is>
      </c>
      <c r="AP105" s="40" t="inlineStr">
        <is>
          <t>SC2 c/Day (inc GST).1</t>
        </is>
      </c>
      <c r="AQ105" s="40" t="inlineStr">
        <is>
          <t>SC3 c/Day (inc GST).1</t>
        </is>
      </c>
      <c r="AR105" s="40" t="inlineStr">
        <is>
          <t>SC4 c/Day (inc GST).1</t>
        </is>
      </c>
      <c r="AS105" s="40" t="inlineStr">
        <is>
          <t>SC5 c/Day (inc GST).1</t>
        </is>
      </c>
      <c r="AT105" s="40" t="inlineStr">
        <is>
          <t>Peak 1 c/kWh (inc GST).2</t>
        </is>
      </c>
      <c r="AU105" s="40" t="inlineStr">
        <is>
          <t>Peak 2 c/kWh (inc GST).2</t>
        </is>
      </c>
      <c r="AV105" s="40" t="inlineStr">
        <is>
          <t>Peak 3 c/kWh (inc GST).2</t>
        </is>
      </c>
      <c r="AW105" s="40" t="inlineStr">
        <is>
          <t>Shoulder c/kWh (inc GST).2</t>
        </is>
      </c>
      <c r="AX105" s="40" t="inlineStr">
        <is>
          <t>Off Peak c/kWh (inc GST).2</t>
        </is>
      </c>
      <c r="AY105" s="40" t="inlineStr">
        <is>
          <t>Service Fee.2</t>
        </is>
      </c>
      <c r="AZ105" s="40" t="inlineStr">
        <is>
          <t>Meter Fee.2</t>
        </is>
      </c>
      <c r="BA105" s="40" t="inlineStr">
        <is>
          <t>Controlled Load c/kWh (inc GST).2</t>
        </is>
      </c>
      <c r="BB105" s="40" t="inlineStr">
        <is>
          <t>Demand 1 (inc GST).2</t>
        </is>
      </c>
      <c r="BC105" s="40" t="inlineStr">
        <is>
          <t>Demand 2 (inc GST).2</t>
        </is>
      </c>
      <c r="BD105" s="40" t="inlineStr">
        <is>
          <t>Demand 3 (inc GST).2</t>
        </is>
      </c>
      <c r="BE105" s="40" t="inlineStr">
        <is>
          <t>SC1 c/Day (inc GST).2</t>
        </is>
      </c>
      <c r="BF105" s="40" t="inlineStr">
        <is>
          <t>SC2 c/Day (inc GST).2</t>
        </is>
      </c>
      <c r="BG105" s="40" t="inlineStr">
        <is>
          <t>SC3 c/Day (inc GST).2</t>
        </is>
      </c>
      <c r="BH105" s="40" t="inlineStr">
        <is>
          <t>SC4 c/Day (inc GST).2</t>
        </is>
      </c>
      <c r="BI105" s="40" t="inlineStr">
        <is>
          <t>SC5 c/Day (inc GST).2</t>
        </is>
      </c>
      <c r="BJ105" s="40" t="inlineStr">
        <is>
          <t>Usage Spend</t>
        </is>
      </c>
      <c r="BK105" s="40" t="inlineStr">
        <is>
          <t>Supply Spend</t>
        </is>
      </c>
      <c r="BL105" s="40" t="inlineStr">
        <is>
          <t>Total Spend</t>
        </is>
      </c>
      <c r="BM105" s="41" t="inlineStr">
        <is>
          <t>Formula Total Spend</t>
        </is>
      </c>
    </row>
    <row r="106">
      <c r="A106" s="2" t="inlineStr">
        <is>
          <t>Origin</t>
        </is>
      </c>
      <c r="B106" s="8" t="inlineStr">
        <is>
          <t>1/2/3YR</t>
        </is>
      </c>
      <c r="C106" s="8" t="n">
        <v>6407695648</v>
      </c>
      <c r="D106" s="8" t="inlineStr">
        <is>
          <t>VIC</t>
        </is>
      </c>
      <c r="E106" s="8" t="inlineStr">
        <is>
          <t>Jemena Electricty VIC</t>
        </is>
      </c>
      <c r="F106" s="8" t="inlineStr">
        <is>
          <t>LVM1R</t>
        </is>
      </c>
      <c r="G106" s="8" t="n"/>
      <c r="H106" s="8" t="inlineStr">
        <is>
          <t>Y</t>
        </is>
      </c>
      <c r="I106" s="8" t="n"/>
      <c r="J106" s="8" t="n"/>
      <c r="K106" s="8" t="n">
        <v>25.6091</v>
      </c>
      <c r="L106" s="8" t="n"/>
      <c r="M106" s="8" t="n"/>
      <c r="N106" s="8" t="n"/>
      <c r="O106" s="8" t="n">
        <v>25.6091</v>
      </c>
      <c r="P106" s="8" t="n">
        <v>154</v>
      </c>
      <c r="Q106" s="8" t="n">
        <v>0</v>
      </c>
      <c r="R106" s="8" t="n">
        <v>0.15</v>
      </c>
      <c r="S106" s="8" t="n">
        <v>0.15</v>
      </c>
      <c r="T106" s="8" t="n"/>
      <c r="U106" s="8" t="n"/>
      <c r="V106" s="8" t="n"/>
      <c r="W106" s="8" t="n"/>
      <c r="X106" s="8" t="n"/>
      <c r="Y106" s="8" t="n"/>
      <c r="Z106" s="8" t="n"/>
      <c r="AA106" s="8" t="n"/>
      <c r="AB106" s="8" t="n"/>
      <c r="AC106" s="8" t="n">
        <v>8381.4</v>
      </c>
      <c r="AD106" s="8" t="n">
        <v>0</v>
      </c>
      <c r="AE106" s="8" t="n"/>
      <c r="AF106" s="8" t="n">
        <v>0</v>
      </c>
      <c r="AG106" s="8" t="n">
        <v>5587.6</v>
      </c>
      <c r="AH106" s="8" t="n">
        <v>365</v>
      </c>
      <c r="AI106" s="8" t="n">
        <v>365</v>
      </c>
      <c r="AJ106" s="8" t="n"/>
      <c r="AK106" s="8" t="n">
        <v>776.0555555555555</v>
      </c>
      <c r="AL106" s="8" t="n">
        <v>2371.280864197531</v>
      </c>
      <c r="AM106" s="8" t="n">
        <v>3147.336419753086</v>
      </c>
      <c r="AN106" s="8" t="n">
        <v>365</v>
      </c>
      <c r="AO106" s="8" t="n">
        <v>365</v>
      </c>
      <c r="AP106" s="8" t="n">
        <v>0</v>
      </c>
      <c r="AQ106" s="8" t="n">
        <v>0</v>
      </c>
      <c r="AR106" s="8" t="n">
        <v>0</v>
      </c>
      <c r="AS106" s="8" t="n">
        <v>0</v>
      </c>
      <c r="AT106" s="8" t="n">
        <v>2146.4011074</v>
      </c>
      <c r="AU106" s="8" t="n">
        <v>0</v>
      </c>
      <c r="AV106" s="8" t="n">
        <v>0</v>
      </c>
      <c r="AW106" s="8" t="n">
        <v>0</v>
      </c>
      <c r="AX106" s="8" t="n">
        <v>1430.9340716</v>
      </c>
      <c r="AY106" s="8" t="n">
        <v>562.1</v>
      </c>
      <c r="AZ106" s="8" t="n">
        <v>0</v>
      </c>
      <c r="BA106" s="8" t="n">
        <v>0</v>
      </c>
      <c r="BB106" s="8" t="n">
        <v>0</v>
      </c>
      <c r="BC106" s="8" t="n">
        <v>0</v>
      </c>
      <c r="BD106" s="8" t="n">
        <v>0</v>
      </c>
      <c r="BE106" s="8" t="n">
        <v>0</v>
      </c>
      <c r="BF106" s="8" t="n">
        <v>0</v>
      </c>
      <c r="BG106" s="8" t="n">
        <v>0</v>
      </c>
      <c r="BH106" s="8" t="n">
        <v>0</v>
      </c>
      <c r="BI106" s="8" t="n">
        <v>0</v>
      </c>
      <c r="BJ106" s="8" t="n">
        <v>2764.3044565</v>
      </c>
      <c r="BK106" s="8" t="n">
        <v>434.35</v>
      </c>
      <c r="BL106" s="8" t="n">
        <v>3198.6544565</v>
      </c>
      <c r="BM106" s="4">
        <f>BJ106+BK106</f>
        <v/>
      </c>
    </row>
    <row r="107">
      <c r="A107" s="2" t="inlineStr">
        <is>
          <t>Origin</t>
        </is>
      </c>
      <c r="B107" s="8" t="inlineStr">
        <is>
          <t>1/2/3YR</t>
        </is>
      </c>
      <c r="C107" s="8" t="n">
        <v>4310027807</v>
      </c>
      <c r="D107" s="8" t="inlineStr">
        <is>
          <t>NSW</t>
        </is>
      </c>
      <c r="E107" s="8" t="inlineStr">
        <is>
          <t>Jemena Electricty VIC</t>
        </is>
      </c>
      <c r="F107" s="8" t="inlineStr">
        <is>
          <t>N90</t>
        </is>
      </c>
      <c r="G107" s="8" t="n"/>
      <c r="H107" s="8" t="inlineStr">
        <is>
          <t>Y</t>
        </is>
      </c>
      <c r="I107" s="8" t="n">
        <v>328</v>
      </c>
      <c r="J107" s="8" t="n"/>
      <c r="K107" s="8" t="n">
        <v>34.5191</v>
      </c>
      <c r="L107" s="8" t="n">
        <v>36.0767</v>
      </c>
      <c r="M107" s="8" t="n"/>
      <c r="N107" s="8" t="n">
        <v>34.5191</v>
      </c>
      <c r="O107" s="8" t="n">
        <v>34.5191</v>
      </c>
      <c r="P107" s="8" t="n">
        <v>244.1274</v>
      </c>
      <c r="Q107" s="8" t="n">
        <v>0</v>
      </c>
      <c r="R107" s="8" t="n">
        <v>0.25</v>
      </c>
      <c r="S107" s="8" t="n">
        <v>0.25</v>
      </c>
      <c r="T107" s="8" t="n"/>
      <c r="U107" s="8" t="n"/>
      <c r="V107" s="8" t="n"/>
      <c r="W107" s="8" t="n"/>
      <c r="X107" s="8" t="n"/>
      <c r="Y107" s="8" t="n"/>
      <c r="Z107" s="8" t="n"/>
      <c r="AA107" s="8" t="n"/>
      <c r="AB107" s="8" t="n"/>
      <c r="AC107" s="8" t="n">
        <v>13075.8</v>
      </c>
      <c r="AD107" s="8" t="n">
        <v>0</v>
      </c>
      <c r="AE107" s="8" t="n"/>
      <c r="AF107" s="8" t="n">
        <v>39227.4</v>
      </c>
      <c r="AG107" s="8" t="n">
        <v>13075.8</v>
      </c>
      <c r="AH107" s="8" t="n">
        <v>365</v>
      </c>
      <c r="AI107" s="8" t="n">
        <v>365</v>
      </c>
      <c r="AJ107" s="8" t="n"/>
      <c r="AK107" s="8" t="n">
        <v>3632.166666666667</v>
      </c>
      <c r="AL107" s="8" t="n">
        <v>11098.28703703704</v>
      </c>
      <c r="AM107" s="8" t="n">
        <v>14730.4537037037</v>
      </c>
      <c r="AN107" s="8" t="n">
        <v>365</v>
      </c>
      <c r="AO107" s="8" t="n">
        <v>0</v>
      </c>
      <c r="AP107" s="8" t="n">
        <v>0</v>
      </c>
      <c r="AQ107" s="8" t="n">
        <v>0</v>
      </c>
      <c r="AR107" s="8" t="n">
        <v>365</v>
      </c>
      <c r="AS107" s="8" t="n">
        <v>0</v>
      </c>
      <c r="AT107" s="8" t="n">
        <v>4513.6484778</v>
      </c>
      <c r="AU107" s="8" t="n">
        <v>0</v>
      </c>
      <c r="AV107" s="8" t="n">
        <v>0</v>
      </c>
      <c r="AW107" s="8" t="n">
        <v>13540.9454334</v>
      </c>
      <c r="AX107" s="8" t="n">
        <v>4513.648477799999</v>
      </c>
      <c r="AY107" s="8" t="n">
        <v>891.06501</v>
      </c>
      <c r="AZ107" s="8" t="n">
        <v>0</v>
      </c>
      <c r="BA107" s="8" t="n">
        <v>0</v>
      </c>
      <c r="BB107" s="8" t="n">
        <v>0</v>
      </c>
      <c r="BC107" s="8" t="n">
        <v>0</v>
      </c>
      <c r="BD107" s="8" t="n">
        <v>0</v>
      </c>
      <c r="BE107" s="8" t="n">
        <v>0</v>
      </c>
      <c r="BF107" s="8" t="n">
        <v>0</v>
      </c>
      <c r="BG107" s="8" t="n">
        <v>0</v>
      </c>
      <c r="BH107" s="8" t="n">
        <v>0</v>
      </c>
      <c r="BI107" s="8" t="n">
        <v>0</v>
      </c>
      <c r="BJ107" s="8" t="n">
        <v>15387.4379925</v>
      </c>
      <c r="BK107" s="8" t="n">
        <v>607.544325</v>
      </c>
      <c r="BL107" s="8" t="n">
        <v>15994.9823175</v>
      </c>
      <c r="BM107" s="4">
        <f>BJ107+BK107</f>
        <v/>
      </c>
    </row>
    <row r="108">
      <c r="A108" s="2" t="inlineStr">
        <is>
          <t>Origin</t>
        </is>
      </c>
      <c r="B108" s="8" t="inlineStr">
        <is>
          <t>1/2/3YR</t>
        </is>
      </c>
      <c r="C108" s="8" t="n">
        <v>3038502933</v>
      </c>
      <c r="D108" s="8" t="inlineStr">
        <is>
          <t>QLD</t>
        </is>
      </c>
      <c r="E108" s="8" t="inlineStr">
        <is>
          <t>Jemena Electricty VIC</t>
        </is>
      </c>
      <c r="F108" s="8" t="inlineStr">
        <is>
          <t>EBIBT1</t>
        </is>
      </c>
      <c r="G108" s="8" t="n"/>
      <c r="H108" s="8" t="inlineStr">
        <is>
          <t>Y</t>
        </is>
      </c>
      <c r="I108" s="8" t="n"/>
      <c r="J108" s="8" t="n"/>
      <c r="K108" s="8" t="n">
        <v>30.6625</v>
      </c>
      <c r="L108" s="8" t="n"/>
      <c r="M108" s="8" t="n"/>
      <c r="N108" s="8" t="n"/>
      <c r="O108" s="8" t="n">
        <v>30.6625</v>
      </c>
      <c r="P108" s="8" t="n">
        <v>214.4384</v>
      </c>
      <c r="Q108" s="8" t="n">
        <v>0</v>
      </c>
      <c r="R108" s="8" t="n">
        <v>0.02</v>
      </c>
      <c r="S108" s="8" t="n">
        <v>0.02</v>
      </c>
      <c r="T108" s="8" t="n"/>
      <c r="U108" s="8" t="n"/>
      <c r="V108" s="8" t="n"/>
      <c r="W108" s="8" t="n"/>
      <c r="X108" s="8" t="n"/>
      <c r="Y108" s="8" t="n"/>
      <c r="Z108" s="8" t="n"/>
      <c r="AA108" s="8" t="n"/>
      <c r="AB108" s="8" t="n"/>
      <c r="AC108" s="8" t="n">
        <v>23028</v>
      </c>
      <c r="AD108" s="8" t="n">
        <v>0</v>
      </c>
      <c r="AE108" s="8" t="n"/>
      <c r="AF108" s="8" t="n">
        <v>0</v>
      </c>
      <c r="AG108" s="8" t="n">
        <v>15352</v>
      </c>
      <c r="AH108" s="8" t="n">
        <v>365</v>
      </c>
      <c r="AI108" s="8" t="n">
        <v>365</v>
      </c>
      <c r="AJ108" s="8" t="n"/>
      <c r="AK108" s="8" t="n">
        <v>2132.222222222222</v>
      </c>
      <c r="AL108" s="8" t="n">
        <v>6515.123456790122</v>
      </c>
      <c r="AM108" s="8" t="n">
        <v>8647.345679012344</v>
      </c>
      <c r="AN108" s="8" t="n">
        <v>365</v>
      </c>
      <c r="AO108" s="8" t="n">
        <v>0</v>
      </c>
      <c r="AP108" s="8" t="n">
        <v>365</v>
      </c>
      <c r="AQ108" s="8" t="n">
        <v>0</v>
      </c>
      <c r="AR108" s="8" t="n">
        <v>0</v>
      </c>
      <c r="AS108" s="8" t="n">
        <v>0</v>
      </c>
      <c r="AT108" s="8" t="n">
        <v>7060.9605</v>
      </c>
      <c r="AU108" s="8" t="n">
        <v>0</v>
      </c>
      <c r="AV108" s="8" t="n">
        <v>0</v>
      </c>
      <c r="AW108" s="8" t="n">
        <v>0</v>
      </c>
      <c r="AX108" s="8" t="n">
        <v>4707.307</v>
      </c>
      <c r="AY108" s="8" t="n">
        <v>782.70016</v>
      </c>
      <c r="AZ108" s="8" t="n">
        <v>0</v>
      </c>
      <c r="BA108" s="8" t="n">
        <v>0</v>
      </c>
      <c r="BB108" s="8" t="n">
        <v>0</v>
      </c>
      <c r="BC108" s="8" t="n">
        <v>0</v>
      </c>
      <c r="BD108" s="8" t="n">
        <v>0</v>
      </c>
      <c r="BE108" s="8" t="n">
        <v>0</v>
      </c>
      <c r="BF108" s="8" t="n">
        <v>0</v>
      </c>
      <c r="BG108" s="8" t="n">
        <v>0</v>
      </c>
      <c r="BH108" s="8" t="n">
        <v>0</v>
      </c>
      <c r="BI108" s="8" t="n">
        <v>0</v>
      </c>
      <c r="BJ108" s="8" t="n">
        <v>10484.4565</v>
      </c>
      <c r="BK108" s="8" t="n">
        <v>697.3146879999999</v>
      </c>
      <c r="BL108" s="8" t="n">
        <v>11181.771188</v>
      </c>
      <c r="BM108" s="4">
        <f>BJ108+BK108</f>
        <v/>
      </c>
    </row>
    <row r="109">
      <c r="A109" s="2" t="inlineStr">
        <is>
          <t>Origin</t>
        </is>
      </c>
      <c r="B109" s="8" t="inlineStr">
        <is>
          <t>1/2/3YR</t>
        </is>
      </c>
      <c r="C109" s="8" t="n">
        <v>3039040879</v>
      </c>
      <c r="D109" s="8" t="inlineStr">
        <is>
          <t>QLD</t>
        </is>
      </c>
      <c r="E109" s="8" t="inlineStr">
        <is>
          <t>Jemena Electricty VIC</t>
        </is>
      </c>
      <c r="F109" s="8" t="inlineStr">
        <is>
          <t>EBIBT1</t>
        </is>
      </c>
      <c r="G109" s="8" t="n"/>
      <c r="H109" s="8" t="inlineStr">
        <is>
          <t>Y</t>
        </is>
      </c>
      <c r="I109" s="8" t="n"/>
      <c r="J109" s="8" t="n"/>
      <c r="K109" s="8" t="n">
        <v>30.6625</v>
      </c>
      <c r="L109" s="8" t="n"/>
      <c r="M109" s="8" t="n"/>
      <c r="N109" s="8" t="n"/>
      <c r="O109" s="8" t="n">
        <v>30.6625</v>
      </c>
      <c r="P109" s="8" t="n">
        <v>214.4384</v>
      </c>
      <c r="Q109" s="8" t="n">
        <v>0</v>
      </c>
      <c r="R109" s="8" t="n">
        <v>0.02</v>
      </c>
      <c r="S109" s="8" t="n">
        <v>0.02</v>
      </c>
      <c r="T109" s="8" t="n"/>
      <c r="U109" s="8" t="n"/>
      <c r="V109" s="8" t="n"/>
      <c r="W109" s="8" t="n"/>
      <c r="X109" s="8" t="n"/>
      <c r="Y109" s="8" t="n"/>
      <c r="Z109" s="8" t="n"/>
      <c r="AA109" s="8" t="n"/>
      <c r="AB109" s="8" t="n"/>
      <c r="AC109" s="8" t="n">
        <v>42117</v>
      </c>
      <c r="AD109" s="8" t="n">
        <v>0</v>
      </c>
      <c r="AE109" s="8" t="n"/>
      <c r="AF109" s="8" t="n">
        <v>0</v>
      </c>
      <c r="AG109" s="8" t="n">
        <v>28078</v>
      </c>
      <c r="AH109" s="8" t="n">
        <v>365</v>
      </c>
      <c r="AI109" s="8" t="n">
        <v>365</v>
      </c>
      <c r="AJ109" s="8" t="n"/>
      <c r="AK109" s="8" t="n">
        <v>3899.722222222223</v>
      </c>
      <c r="AL109" s="8" t="n">
        <v>11915.81790123457</v>
      </c>
      <c r="AM109" s="8" t="n">
        <v>15815.54012345679</v>
      </c>
      <c r="AN109" s="8" t="n">
        <v>365</v>
      </c>
      <c r="AO109" s="8" t="n">
        <v>0</v>
      </c>
      <c r="AP109" s="8" t="n">
        <v>0</v>
      </c>
      <c r="AQ109" s="8" t="n">
        <v>0</v>
      </c>
      <c r="AR109" s="8" t="n">
        <v>365</v>
      </c>
      <c r="AS109" s="8" t="n">
        <v>0</v>
      </c>
      <c r="AT109" s="8" t="n">
        <v>12914.125125</v>
      </c>
      <c r="AU109" s="8" t="n">
        <v>0</v>
      </c>
      <c r="AV109" s="8" t="n">
        <v>0</v>
      </c>
      <c r="AW109" s="8" t="n">
        <v>0</v>
      </c>
      <c r="AX109" s="8" t="n">
        <v>8609.41675</v>
      </c>
      <c r="AY109" s="8" t="n">
        <v>782.70016</v>
      </c>
      <c r="AZ109" s="8" t="n">
        <v>0</v>
      </c>
      <c r="BA109" s="8" t="n">
        <v>0</v>
      </c>
      <c r="BB109" s="8" t="n">
        <v>0</v>
      </c>
      <c r="BC109" s="8" t="n">
        <v>0</v>
      </c>
      <c r="BD109" s="8" t="n">
        <v>0</v>
      </c>
      <c r="BE109" s="8" t="n">
        <v>0</v>
      </c>
      <c r="BF109" s="8" t="n">
        <v>0</v>
      </c>
      <c r="BG109" s="8" t="n">
        <v>0</v>
      </c>
      <c r="BH109" s="8" t="n">
        <v>0</v>
      </c>
      <c r="BI109" s="8" t="n">
        <v>0</v>
      </c>
      <c r="BJ109" s="8" t="n">
        <v>19175.519125</v>
      </c>
      <c r="BK109" s="8" t="n">
        <v>697.3146879999999</v>
      </c>
      <c r="BL109" s="8" t="n">
        <v>19872.833813</v>
      </c>
      <c r="BM109" s="4">
        <f>BJ109+BK109</f>
        <v/>
      </c>
    </row>
    <row r="110">
      <c r="A110" s="2" t="inlineStr">
        <is>
          <t>Origin</t>
        </is>
      </c>
      <c r="B110" s="8" t="inlineStr">
        <is>
          <t>1/2/3YR</t>
        </is>
      </c>
      <c r="C110" s="8" t="n">
        <v>6203613570</v>
      </c>
      <c r="D110" s="8" t="inlineStr">
        <is>
          <t>VIC</t>
        </is>
      </c>
      <c r="E110" s="8" t="inlineStr">
        <is>
          <t>Jemena Electricty VIC</t>
        </is>
      </c>
      <c r="F110" s="8" t="inlineStr">
        <is>
          <t>NDTOU</t>
        </is>
      </c>
      <c r="G110" s="8" t="n"/>
      <c r="H110" s="8" t="inlineStr">
        <is>
          <t>Y</t>
        </is>
      </c>
      <c r="I110" s="8" t="n"/>
      <c r="J110" s="8" t="n"/>
      <c r="K110" s="8" t="n">
        <v>36.289</v>
      </c>
      <c r="L110" s="8" t="n"/>
      <c r="M110" s="8" t="n"/>
      <c r="N110" s="8" t="n"/>
      <c r="O110" s="8" t="n">
        <v>19.2093</v>
      </c>
      <c r="P110" s="8" t="n">
        <v>169.7795</v>
      </c>
      <c r="Q110" s="8" t="n">
        <v>0</v>
      </c>
      <c r="R110" s="8" t="n">
        <v>0.15</v>
      </c>
      <c r="S110" s="8" t="n">
        <v>0.15</v>
      </c>
      <c r="T110" s="8" t="n"/>
      <c r="U110" s="8" t="n"/>
      <c r="V110" s="8" t="n"/>
      <c r="W110" s="8" t="n"/>
      <c r="X110" s="8" t="n"/>
      <c r="Y110" s="8" t="n"/>
      <c r="Z110" s="8" t="n"/>
      <c r="AA110" s="8" t="n"/>
      <c r="AB110" s="8" t="n"/>
      <c r="AC110" s="8" t="n">
        <v>1206</v>
      </c>
      <c r="AD110" s="8" t="n">
        <v>0</v>
      </c>
      <c r="AE110" s="8" t="n"/>
      <c r="AF110" s="8" t="n">
        <v>0</v>
      </c>
      <c r="AG110" s="8" t="n">
        <v>804</v>
      </c>
      <c r="AH110" s="8" t="n">
        <v>365</v>
      </c>
      <c r="AI110" s="8" t="n">
        <v>365</v>
      </c>
      <c r="AJ110" s="8" t="n"/>
      <c r="AK110" s="8" t="n">
        <v>111.6666666666667</v>
      </c>
      <c r="AL110" s="8" t="n">
        <v>341.2037037037037</v>
      </c>
      <c r="AM110" s="8" t="n">
        <v>452.8703703703704</v>
      </c>
      <c r="AN110" s="8" t="n">
        <v>365</v>
      </c>
      <c r="AO110" s="8" t="n">
        <v>365</v>
      </c>
      <c r="AP110" s="8" t="n">
        <v>0</v>
      </c>
      <c r="AQ110" s="8" t="n">
        <v>0</v>
      </c>
      <c r="AR110" s="8" t="n">
        <v>0</v>
      </c>
      <c r="AS110" s="8" t="n">
        <v>0</v>
      </c>
      <c r="AT110" s="8" t="n">
        <v>437.64534</v>
      </c>
      <c r="AU110" s="8" t="n">
        <v>0</v>
      </c>
      <c r="AV110" s="8" t="n">
        <v>0</v>
      </c>
      <c r="AW110" s="8" t="n">
        <v>0</v>
      </c>
      <c r="AX110" s="8" t="n">
        <v>154.442772</v>
      </c>
      <c r="AY110" s="8" t="n">
        <v>619.6951750000001</v>
      </c>
      <c r="AZ110" s="8" t="n">
        <v>0</v>
      </c>
      <c r="BA110" s="8" t="n">
        <v>0</v>
      </c>
      <c r="BB110" s="8" t="n">
        <v>0</v>
      </c>
      <c r="BC110" s="8" t="n">
        <v>0</v>
      </c>
      <c r="BD110" s="8" t="n">
        <v>0</v>
      </c>
      <c r="BE110" s="8" t="n">
        <v>0</v>
      </c>
      <c r="BF110" s="8" t="n">
        <v>0</v>
      </c>
      <c r="BG110" s="8" t="n">
        <v>0</v>
      </c>
      <c r="BH110" s="8" t="n">
        <v>0</v>
      </c>
      <c r="BI110" s="8" t="n">
        <v>0</v>
      </c>
      <c r="BJ110" s="8" t="n">
        <v>457.5226319999999</v>
      </c>
      <c r="BK110" s="8" t="n">
        <v>478.8553625</v>
      </c>
      <c r="BL110" s="8" t="n">
        <v>936.3779944999999</v>
      </c>
      <c r="BM110" s="4">
        <f>BJ110+BK110</f>
        <v/>
      </c>
    </row>
    <row r="111">
      <c r="A111" s="2" t="inlineStr">
        <is>
          <t>Origin</t>
        </is>
      </c>
      <c r="B111" s="8" t="inlineStr">
        <is>
          <t>1/2/3YR</t>
        </is>
      </c>
      <c r="C111" s="8" t="n">
        <v>6203155353</v>
      </c>
      <c r="D111" s="8" t="inlineStr">
        <is>
          <t>VIC</t>
        </is>
      </c>
      <c r="E111" s="8" t="inlineStr">
        <is>
          <t>Jemena Electricty VIC</t>
        </is>
      </c>
      <c r="F111" s="8" t="inlineStr">
        <is>
          <t>ND1</t>
        </is>
      </c>
      <c r="G111" s="8" t="n"/>
      <c r="H111" s="8" t="inlineStr">
        <is>
          <t>Y</t>
        </is>
      </c>
      <c r="I111" s="8" t="n"/>
      <c r="J111" s="8" t="n"/>
      <c r="K111" s="8" t="n">
        <v>27.3592</v>
      </c>
      <c r="L111" s="8" t="n"/>
      <c r="M111" s="8" t="n"/>
      <c r="N111" s="8" t="n"/>
      <c r="O111" s="8" t="n">
        <v>27.3592</v>
      </c>
      <c r="P111" s="8" t="n">
        <v>169.7795</v>
      </c>
      <c r="Q111" s="8" t="n">
        <v>0</v>
      </c>
      <c r="R111" s="8" t="n">
        <v>0.15</v>
      </c>
      <c r="S111" s="8" t="n">
        <v>0.15</v>
      </c>
      <c r="T111" s="8" t="n"/>
      <c r="U111" s="8" t="n"/>
      <c r="V111" s="8" t="n"/>
      <c r="W111" s="8" t="n"/>
      <c r="X111" s="8" t="n"/>
      <c r="Y111" s="8" t="n"/>
      <c r="Z111" s="8" t="n"/>
      <c r="AA111" s="8" t="n"/>
      <c r="AB111" s="8" t="n"/>
      <c r="AC111" s="8" t="n">
        <v>16765.2</v>
      </c>
      <c r="AD111" s="8" t="n">
        <v>0</v>
      </c>
      <c r="AE111" s="8" t="n"/>
      <c r="AF111" s="8" t="n">
        <v>0</v>
      </c>
      <c r="AG111" s="8" t="n">
        <v>11176.8</v>
      </c>
      <c r="AH111" s="8" t="n">
        <v>365</v>
      </c>
      <c r="AI111" s="8" t="n">
        <v>365</v>
      </c>
      <c r="AJ111" s="8" t="n"/>
      <c r="AK111" s="8" t="n">
        <v>1552.333333333333</v>
      </c>
      <c r="AL111" s="8" t="n">
        <v>4743.24074074074</v>
      </c>
      <c r="AM111" s="8" t="n">
        <v>6295.574074074074</v>
      </c>
      <c r="AN111" s="8" t="n">
        <v>365</v>
      </c>
      <c r="AO111" s="8" t="n">
        <v>0</v>
      </c>
      <c r="AP111" s="8" t="n">
        <v>365</v>
      </c>
      <c r="AQ111" s="8" t="n">
        <v>0</v>
      </c>
      <c r="AR111" s="8" t="n">
        <v>0</v>
      </c>
      <c r="AS111" s="8" t="n">
        <v>0</v>
      </c>
      <c r="AT111" s="8" t="n">
        <v>4586.8245984</v>
      </c>
      <c r="AU111" s="8" t="n">
        <v>0</v>
      </c>
      <c r="AV111" s="8" t="n">
        <v>0</v>
      </c>
      <c r="AW111" s="8" t="n">
        <v>0</v>
      </c>
      <c r="AX111" s="8" t="n">
        <v>3057.8830656</v>
      </c>
      <c r="AY111" s="8" t="n">
        <v>619.6951750000001</v>
      </c>
      <c r="AZ111" s="8" t="n">
        <v>0</v>
      </c>
      <c r="BA111" s="8" t="n">
        <v>0</v>
      </c>
      <c r="BB111" s="8" t="n">
        <v>0</v>
      </c>
      <c r="BC111" s="8" t="n">
        <v>0</v>
      </c>
      <c r="BD111" s="8" t="n">
        <v>0</v>
      </c>
      <c r="BE111" s="8" t="n">
        <v>0</v>
      </c>
      <c r="BF111" s="8" t="n">
        <v>0</v>
      </c>
      <c r="BG111" s="8" t="n">
        <v>0</v>
      </c>
      <c r="BH111" s="8" t="n">
        <v>0</v>
      </c>
      <c r="BI111" s="8" t="n">
        <v>0</v>
      </c>
      <c r="BJ111" s="8" t="n">
        <v>5907.274104000001</v>
      </c>
      <c r="BK111" s="8" t="n">
        <v>478.8553625</v>
      </c>
      <c r="BL111" s="8" t="n">
        <v>6386.129466500001</v>
      </c>
      <c r="BM111" s="4">
        <f>BJ111+BK111</f>
        <v/>
      </c>
    </row>
    <row r="112">
      <c r="A112" s="2" t="inlineStr">
        <is>
          <t>Origin</t>
        </is>
      </c>
      <c r="B112" s="8" t="inlineStr">
        <is>
          <t>1/2/3YR</t>
        </is>
      </c>
      <c r="C112" s="8" t="n">
        <v>6203245874</v>
      </c>
      <c r="D112" s="8" t="inlineStr">
        <is>
          <t>VIC</t>
        </is>
      </c>
      <c r="E112" s="8" t="inlineStr">
        <is>
          <t>Jemena Electricty VIC</t>
        </is>
      </c>
      <c r="F112" s="8" t="inlineStr">
        <is>
          <t>ND1</t>
        </is>
      </c>
      <c r="G112" s="8" t="n"/>
      <c r="H112" s="8" t="inlineStr">
        <is>
          <t>Y</t>
        </is>
      </c>
      <c r="I112" s="8" t="n"/>
      <c r="J112" s="8" t="n"/>
      <c r="K112" s="8" t="n">
        <v>27.3592</v>
      </c>
      <c r="L112" s="8" t="n"/>
      <c r="M112" s="8" t="n"/>
      <c r="N112" s="8" t="n"/>
      <c r="O112" s="8" t="n">
        <v>27.3592</v>
      </c>
      <c r="P112" s="8" t="n">
        <v>169.7795</v>
      </c>
      <c r="Q112" s="8" t="n">
        <v>0</v>
      </c>
      <c r="R112" s="8" t="n">
        <v>0.15</v>
      </c>
      <c r="S112" s="8" t="n">
        <v>0.15</v>
      </c>
      <c r="T112" s="8" t="n"/>
      <c r="U112" s="8" t="n"/>
      <c r="V112" s="8" t="n"/>
      <c r="W112" s="8" t="n"/>
      <c r="X112" s="8" t="n"/>
      <c r="Y112" s="8" t="n"/>
      <c r="Z112" s="8" t="n"/>
      <c r="AA112" s="8" t="n"/>
      <c r="AB112" s="8" t="n"/>
      <c r="AC112" s="8" t="n">
        <v>7145.4</v>
      </c>
      <c r="AD112" s="8" t="n">
        <v>0</v>
      </c>
      <c r="AE112" s="8" t="n"/>
      <c r="AF112" s="8" t="n">
        <v>0</v>
      </c>
      <c r="AG112" s="8" t="n">
        <v>4763.6</v>
      </c>
      <c r="AH112" s="8" t="n">
        <v>365</v>
      </c>
      <c r="AI112" s="8" t="n">
        <v>365</v>
      </c>
      <c r="AJ112" s="8" t="n"/>
      <c r="AK112" s="8" t="n">
        <v>661.6111111111111</v>
      </c>
      <c r="AL112" s="8" t="n">
        <v>2021.589506172839</v>
      </c>
      <c r="AM112" s="8" t="n">
        <v>2683.200617283951</v>
      </c>
      <c r="AN112" s="8" t="n">
        <v>365</v>
      </c>
      <c r="AO112" s="8" t="n">
        <v>365</v>
      </c>
      <c r="AP112" s="8" t="n">
        <v>0</v>
      </c>
      <c r="AQ112" s="8" t="n">
        <v>0</v>
      </c>
      <c r="AR112" s="8" t="n">
        <v>0</v>
      </c>
      <c r="AS112" s="8" t="n">
        <v>0</v>
      </c>
      <c r="AT112" s="8" t="n">
        <v>1954.9242768</v>
      </c>
      <c r="AU112" s="8" t="n">
        <v>0</v>
      </c>
      <c r="AV112" s="8" t="n">
        <v>0</v>
      </c>
      <c r="AW112" s="8" t="n">
        <v>0</v>
      </c>
      <c r="AX112" s="8" t="n">
        <v>1303.2828512</v>
      </c>
      <c r="AY112" s="8" t="n">
        <v>619.6951750000001</v>
      </c>
      <c r="AZ112" s="8" t="n">
        <v>0</v>
      </c>
      <c r="BA112" s="8" t="n">
        <v>0</v>
      </c>
      <c r="BB112" s="8" t="n">
        <v>0</v>
      </c>
      <c r="BC112" s="8" t="n">
        <v>0</v>
      </c>
      <c r="BD112" s="8" t="n">
        <v>0</v>
      </c>
      <c r="BE112" s="8" t="n">
        <v>0</v>
      </c>
      <c r="BF112" s="8" t="n">
        <v>0</v>
      </c>
      <c r="BG112" s="8" t="n">
        <v>0</v>
      </c>
      <c r="BH112" s="8" t="n">
        <v>0</v>
      </c>
      <c r="BI112" s="8" t="n">
        <v>0</v>
      </c>
      <c r="BJ112" s="8" t="n">
        <v>2517.705508</v>
      </c>
      <c r="BK112" s="8" t="n">
        <v>478.8553625</v>
      </c>
      <c r="BL112" s="8" t="n">
        <v>2996.5608705</v>
      </c>
      <c r="BM112" s="4">
        <f>BJ112+BK112</f>
        <v/>
      </c>
    </row>
    <row r="113">
      <c r="A113" s="2" t="inlineStr">
        <is>
          <t>Origin</t>
        </is>
      </c>
      <c r="B113" s="8" t="inlineStr">
        <is>
          <t>1/2/3YR</t>
        </is>
      </c>
      <c r="C113" s="8" t="n">
        <v>6203424291</v>
      </c>
      <c r="D113" s="8" t="inlineStr">
        <is>
          <t>VIC</t>
        </is>
      </c>
      <c r="E113" s="8" t="inlineStr">
        <is>
          <t>Jemena Electricty VIC</t>
        </is>
      </c>
      <c r="F113" s="8" t="inlineStr">
        <is>
          <t>ND1</t>
        </is>
      </c>
      <c r="G113" s="8" t="n"/>
      <c r="H113" s="8" t="inlineStr">
        <is>
          <t>Y</t>
        </is>
      </c>
      <c r="I113" s="8" t="n"/>
      <c r="J113" s="8" t="n"/>
      <c r="K113" s="8" t="n">
        <v>27.3592</v>
      </c>
      <c r="L113" s="8" t="n"/>
      <c r="M113" s="8" t="n"/>
      <c r="N113" s="8" t="n"/>
      <c r="O113" s="8" t="n">
        <v>27.3592</v>
      </c>
      <c r="P113" s="8" t="n">
        <v>169.7795</v>
      </c>
      <c r="Q113" s="8" t="n">
        <v>0</v>
      </c>
      <c r="R113" s="8" t="n">
        <v>0.15</v>
      </c>
      <c r="S113" s="8" t="n">
        <v>0.15</v>
      </c>
      <c r="T113" s="8" t="n"/>
      <c r="U113" s="8" t="n"/>
      <c r="V113" s="8" t="n"/>
      <c r="W113" s="8" t="n"/>
      <c r="X113" s="8" t="n"/>
      <c r="Y113" s="8" t="n"/>
      <c r="Z113" s="8" t="n"/>
      <c r="AA113" s="8" t="n"/>
      <c r="AB113" s="8" t="n"/>
      <c r="AC113" s="8" t="n">
        <v>3567.6</v>
      </c>
      <c r="AD113" s="8" t="n">
        <v>0</v>
      </c>
      <c r="AE113" s="8" t="n"/>
      <c r="AF113" s="8" t="n">
        <v>0</v>
      </c>
      <c r="AG113" s="8" t="n">
        <v>2378.4</v>
      </c>
      <c r="AH113" s="8" t="n">
        <v>365</v>
      </c>
      <c r="AI113" s="8" t="n">
        <v>365</v>
      </c>
      <c r="AJ113" s="8" t="n"/>
      <c r="AK113" s="8" t="n">
        <v>330.3333333333334</v>
      </c>
      <c r="AL113" s="8" t="n">
        <v>1009.351851851852</v>
      </c>
      <c r="AM113" s="8" t="n">
        <v>1339.685185185185</v>
      </c>
      <c r="AN113" s="8" t="n">
        <v>365</v>
      </c>
      <c r="AO113" s="8" t="n">
        <v>365</v>
      </c>
      <c r="AP113" s="8" t="n">
        <v>0</v>
      </c>
      <c r="AQ113" s="8" t="n">
        <v>0</v>
      </c>
      <c r="AR113" s="8" t="n">
        <v>0</v>
      </c>
      <c r="AS113" s="8" t="n">
        <v>0</v>
      </c>
      <c r="AT113" s="8" t="n">
        <v>976.0668192000001</v>
      </c>
      <c r="AU113" s="8" t="n">
        <v>0</v>
      </c>
      <c r="AV113" s="8" t="n">
        <v>0</v>
      </c>
      <c r="AW113" s="8" t="n">
        <v>0</v>
      </c>
      <c r="AX113" s="8" t="n">
        <v>650.7112128000001</v>
      </c>
      <c r="AY113" s="8" t="n">
        <v>619.6951750000001</v>
      </c>
      <c r="AZ113" s="8" t="n">
        <v>0</v>
      </c>
      <c r="BA113" s="8" t="n">
        <v>0</v>
      </c>
      <c r="BB113" s="8" t="n">
        <v>0</v>
      </c>
      <c r="BC113" s="8" t="n">
        <v>0</v>
      </c>
      <c r="BD113" s="8" t="n">
        <v>0</v>
      </c>
      <c r="BE113" s="8" t="n">
        <v>0</v>
      </c>
      <c r="BF113" s="8" t="n">
        <v>0</v>
      </c>
      <c r="BG113" s="8" t="n">
        <v>0</v>
      </c>
      <c r="BH113" s="8" t="n">
        <v>0</v>
      </c>
      <c r="BI113" s="8" t="n">
        <v>0</v>
      </c>
      <c r="BJ113" s="8" t="n">
        <v>1257.055752</v>
      </c>
      <c r="BK113" s="8" t="n">
        <v>478.8553625</v>
      </c>
      <c r="BL113" s="8" t="n">
        <v>1735.9111145</v>
      </c>
      <c r="BM113" s="4">
        <f>BJ113+BK113</f>
        <v/>
      </c>
    </row>
    <row r="114">
      <c r="A114" s="2" t="inlineStr">
        <is>
          <t>Origin</t>
        </is>
      </c>
      <c r="B114" s="8" t="inlineStr">
        <is>
          <t>1/2/3YR</t>
        </is>
      </c>
      <c r="C114" s="8" t="n">
        <v>6203424292</v>
      </c>
      <c r="D114" s="8" t="inlineStr">
        <is>
          <t>VIC</t>
        </is>
      </c>
      <c r="E114" s="8" t="inlineStr">
        <is>
          <t>Jemena Electricty VIC</t>
        </is>
      </c>
      <c r="F114" s="8" t="inlineStr">
        <is>
          <t>ND1</t>
        </is>
      </c>
      <c r="G114" s="8" t="n"/>
      <c r="H114" s="8" t="inlineStr">
        <is>
          <t>Y</t>
        </is>
      </c>
      <c r="I114" s="8" t="n"/>
      <c r="J114" s="8" t="n"/>
      <c r="K114" s="8" t="n">
        <v>27.3592</v>
      </c>
      <c r="L114" s="8" t="n"/>
      <c r="M114" s="8" t="n"/>
      <c r="N114" s="8" t="n"/>
      <c r="O114" s="8" t="n">
        <v>27.3592</v>
      </c>
      <c r="P114" s="8" t="n">
        <v>169.7795</v>
      </c>
      <c r="Q114" s="8" t="n">
        <v>0</v>
      </c>
      <c r="R114" s="8" t="n">
        <v>0.15</v>
      </c>
      <c r="S114" s="8" t="n">
        <v>0.15</v>
      </c>
      <c r="T114" s="8" t="n"/>
      <c r="U114" s="8" t="n"/>
      <c r="V114" s="8" t="n"/>
      <c r="W114" s="8" t="n"/>
      <c r="X114" s="8" t="n"/>
      <c r="Y114" s="8" t="n"/>
      <c r="Z114" s="8" t="n"/>
      <c r="AA114" s="8" t="n"/>
      <c r="AB114" s="8" t="n"/>
      <c r="AC114" s="8" t="n">
        <v>5154.599999999999</v>
      </c>
      <c r="AD114" s="8" t="n">
        <v>0</v>
      </c>
      <c r="AE114" s="8" t="n"/>
      <c r="AF114" s="8" t="n">
        <v>0</v>
      </c>
      <c r="AG114" s="8" t="n">
        <v>3436.4</v>
      </c>
      <c r="AH114" s="8" t="n">
        <v>365</v>
      </c>
      <c r="AI114" s="8" t="n">
        <v>365</v>
      </c>
      <c r="AJ114" s="8" t="n"/>
      <c r="AK114" s="8" t="n">
        <v>477.2777777777778</v>
      </c>
      <c r="AL114" s="8" t="n">
        <v>1458.348765432099</v>
      </c>
      <c r="AM114" s="8" t="n">
        <v>1935.626543209877</v>
      </c>
      <c r="AN114" s="8" t="n">
        <v>365</v>
      </c>
      <c r="AO114" s="8" t="n">
        <v>365</v>
      </c>
      <c r="AP114" s="8" t="n">
        <v>0</v>
      </c>
      <c r="AQ114" s="8" t="n">
        <v>0</v>
      </c>
      <c r="AR114" s="8" t="n">
        <v>0</v>
      </c>
      <c r="AS114" s="8" t="n">
        <v>0</v>
      </c>
      <c r="AT114" s="8" t="n">
        <v>1410.2573232</v>
      </c>
      <c r="AU114" s="8" t="n">
        <v>0</v>
      </c>
      <c r="AV114" s="8" t="n">
        <v>0</v>
      </c>
      <c r="AW114" s="8" t="n">
        <v>0</v>
      </c>
      <c r="AX114" s="8" t="n">
        <v>940.1715488</v>
      </c>
      <c r="AY114" s="8" t="n">
        <v>619.6951750000001</v>
      </c>
      <c r="AZ114" s="8" t="n">
        <v>0</v>
      </c>
      <c r="BA114" s="8" t="n">
        <v>0</v>
      </c>
      <c r="BB114" s="8" t="n">
        <v>0</v>
      </c>
      <c r="BC114" s="8" t="n">
        <v>0</v>
      </c>
      <c r="BD114" s="8" t="n">
        <v>0</v>
      </c>
      <c r="BE114" s="8" t="n">
        <v>0</v>
      </c>
      <c r="BF114" s="8" t="n">
        <v>0</v>
      </c>
      <c r="BG114" s="8" t="n">
        <v>0</v>
      </c>
      <c r="BH114" s="8" t="n">
        <v>0</v>
      </c>
      <c r="BI114" s="8" t="n">
        <v>0</v>
      </c>
      <c r="BJ114" s="8" t="n">
        <v>1816.240492</v>
      </c>
      <c r="BK114" s="8" t="n">
        <v>478.8553625</v>
      </c>
      <c r="BL114" s="8" t="n">
        <v>2295.0958545</v>
      </c>
      <c r="BM114" s="4">
        <f>BJ114+BK114</f>
        <v/>
      </c>
    </row>
    <row r="115">
      <c r="A115" s="2" t="inlineStr">
        <is>
          <t>Origin</t>
        </is>
      </c>
      <c r="B115" s="8" t="inlineStr">
        <is>
          <t>1/2/3YR</t>
        </is>
      </c>
      <c r="C115" s="8" t="n">
        <v>6203616394</v>
      </c>
      <c r="D115" s="8" t="inlineStr">
        <is>
          <t>VIC</t>
        </is>
      </c>
      <c r="E115" s="8" t="inlineStr">
        <is>
          <t>Citipower</t>
        </is>
      </c>
      <c r="F115" s="8" t="inlineStr">
        <is>
          <t>NDTOU</t>
        </is>
      </c>
      <c r="G115" s="8" t="n"/>
      <c r="H115" s="8" t="inlineStr">
        <is>
          <t>Y</t>
        </is>
      </c>
      <c r="I115" s="8" t="n"/>
      <c r="J115" s="8" t="n"/>
      <c r="K115" s="8" t="n">
        <v>36.289</v>
      </c>
      <c r="L115" s="8" t="n"/>
      <c r="M115" s="8" t="n"/>
      <c r="N115" s="8" t="n"/>
      <c r="O115" s="8" t="n">
        <v>19.2093</v>
      </c>
      <c r="P115" s="8" t="n">
        <v>169.7795</v>
      </c>
      <c r="Q115" s="8" t="n">
        <v>0</v>
      </c>
      <c r="R115" s="8" t="n">
        <v>0.15</v>
      </c>
      <c r="S115" s="8" t="n">
        <v>0.15</v>
      </c>
      <c r="T115" s="8" t="n"/>
      <c r="U115" s="8" t="n"/>
      <c r="V115" s="8" t="n"/>
      <c r="W115" s="8" t="n"/>
      <c r="X115" s="8" t="n"/>
      <c r="Y115" s="8" t="n"/>
      <c r="Z115" s="8" t="n"/>
      <c r="AA115" s="8" t="n"/>
      <c r="AB115" s="8" t="n"/>
      <c r="AC115" s="8" t="n">
        <v>2856</v>
      </c>
      <c r="AD115" s="8" t="n">
        <v>0</v>
      </c>
      <c r="AE115" s="8" t="n"/>
      <c r="AF115" s="8" t="n">
        <v>0</v>
      </c>
      <c r="AG115" s="8" t="n">
        <v>1904</v>
      </c>
      <c r="AH115" s="8" t="n">
        <v>365</v>
      </c>
      <c r="AI115" s="8" t="n">
        <v>365</v>
      </c>
      <c r="AJ115" s="8" t="n"/>
      <c r="AK115" s="8" t="n">
        <v>264.4444444444445</v>
      </c>
      <c r="AL115" s="8" t="n">
        <v>808.0246913580247</v>
      </c>
      <c r="AM115" s="8" t="n">
        <v>1072.469135802469</v>
      </c>
      <c r="AN115" s="8" t="n">
        <v>365</v>
      </c>
      <c r="AO115" s="8" t="n">
        <v>365</v>
      </c>
      <c r="AP115" s="8" t="n">
        <v>0</v>
      </c>
      <c r="AQ115" s="8" t="n">
        <v>0</v>
      </c>
      <c r="AR115" s="8" t="n">
        <v>0</v>
      </c>
      <c r="AS115" s="8" t="n">
        <v>0</v>
      </c>
      <c r="AT115" s="8" t="n">
        <v>1036.41384</v>
      </c>
      <c r="AU115" s="8" t="n">
        <v>0</v>
      </c>
      <c r="AV115" s="8" t="n">
        <v>0</v>
      </c>
      <c r="AW115" s="8" t="n">
        <v>0</v>
      </c>
      <c r="AX115" s="8" t="n">
        <v>365.745072</v>
      </c>
      <c r="AY115" s="8" t="n">
        <v>619.6951750000001</v>
      </c>
      <c r="AZ115" s="8" t="n">
        <v>0</v>
      </c>
      <c r="BA115" s="8" t="n">
        <v>0</v>
      </c>
      <c r="BB115" s="8" t="n">
        <v>0</v>
      </c>
      <c r="BC115" s="8" t="n">
        <v>0</v>
      </c>
      <c r="BD115" s="8" t="n">
        <v>0</v>
      </c>
      <c r="BE115" s="8" t="n">
        <v>0</v>
      </c>
      <c r="BF115" s="8" t="n">
        <v>0</v>
      </c>
      <c r="BG115" s="8" t="n">
        <v>0</v>
      </c>
      <c r="BH115" s="8" t="n">
        <v>0</v>
      </c>
      <c r="BI115" s="8" t="n">
        <v>0</v>
      </c>
      <c r="BJ115" s="8" t="n">
        <v>1083.486432</v>
      </c>
      <c r="BK115" s="8" t="n">
        <v>478.8553625</v>
      </c>
      <c r="BL115" s="8" t="n">
        <v>1562.3417945</v>
      </c>
      <c r="BM115" s="4">
        <f>BJ115+BK115</f>
        <v/>
      </c>
    </row>
    <row r="116">
      <c r="A116" s="2" t="inlineStr">
        <is>
          <t>Origin</t>
        </is>
      </c>
      <c r="B116" s="8" t="inlineStr">
        <is>
          <t>1/2/3YR</t>
        </is>
      </c>
      <c r="C116" s="8" t="n">
        <v>6203723433</v>
      </c>
      <c r="D116" s="8" t="inlineStr">
        <is>
          <t>VIC</t>
        </is>
      </c>
      <c r="E116" s="8" t="inlineStr">
        <is>
          <t>Citipower</t>
        </is>
      </c>
      <c r="F116" s="8" t="inlineStr">
        <is>
          <t>NDTOU</t>
        </is>
      </c>
      <c r="G116" s="8" t="n"/>
      <c r="H116" s="8" t="inlineStr">
        <is>
          <t>Y</t>
        </is>
      </c>
      <c r="I116" s="8" t="n"/>
      <c r="J116" s="8" t="n"/>
      <c r="K116" s="8" t="n">
        <v>36.289</v>
      </c>
      <c r="L116" s="8" t="n"/>
      <c r="M116" s="8" t="n"/>
      <c r="N116" s="8" t="n"/>
      <c r="O116" s="8" t="n">
        <v>19.2093</v>
      </c>
      <c r="P116" s="8" t="n">
        <v>169.7795</v>
      </c>
      <c r="Q116" s="8" t="n">
        <v>0</v>
      </c>
      <c r="R116" s="8" t="n">
        <v>0.15</v>
      </c>
      <c r="S116" s="8" t="n">
        <v>0.15</v>
      </c>
      <c r="T116" s="8" t="n"/>
      <c r="U116" s="8" t="n"/>
      <c r="V116" s="8" t="n"/>
      <c r="W116" s="8" t="n"/>
      <c r="X116" s="8" t="n"/>
      <c r="Y116" s="8" t="n"/>
      <c r="Z116" s="8" t="n"/>
      <c r="AA116" s="8" t="n"/>
      <c r="AB116" s="8" t="n"/>
      <c r="AC116" s="8" t="n">
        <v>1179.6</v>
      </c>
      <c r="AD116" s="8" t="n">
        <v>0</v>
      </c>
      <c r="AE116" s="8" t="n"/>
      <c r="AF116" s="8" t="n">
        <v>0</v>
      </c>
      <c r="AG116" s="8" t="n">
        <v>786.4000000000001</v>
      </c>
      <c r="AH116" s="8" t="n">
        <v>365</v>
      </c>
      <c r="AI116" s="8" t="n">
        <v>365</v>
      </c>
      <c r="AJ116" s="8" t="n"/>
      <c r="AK116" s="8" t="n">
        <v>109.2222222222222</v>
      </c>
      <c r="AL116" s="8" t="n">
        <v>333.7345679012346</v>
      </c>
      <c r="AM116" s="8" t="n">
        <v>442.9567901234568</v>
      </c>
      <c r="AN116" s="8" t="n">
        <v>365</v>
      </c>
      <c r="AO116" s="8" t="n">
        <v>365</v>
      </c>
      <c r="AP116" s="8" t="n">
        <v>0</v>
      </c>
      <c r="AQ116" s="8" t="n">
        <v>0</v>
      </c>
      <c r="AR116" s="8" t="n">
        <v>0</v>
      </c>
      <c r="AS116" s="8" t="n">
        <v>0</v>
      </c>
      <c r="AT116" s="8" t="n">
        <v>428.065044</v>
      </c>
      <c r="AU116" s="8" t="n">
        <v>0</v>
      </c>
      <c r="AV116" s="8" t="n">
        <v>0</v>
      </c>
      <c r="AW116" s="8" t="n">
        <v>0</v>
      </c>
      <c r="AX116" s="8" t="n">
        <v>151.0619352</v>
      </c>
      <c r="AY116" s="8" t="n">
        <v>619.6951750000001</v>
      </c>
      <c r="AZ116" s="8" t="n">
        <v>0</v>
      </c>
      <c r="BA116" s="8" t="n">
        <v>0</v>
      </c>
      <c r="BB116" s="8" t="n">
        <v>0</v>
      </c>
      <c r="BC116" s="8" t="n">
        <v>0</v>
      </c>
      <c r="BD116" s="8" t="n">
        <v>0</v>
      </c>
      <c r="BE116" s="8" t="n">
        <v>0</v>
      </c>
      <c r="BF116" s="8" t="n">
        <v>0</v>
      </c>
      <c r="BG116" s="8" t="n">
        <v>0</v>
      </c>
      <c r="BH116" s="8" t="n">
        <v>0</v>
      </c>
      <c r="BI116" s="8" t="n">
        <v>0</v>
      </c>
      <c r="BJ116" s="8" t="n">
        <v>447.5072112</v>
      </c>
      <c r="BK116" s="8" t="n">
        <v>478.8553625</v>
      </c>
      <c r="BL116" s="8" t="n">
        <v>926.3625737</v>
      </c>
      <c r="BM116" s="4">
        <f>BJ116+BK116</f>
        <v/>
      </c>
    </row>
    <row r="117">
      <c r="A117" s="2" t="inlineStr">
        <is>
          <t>Origin</t>
        </is>
      </c>
      <c r="B117" s="8" t="inlineStr">
        <is>
          <t>1/2/3YR</t>
        </is>
      </c>
      <c r="C117" s="8" t="n">
        <v>6203842158</v>
      </c>
      <c r="D117" s="8" t="inlineStr">
        <is>
          <t>VIC</t>
        </is>
      </c>
      <c r="E117" s="8" t="inlineStr">
        <is>
          <t>Powercor</t>
        </is>
      </c>
      <c r="F117" s="8" t="inlineStr">
        <is>
          <t>NDTOU</t>
        </is>
      </c>
      <c r="G117" s="8" t="n"/>
      <c r="H117" s="8" t="inlineStr">
        <is>
          <t>Y</t>
        </is>
      </c>
      <c r="I117" s="8" t="n"/>
      <c r="J117" s="8" t="n"/>
      <c r="K117" s="8" t="n">
        <v>36.289</v>
      </c>
      <c r="L117" s="8" t="n"/>
      <c r="M117" s="8" t="n"/>
      <c r="N117" s="8" t="n"/>
      <c r="O117" s="8" t="n">
        <v>19.2093</v>
      </c>
      <c r="P117" s="8" t="n">
        <v>169.7795</v>
      </c>
      <c r="Q117" s="8" t="n">
        <v>0</v>
      </c>
      <c r="R117" s="8" t="n">
        <v>0.15</v>
      </c>
      <c r="S117" s="8" t="n">
        <v>0.15</v>
      </c>
      <c r="T117" s="8" t="n"/>
      <c r="U117" s="8" t="n"/>
      <c r="V117" s="8" t="n"/>
      <c r="W117" s="8" t="n"/>
      <c r="X117" s="8" t="n"/>
      <c r="Y117" s="8" t="n"/>
      <c r="Z117" s="8" t="n"/>
      <c r="AA117" s="8" t="n"/>
      <c r="AB117" s="8" t="n"/>
      <c r="AC117" s="8" t="n">
        <v>3771.6</v>
      </c>
      <c r="AD117" s="8" t="n">
        <v>0</v>
      </c>
      <c r="AE117" s="8" t="n"/>
      <c r="AF117" s="8" t="n">
        <v>0</v>
      </c>
      <c r="AG117" s="8" t="n">
        <v>2514.4</v>
      </c>
      <c r="AH117" s="8" t="n">
        <v>365</v>
      </c>
      <c r="AI117" s="8" t="n">
        <v>365</v>
      </c>
      <c r="AJ117" s="8" t="n"/>
      <c r="AK117" s="8" t="n">
        <v>349.2222222222222</v>
      </c>
      <c r="AL117" s="8" t="n">
        <v>1067.067901234568</v>
      </c>
      <c r="AM117" s="8" t="n">
        <v>1416.29012345679</v>
      </c>
      <c r="AN117" s="8" t="n">
        <v>365</v>
      </c>
      <c r="AO117" s="8" t="n">
        <v>365</v>
      </c>
      <c r="AP117" s="8" t="n">
        <v>0</v>
      </c>
      <c r="AQ117" s="8" t="n">
        <v>0</v>
      </c>
      <c r="AR117" s="8" t="n">
        <v>0</v>
      </c>
      <c r="AS117" s="8" t="n">
        <v>0</v>
      </c>
      <c r="AT117" s="8" t="n">
        <v>1368.675924</v>
      </c>
      <c r="AU117" s="8" t="n">
        <v>0</v>
      </c>
      <c r="AV117" s="8" t="n">
        <v>0</v>
      </c>
      <c r="AW117" s="8" t="n">
        <v>0</v>
      </c>
      <c r="AX117" s="8" t="n">
        <v>482.9986392</v>
      </c>
      <c r="AY117" s="8" t="n">
        <v>619.6951750000001</v>
      </c>
      <c r="AZ117" s="8" t="n">
        <v>0</v>
      </c>
      <c r="BA117" s="8" t="n">
        <v>0</v>
      </c>
      <c r="BB117" s="8" t="n">
        <v>0</v>
      </c>
      <c r="BC117" s="8" t="n">
        <v>0</v>
      </c>
      <c r="BD117" s="8" t="n">
        <v>0</v>
      </c>
      <c r="BE117" s="8" t="n">
        <v>0</v>
      </c>
      <c r="BF117" s="8" t="n">
        <v>0</v>
      </c>
      <c r="BG117" s="8" t="n">
        <v>0</v>
      </c>
      <c r="BH117" s="8" t="n">
        <v>0</v>
      </c>
      <c r="BI117" s="8" t="n">
        <v>0</v>
      </c>
      <c r="BJ117" s="8" t="n">
        <v>1430.8394352</v>
      </c>
      <c r="BK117" s="8" t="n">
        <v>478.8553625</v>
      </c>
      <c r="BL117" s="8" t="n">
        <v>1909.6947977</v>
      </c>
      <c r="BM117" s="4">
        <f>BJ117+BK117</f>
        <v/>
      </c>
    </row>
    <row r="118">
      <c r="A118" s="2" t="inlineStr">
        <is>
          <t>Origin</t>
        </is>
      </c>
      <c r="B118" s="8" t="inlineStr">
        <is>
          <t>1/2/3YR</t>
        </is>
      </c>
      <c r="C118" s="8" t="n">
        <v>4001050448</v>
      </c>
      <c r="D118" s="8" t="inlineStr">
        <is>
          <t>NSW</t>
        </is>
      </c>
      <c r="E118" s="8" t="inlineStr">
        <is>
          <t>Powercor</t>
        </is>
      </c>
      <c r="F118" s="8" t="inlineStr">
        <is>
          <t>BLNN1AU</t>
        </is>
      </c>
      <c r="G118" s="8" t="n"/>
      <c r="H118" s="8" t="inlineStr">
        <is>
          <t>Y</t>
        </is>
      </c>
      <c r="I118" s="8" t="n"/>
      <c r="J118" s="8" t="n"/>
      <c r="K118" s="8" t="n">
        <v>40.3667</v>
      </c>
      <c r="L118" s="8" t="n"/>
      <c r="M118" s="8" t="n"/>
      <c r="N118" s="8" t="n">
        <v>40.3667</v>
      </c>
      <c r="O118" s="8" t="n">
        <v>40.3667</v>
      </c>
      <c r="P118" s="8" t="n">
        <v>405.5678</v>
      </c>
      <c r="Q118" s="8" t="n">
        <v>0</v>
      </c>
      <c r="R118" s="8" t="n">
        <v>0.25</v>
      </c>
      <c r="S118" s="8" t="n">
        <v>0.25</v>
      </c>
      <c r="T118" s="8" t="n"/>
      <c r="U118" s="8" t="n"/>
      <c r="V118" s="8" t="n"/>
      <c r="W118" s="8" t="n"/>
      <c r="X118" s="8" t="n"/>
      <c r="Y118" s="8" t="n"/>
      <c r="Z118" s="8" t="n"/>
      <c r="AA118" s="8" t="n"/>
      <c r="AB118" s="8" t="n"/>
      <c r="AC118" s="8" t="n">
        <v>5670.8</v>
      </c>
      <c r="AD118" s="8" t="n">
        <v>0</v>
      </c>
      <c r="AE118" s="8" t="n"/>
      <c r="AF118" s="8" t="n">
        <v>17012.4</v>
      </c>
      <c r="AG118" s="8" t="n">
        <v>5670.799999999998</v>
      </c>
      <c r="AH118" s="8" t="n">
        <v>365</v>
      </c>
      <c r="AI118" s="8" t="n">
        <v>365</v>
      </c>
      <c r="AJ118" s="8" t="n"/>
      <c r="AK118" s="8" t="n">
        <v>1575.222222222222</v>
      </c>
      <c r="AL118" s="8" t="n">
        <v>4813.179012345679</v>
      </c>
      <c r="AM118" s="8" t="n">
        <v>6388.4012345679</v>
      </c>
      <c r="AN118" s="8" t="n">
        <v>365</v>
      </c>
      <c r="AO118" s="8" t="n">
        <v>0</v>
      </c>
      <c r="AP118" s="8" t="n">
        <v>365</v>
      </c>
      <c r="AQ118" s="8" t="n">
        <v>0</v>
      </c>
      <c r="AR118" s="8" t="n">
        <v>0</v>
      </c>
      <c r="AS118" s="8" t="n">
        <v>0</v>
      </c>
      <c r="AT118" s="8" t="n">
        <v>2289.1148236</v>
      </c>
      <c r="AU118" s="8" t="n">
        <v>0</v>
      </c>
      <c r="AV118" s="8" t="n">
        <v>0</v>
      </c>
      <c r="AW118" s="8" t="n">
        <v>6867.3444708</v>
      </c>
      <c r="AX118" s="8" t="n">
        <v>2289.114823599999</v>
      </c>
      <c r="AY118" s="8" t="n">
        <v>1480.32247</v>
      </c>
      <c r="AZ118" s="8" t="n">
        <v>0</v>
      </c>
      <c r="BA118" s="8" t="n">
        <v>0</v>
      </c>
      <c r="BB118" s="8" t="n">
        <v>0</v>
      </c>
      <c r="BC118" s="8" t="n">
        <v>0</v>
      </c>
      <c r="BD118" s="8" t="n">
        <v>0</v>
      </c>
      <c r="BE118" s="8" t="n">
        <v>0</v>
      </c>
      <c r="BF118" s="8" t="n">
        <v>0</v>
      </c>
      <c r="BG118" s="8" t="n">
        <v>0</v>
      </c>
      <c r="BH118" s="8" t="n">
        <v>0</v>
      </c>
      <c r="BI118" s="8" t="n">
        <v>0</v>
      </c>
      <c r="BJ118" s="8" t="n">
        <v>7803.800534999999</v>
      </c>
      <c r="BK118" s="8" t="n">
        <v>1009.310775</v>
      </c>
      <c r="BL118" s="8" t="n">
        <v>8813.11131</v>
      </c>
      <c r="BM118" s="4">
        <f>BJ118+BK118</f>
        <v/>
      </c>
    </row>
    <row r="119">
      <c r="A119" s="2" t="inlineStr">
        <is>
          <t>Origin</t>
        </is>
      </c>
      <c r="B119" s="8" t="inlineStr">
        <is>
          <t>1/2/3YR</t>
        </is>
      </c>
      <c r="C119" s="8" t="n">
        <v>4001128707</v>
      </c>
      <c r="D119" s="8" t="inlineStr">
        <is>
          <t>NSW</t>
        </is>
      </c>
      <c r="E119" s="8" t="inlineStr">
        <is>
          <t>United Energy</t>
        </is>
      </c>
      <c r="F119" s="8" t="inlineStr">
        <is>
          <t>BLNBSS1</t>
        </is>
      </c>
      <c r="G119" s="8" t="n"/>
      <c r="H119" s="8" t="inlineStr">
        <is>
          <t>Y</t>
        </is>
      </c>
      <c r="I119" s="8" t="n"/>
      <c r="J119" s="8" t="n"/>
      <c r="K119" s="8" t="n">
        <v>43.6381</v>
      </c>
      <c r="L119" s="8" t="n"/>
      <c r="M119" s="8" t="n"/>
      <c r="N119" s="8" t="n">
        <v>51.304</v>
      </c>
      <c r="O119" s="8" t="n">
        <v>27.1315</v>
      </c>
      <c r="P119" s="8" t="n">
        <v>405.6536</v>
      </c>
      <c r="Q119" s="8" t="n">
        <v>0</v>
      </c>
      <c r="R119" s="8" t="n">
        <v>0.25</v>
      </c>
      <c r="S119" s="8" t="n">
        <v>0.25</v>
      </c>
      <c r="T119" s="8" t="n"/>
      <c r="U119" s="8" t="n"/>
      <c r="V119" s="8" t="n"/>
      <c r="W119" s="8" t="n"/>
      <c r="X119" s="8" t="n"/>
      <c r="Y119" s="8" t="n"/>
      <c r="Z119" s="8" t="n"/>
      <c r="AA119" s="8" t="n"/>
      <c r="AB119" s="8" t="n"/>
      <c r="AC119" s="8" t="n">
        <v>0</v>
      </c>
      <c r="AD119" s="8" t="n">
        <v>0</v>
      </c>
      <c r="AE119" s="8" t="n"/>
      <c r="AF119" s="8" t="n">
        <v>0</v>
      </c>
      <c r="AG119" s="8" t="n">
        <v>0</v>
      </c>
      <c r="AH119" s="8" t="n">
        <v>365</v>
      </c>
      <c r="AI119" s="8" t="n">
        <v>365</v>
      </c>
      <c r="AJ119" s="8" t="n"/>
      <c r="AK119" s="8" t="n">
        <v>0</v>
      </c>
      <c r="AL119" s="8" t="n">
        <v>0</v>
      </c>
      <c r="AM119" s="8" t="n">
        <v>0</v>
      </c>
      <c r="AN119" s="8" t="n">
        <v>365</v>
      </c>
      <c r="AO119" s="8" t="n">
        <v>365</v>
      </c>
      <c r="AP119" s="8" t="n">
        <v>0</v>
      </c>
      <c r="AQ119" s="8" t="n">
        <v>0</v>
      </c>
      <c r="AR119" s="8" t="n">
        <v>0</v>
      </c>
      <c r="AS119" s="8" t="n">
        <v>0</v>
      </c>
      <c r="AT119" s="8" t="n">
        <v>0</v>
      </c>
      <c r="AU119" s="8" t="n">
        <v>0</v>
      </c>
      <c r="AV119" s="8" t="n">
        <v>0</v>
      </c>
      <c r="AW119" s="8" t="n">
        <v>0</v>
      </c>
      <c r="AX119" s="8" t="n">
        <v>0</v>
      </c>
      <c r="AY119" s="8" t="n">
        <v>1480.63564</v>
      </c>
      <c r="AZ119" s="8" t="n">
        <v>0</v>
      </c>
      <c r="BA119" s="8" t="n">
        <v>0</v>
      </c>
      <c r="BB119" s="8" t="n">
        <v>0</v>
      </c>
      <c r="BC119" s="8" t="n">
        <v>0</v>
      </c>
      <c r="BD119" s="8" t="n">
        <v>0</v>
      </c>
      <c r="BE119" s="8" t="n">
        <v>0</v>
      </c>
      <c r="BF119" s="8" t="n">
        <v>0</v>
      </c>
      <c r="BG119" s="8" t="n">
        <v>0</v>
      </c>
      <c r="BH119" s="8" t="n">
        <v>0</v>
      </c>
      <c r="BI119" s="8" t="n">
        <v>0</v>
      </c>
      <c r="BJ119" s="8" t="n">
        <v>0</v>
      </c>
      <c r="BK119" s="8" t="n">
        <v>1009.5243</v>
      </c>
      <c r="BL119" s="8" t="n">
        <v>1009.5243</v>
      </c>
      <c r="BM119" s="4">
        <f>BJ119+BK119</f>
        <v/>
      </c>
    </row>
    <row r="120">
      <c r="A120" s="2" t="inlineStr">
        <is>
          <t>Origin</t>
        </is>
      </c>
      <c r="B120" s="8" t="inlineStr">
        <is>
          <t>1/2/3YR</t>
        </is>
      </c>
      <c r="C120" s="8" t="n">
        <v>4001174306</v>
      </c>
      <c r="D120" s="8" t="inlineStr">
        <is>
          <t>NSW</t>
        </is>
      </c>
      <c r="E120" s="8" t="inlineStr">
        <is>
          <t>United Energy</t>
        </is>
      </c>
      <c r="F120" s="8" t="inlineStr">
        <is>
          <t>BLNN1AU</t>
        </is>
      </c>
      <c r="G120" s="8" t="n"/>
      <c r="H120" s="8" t="inlineStr">
        <is>
          <t>Y</t>
        </is>
      </c>
      <c r="I120" s="8" t="n"/>
      <c r="J120" s="8" t="n"/>
      <c r="K120" s="8" t="n">
        <v>40.3667</v>
      </c>
      <c r="L120" s="8" t="n"/>
      <c r="M120" s="8" t="n"/>
      <c r="N120" s="8" t="n">
        <v>40.3667</v>
      </c>
      <c r="O120" s="8" t="n">
        <v>40.3667</v>
      </c>
      <c r="P120" s="8" t="n">
        <v>405.5678</v>
      </c>
      <c r="Q120" s="8" t="n">
        <v>0</v>
      </c>
      <c r="R120" s="8" t="n">
        <v>0.25</v>
      </c>
      <c r="S120" s="8" t="n">
        <v>0.25</v>
      </c>
      <c r="T120" s="8" t="n"/>
      <c r="U120" s="8" t="n"/>
      <c r="V120" s="8" t="n"/>
      <c r="W120" s="8" t="n"/>
      <c r="X120" s="8" t="n"/>
      <c r="Y120" s="8" t="n"/>
      <c r="Z120" s="8" t="n"/>
      <c r="AA120" s="8" t="n"/>
      <c r="AB120" s="8" t="n"/>
      <c r="AC120" s="8" t="n">
        <v>50880.2</v>
      </c>
      <c r="AD120" s="8" t="n">
        <v>0</v>
      </c>
      <c r="AE120" s="8" t="n"/>
      <c r="AF120" s="8" t="n">
        <v>152640.6</v>
      </c>
      <c r="AG120" s="8" t="n">
        <v>50880.19999999999</v>
      </c>
      <c r="AH120" s="8" t="n">
        <v>365</v>
      </c>
      <c r="AI120" s="8" t="n">
        <v>365</v>
      </c>
      <c r="AJ120" s="8" t="n"/>
      <c r="AK120" s="8" t="n">
        <v>14133.38888888889</v>
      </c>
      <c r="AL120" s="8" t="n">
        <v>43185.3549382716</v>
      </c>
      <c r="AM120" s="8" t="n">
        <v>57318.74382716048</v>
      </c>
      <c r="AN120" s="8" t="n">
        <v>365</v>
      </c>
      <c r="AO120" s="8" t="n">
        <v>0</v>
      </c>
      <c r="AP120" s="8" t="n">
        <v>0</v>
      </c>
      <c r="AQ120" s="8" t="n">
        <v>0</v>
      </c>
      <c r="AR120" s="8" t="n">
        <v>0</v>
      </c>
      <c r="AS120" s="8" t="n">
        <v>365</v>
      </c>
      <c r="AT120" s="8" t="n">
        <v>20538.6576934</v>
      </c>
      <c r="AU120" s="8" t="n">
        <v>0</v>
      </c>
      <c r="AV120" s="8" t="n">
        <v>0</v>
      </c>
      <c r="AW120" s="8" t="n">
        <v>61615.9730802</v>
      </c>
      <c r="AX120" s="8" t="n">
        <v>20538.6576934</v>
      </c>
      <c r="AY120" s="8" t="n">
        <v>1480.32247</v>
      </c>
      <c r="AZ120" s="8" t="n">
        <v>0</v>
      </c>
      <c r="BA120" s="8" t="n">
        <v>0</v>
      </c>
      <c r="BB120" s="8" t="n">
        <v>0</v>
      </c>
      <c r="BC120" s="8" t="n">
        <v>0</v>
      </c>
      <c r="BD120" s="8" t="n">
        <v>0</v>
      </c>
      <c r="BE120" s="8" t="n">
        <v>0</v>
      </c>
      <c r="BF120" s="8" t="n">
        <v>0</v>
      </c>
      <c r="BG120" s="8" t="n">
        <v>0</v>
      </c>
      <c r="BH120" s="8" t="n">
        <v>0</v>
      </c>
      <c r="BI120" s="8" t="n">
        <v>0</v>
      </c>
      <c r="BJ120" s="8" t="n">
        <v>70018.1512275</v>
      </c>
      <c r="BK120" s="8" t="n">
        <v>1009.310775</v>
      </c>
      <c r="BL120" s="8" t="n">
        <v>71027.4620025</v>
      </c>
      <c r="BM120" s="4">
        <f>BJ120+BK120</f>
        <v/>
      </c>
    </row>
    <row r="121">
      <c r="A121" s="2" t="inlineStr">
        <is>
          <t>Origin</t>
        </is>
      </c>
      <c r="B121" s="8" t="inlineStr">
        <is>
          <t>1/2/3YR</t>
        </is>
      </c>
      <c r="C121" s="8" t="n">
        <v>4001231357</v>
      </c>
      <c r="D121" s="8" t="inlineStr">
        <is>
          <t>NSW</t>
        </is>
      </c>
      <c r="E121" s="8" t="inlineStr">
        <is>
          <t>United Energy</t>
        </is>
      </c>
      <c r="F121" s="8" t="inlineStr">
        <is>
          <t>BLNT2AL</t>
        </is>
      </c>
      <c r="G121" s="8" t="n"/>
      <c r="H121" s="8" t="inlineStr">
        <is>
          <t>Y</t>
        </is>
      </c>
      <c r="I121" s="8" t="n"/>
      <c r="J121" s="8" t="n"/>
      <c r="K121" s="8" t="n">
        <v>55.033</v>
      </c>
      <c r="L121" s="8" t="n"/>
      <c r="M121" s="8" t="n"/>
      <c r="N121" s="8" t="n">
        <v>49.841</v>
      </c>
      <c r="O121" s="8" t="n">
        <v>33.088</v>
      </c>
      <c r="P121" s="8" t="n">
        <v>300.124</v>
      </c>
      <c r="Q121" s="8" t="n">
        <v>0</v>
      </c>
      <c r="R121" s="8" t="n">
        <v>0.25</v>
      </c>
      <c r="S121" s="8" t="n">
        <v>0.25</v>
      </c>
      <c r="T121" s="8" t="n"/>
      <c r="U121" s="8" t="n">
        <v>36.21</v>
      </c>
      <c r="V121" s="8" t="n">
        <v>24.34</v>
      </c>
      <c r="W121" s="8" t="n"/>
      <c r="X121" s="8" t="n"/>
      <c r="Y121" s="8" t="n"/>
      <c r="Z121" s="8" t="n"/>
      <c r="AA121" s="8" t="n"/>
      <c r="AB121" s="8" t="n"/>
      <c r="AC121" s="8" t="n">
        <v>6155.200000000001</v>
      </c>
      <c r="AD121" s="8" t="n">
        <v>0</v>
      </c>
      <c r="AE121" s="8" t="n"/>
      <c r="AF121" s="8" t="n">
        <v>18465.6</v>
      </c>
      <c r="AG121" s="8" t="n">
        <v>6155.199999999999</v>
      </c>
      <c r="AH121" s="8" t="n">
        <v>365</v>
      </c>
      <c r="AI121" s="8" t="n">
        <v>365</v>
      </c>
      <c r="AJ121" s="8" t="n"/>
      <c r="AK121" s="8" t="n">
        <v>1709.777777777778</v>
      </c>
      <c r="AL121" s="8" t="n">
        <v>5224.320987654321</v>
      </c>
      <c r="AM121" s="8" t="n">
        <v>6934.098765432098</v>
      </c>
      <c r="AN121" s="8" t="n">
        <v>365</v>
      </c>
      <c r="AO121" s="8" t="n">
        <v>0</v>
      </c>
      <c r="AP121" s="8" t="n">
        <v>365</v>
      </c>
      <c r="AQ121" s="8" t="n">
        <v>0</v>
      </c>
      <c r="AR121" s="8" t="n">
        <v>0</v>
      </c>
      <c r="AS121" s="8" t="n">
        <v>0</v>
      </c>
      <c r="AT121" s="8" t="n">
        <v>3387.391216000001</v>
      </c>
      <c r="AU121" s="8" t="n">
        <v>0</v>
      </c>
      <c r="AV121" s="8" t="n">
        <v>0</v>
      </c>
      <c r="AW121" s="8" t="n">
        <v>9203.439695999999</v>
      </c>
      <c r="AX121" s="8" t="n">
        <v>2036.632576</v>
      </c>
      <c r="AY121" s="8" t="n">
        <v>1095.4526</v>
      </c>
      <c r="AZ121" s="8" t="n">
        <v>0</v>
      </c>
      <c r="BA121" s="8" t="n">
        <v>0</v>
      </c>
      <c r="BB121" s="8" t="n">
        <v>619.1105333333333</v>
      </c>
      <c r="BC121" s="8" t="n">
        <v>1271.599728395062</v>
      </c>
      <c r="BD121" s="8" t="n">
        <v>0</v>
      </c>
      <c r="BE121" s="8" t="n">
        <v>0</v>
      </c>
      <c r="BF121" s="8" t="n">
        <v>0</v>
      </c>
      <c r="BG121" s="8" t="n">
        <v>0</v>
      </c>
      <c r="BH121" s="8" t="n">
        <v>0</v>
      </c>
      <c r="BI121" s="8" t="n">
        <v>0</v>
      </c>
      <c r="BJ121" s="8" t="n">
        <v>11692.09807066218</v>
      </c>
      <c r="BK121" s="8" t="n">
        <v>746.8995</v>
      </c>
      <c r="BL121" s="8" t="n">
        <v>12438.99757066218</v>
      </c>
      <c r="BM121" s="4">
        <f>BJ121+BK121</f>
        <v/>
      </c>
    </row>
    <row r="122">
      <c r="A122" s="2" t="inlineStr">
        <is>
          <t>Origin</t>
        </is>
      </c>
      <c r="B122" s="8" t="inlineStr">
        <is>
          <t>1/2/3YR</t>
        </is>
      </c>
      <c r="C122" s="8" t="n">
        <v>4001277522</v>
      </c>
      <c r="D122" s="8" t="inlineStr">
        <is>
          <t>NSW</t>
        </is>
      </c>
      <c r="E122" s="8" t="inlineStr">
        <is>
          <t>United Energy</t>
        </is>
      </c>
      <c r="F122" s="8" t="inlineStr">
        <is>
          <t>BLNN1AU</t>
        </is>
      </c>
      <c r="G122" s="8" t="n"/>
      <c r="H122" s="8" t="inlineStr">
        <is>
          <t>Y</t>
        </is>
      </c>
      <c r="I122" s="8" t="n"/>
      <c r="J122" s="8" t="n"/>
      <c r="K122" s="8" t="n">
        <v>40.3667</v>
      </c>
      <c r="L122" s="8" t="n"/>
      <c r="M122" s="8" t="n"/>
      <c r="N122" s="8" t="n">
        <v>40.3667</v>
      </c>
      <c r="O122" s="8" t="n">
        <v>40.3667</v>
      </c>
      <c r="P122" s="8" t="n">
        <v>405.5678</v>
      </c>
      <c r="Q122" s="8" t="n">
        <v>0</v>
      </c>
      <c r="R122" s="8" t="n">
        <v>0.25</v>
      </c>
      <c r="S122" s="8" t="n">
        <v>0.25</v>
      </c>
      <c r="T122" s="8" t="n"/>
      <c r="U122" s="8" t="n"/>
      <c r="V122" s="8" t="n"/>
      <c r="W122" s="8" t="n"/>
      <c r="X122" s="8" t="n"/>
      <c r="Y122" s="8" t="n"/>
      <c r="Z122" s="8" t="n"/>
      <c r="AA122" s="8" t="n"/>
      <c r="AB122" s="8" t="n"/>
      <c r="AC122" s="8" t="n">
        <v>1859.8</v>
      </c>
      <c r="AD122" s="8" t="n">
        <v>0</v>
      </c>
      <c r="AE122" s="8" t="n"/>
      <c r="AF122" s="8" t="n">
        <v>5579.4</v>
      </c>
      <c r="AG122" s="8" t="n">
        <v>1859.799999999999</v>
      </c>
      <c r="AH122" s="8" t="n">
        <v>365</v>
      </c>
      <c r="AI122" s="8" t="n">
        <v>365</v>
      </c>
      <c r="AJ122" s="8" t="n"/>
      <c r="AK122" s="8" t="n">
        <v>516.6111111111111</v>
      </c>
      <c r="AL122" s="8" t="n">
        <v>1578.533950617284</v>
      </c>
      <c r="AM122" s="8" t="n">
        <v>2095.145061728395</v>
      </c>
      <c r="AN122" s="8" t="n">
        <v>365</v>
      </c>
      <c r="AO122" s="8" t="n">
        <v>365</v>
      </c>
      <c r="AP122" s="8" t="n">
        <v>0</v>
      </c>
      <c r="AQ122" s="8" t="n">
        <v>0</v>
      </c>
      <c r="AR122" s="8" t="n">
        <v>0</v>
      </c>
      <c r="AS122" s="8" t="n">
        <v>0</v>
      </c>
      <c r="AT122" s="8" t="n">
        <v>750.7398866000002</v>
      </c>
      <c r="AU122" s="8" t="n">
        <v>0</v>
      </c>
      <c r="AV122" s="8" t="n">
        <v>0</v>
      </c>
      <c r="AW122" s="8" t="n">
        <v>2252.2196598</v>
      </c>
      <c r="AX122" s="8" t="n">
        <v>750.7398865999999</v>
      </c>
      <c r="AY122" s="8" t="n">
        <v>1480.32247</v>
      </c>
      <c r="AZ122" s="8" t="n">
        <v>0</v>
      </c>
      <c r="BA122" s="8" t="n">
        <v>0</v>
      </c>
      <c r="BB122" s="8" t="n">
        <v>0</v>
      </c>
      <c r="BC122" s="8" t="n">
        <v>0</v>
      </c>
      <c r="BD122" s="8" t="n">
        <v>0</v>
      </c>
      <c r="BE122" s="8" t="n">
        <v>0</v>
      </c>
      <c r="BF122" s="8" t="n">
        <v>0</v>
      </c>
      <c r="BG122" s="8" t="n">
        <v>0</v>
      </c>
      <c r="BH122" s="8" t="n">
        <v>0</v>
      </c>
      <c r="BI122" s="8" t="n">
        <v>0</v>
      </c>
      <c r="BJ122" s="8" t="n">
        <v>2559.3405225</v>
      </c>
      <c r="BK122" s="8" t="n">
        <v>1009.310775</v>
      </c>
      <c r="BL122" s="8" t="n">
        <v>3568.6512975</v>
      </c>
      <c r="BM122" s="4">
        <f>BJ122+BK122</f>
        <v/>
      </c>
    </row>
    <row r="123">
      <c r="A123" s="2" t="inlineStr">
        <is>
          <t>Origin</t>
        </is>
      </c>
      <c r="B123" s="8" t="inlineStr">
        <is>
          <t>1/2/3YR</t>
        </is>
      </c>
      <c r="C123" s="8" t="n">
        <v>4204234430</v>
      </c>
      <c r="D123" s="8" t="inlineStr">
        <is>
          <t>NSW</t>
        </is>
      </c>
      <c r="E123" s="8" t="inlineStr">
        <is>
          <t>United Energy</t>
        </is>
      </c>
      <c r="F123" s="8" t="inlineStr">
        <is>
          <t>BLNT2AL</t>
        </is>
      </c>
      <c r="G123" s="8" t="n"/>
      <c r="H123" s="8" t="inlineStr">
        <is>
          <t>Y</t>
        </is>
      </c>
      <c r="I123" s="8" t="n"/>
      <c r="J123" s="8" t="n"/>
      <c r="K123" s="8" t="n">
        <v>55.033</v>
      </c>
      <c r="L123" s="8" t="n"/>
      <c r="M123" s="8" t="n"/>
      <c r="N123" s="8" t="n">
        <v>49.841</v>
      </c>
      <c r="O123" s="8" t="n">
        <v>33.088</v>
      </c>
      <c r="P123" s="8" t="n">
        <v>300.124</v>
      </c>
      <c r="Q123" s="8" t="n">
        <v>0</v>
      </c>
      <c r="R123" s="8" t="n">
        <v>0.25</v>
      </c>
      <c r="S123" s="8" t="n">
        <v>0.25</v>
      </c>
      <c r="T123" s="8" t="n"/>
      <c r="U123" s="8" t="n"/>
      <c r="V123" s="8" t="n"/>
      <c r="W123" s="8" t="n"/>
      <c r="X123" s="8" t="n"/>
      <c r="Y123" s="8" t="n"/>
      <c r="Z123" s="8" t="n"/>
      <c r="AA123" s="8" t="n"/>
      <c r="AB123" s="8" t="n"/>
      <c r="AC123" s="8" t="n">
        <v>3341.8</v>
      </c>
      <c r="AD123" s="8" t="n">
        <v>0</v>
      </c>
      <c r="AE123" s="8" t="n"/>
      <c r="AF123" s="8" t="n">
        <v>10025.4</v>
      </c>
      <c r="AG123" s="8" t="n">
        <v>3341.799999999999</v>
      </c>
      <c r="AH123" s="8" t="n">
        <v>365</v>
      </c>
      <c r="AI123" s="8" t="n">
        <v>365</v>
      </c>
      <c r="AJ123" s="8" t="n"/>
      <c r="AK123" s="8" t="n">
        <v>928.2777777777779</v>
      </c>
      <c r="AL123" s="8" t="n">
        <v>2836.404320987655</v>
      </c>
      <c r="AM123" s="8" t="n">
        <v>3764.682098765433</v>
      </c>
      <c r="AN123" s="8" t="n">
        <v>365</v>
      </c>
      <c r="AO123" s="8" t="n">
        <v>365</v>
      </c>
      <c r="AP123" s="8" t="n">
        <v>0</v>
      </c>
      <c r="AQ123" s="8" t="n">
        <v>0</v>
      </c>
      <c r="AR123" s="8" t="n">
        <v>0</v>
      </c>
      <c r="AS123" s="8" t="n">
        <v>0</v>
      </c>
      <c r="AT123" s="8" t="n">
        <v>1839.092794</v>
      </c>
      <c r="AU123" s="8" t="n">
        <v>0</v>
      </c>
      <c r="AV123" s="8" t="n">
        <v>0</v>
      </c>
      <c r="AW123" s="8" t="n">
        <v>4996.759614</v>
      </c>
      <c r="AX123" s="8" t="n">
        <v>1105.734784</v>
      </c>
      <c r="AY123" s="8" t="n">
        <v>1095.4526</v>
      </c>
      <c r="AZ123" s="8" t="n">
        <v>0</v>
      </c>
      <c r="BA123" s="8" t="n">
        <v>0</v>
      </c>
      <c r="BB123" s="8" t="n">
        <v>0</v>
      </c>
      <c r="BC123" s="8" t="n">
        <v>0</v>
      </c>
      <c r="BD123" s="8" t="n">
        <v>0</v>
      </c>
      <c r="BE123" s="8" t="n">
        <v>0</v>
      </c>
      <c r="BF123" s="8" t="n">
        <v>0</v>
      </c>
      <c r="BG123" s="8" t="n">
        <v>0</v>
      </c>
      <c r="BH123" s="8" t="n">
        <v>0</v>
      </c>
      <c r="BI123" s="8" t="n">
        <v>0</v>
      </c>
      <c r="BJ123" s="8" t="n">
        <v>5414.718539999999</v>
      </c>
      <c r="BK123" s="8" t="n">
        <v>746.8995</v>
      </c>
      <c r="BL123" s="8" t="n">
        <v>6161.618039999999</v>
      </c>
      <c r="BM123" s="4">
        <f>BJ123+BK123</f>
        <v/>
      </c>
    </row>
    <row r="124">
      <c r="A124" s="2" t="inlineStr">
        <is>
          <t>Origin</t>
        </is>
      </c>
      <c r="B124" s="8" t="inlineStr">
        <is>
          <t>1/2/3YR</t>
        </is>
      </c>
      <c r="C124" s="8" t="n">
        <v>4407159044</v>
      </c>
      <c r="D124" s="8" t="inlineStr">
        <is>
          <t>NSW</t>
        </is>
      </c>
      <c r="E124" s="8" t="inlineStr">
        <is>
          <t>AusNet Services</t>
        </is>
      </c>
      <c r="F124" s="8" t="inlineStr">
        <is>
          <t>BLNN1AU</t>
        </is>
      </c>
      <c r="G124" s="8" t="n"/>
      <c r="H124" s="8" t="inlineStr">
        <is>
          <t>Y</t>
        </is>
      </c>
      <c r="I124" s="8" t="n"/>
      <c r="J124" s="8" t="n"/>
      <c r="K124" s="8" t="n">
        <v>40.3667</v>
      </c>
      <c r="L124" s="8" t="n"/>
      <c r="M124" s="8" t="n"/>
      <c r="N124" s="8" t="n">
        <v>40.3667</v>
      </c>
      <c r="O124" s="8" t="n">
        <v>40.3667</v>
      </c>
      <c r="P124" s="8" t="n">
        <v>405.5678</v>
      </c>
      <c r="Q124" s="8" t="n">
        <v>0</v>
      </c>
      <c r="R124" s="8" t="n">
        <v>0.25</v>
      </c>
      <c r="S124" s="8" t="n">
        <v>0.25</v>
      </c>
      <c r="T124" s="8" t="n"/>
      <c r="U124" s="8" t="n"/>
      <c r="V124" s="8" t="n"/>
      <c r="W124" s="8" t="n"/>
      <c r="X124" s="8" t="n"/>
      <c r="Y124" s="8" t="n"/>
      <c r="Z124" s="8" t="n"/>
      <c r="AA124" s="8" t="n"/>
      <c r="AB124" s="8" t="n"/>
      <c r="AC124" s="8" t="n">
        <v>6774.400000000001</v>
      </c>
      <c r="AD124" s="8" t="n">
        <v>0</v>
      </c>
      <c r="AE124" s="8" t="n"/>
      <c r="AF124" s="8" t="n">
        <v>20323.2</v>
      </c>
      <c r="AG124" s="8" t="n">
        <v>6774.399999999999</v>
      </c>
      <c r="AH124" s="8" t="n">
        <v>365</v>
      </c>
      <c r="AI124" s="8" t="n">
        <v>365</v>
      </c>
      <c r="AJ124" s="8" t="n"/>
      <c r="AK124" s="8" t="n">
        <v>1881.777777777778</v>
      </c>
      <c r="AL124" s="8" t="n">
        <v>5749.876543209876</v>
      </c>
      <c r="AM124" s="8" t="n">
        <v>7631.654320987654</v>
      </c>
      <c r="AN124" s="8" t="n">
        <v>365</v>
      </c>
      <c r="AO124" s="8" t="n">
        <v>0</v>
      </c>
      <c r="AP124" s="8" t="n">
        <v>365</v>
      </c>
      <c r="AQ124" s="8" t="n">
        <v>0</v>
      </c>
      <c r="AR124" s="8" t="n">
        <v>0</v>
      </c>
      <c r="AS124" s="8" t="n">
        <v>0</v>
      </c>
      <c r="AT124" s="8" t="n">
        <v>2734.6017248</v>
      </c>
      <c r="AU124" s="8" t="n">
        <v>0</v>
      </c>
      <c r="AV124" s="8" t="n">
        <v>0</v>
      </c>
      <c r="AW124" s="8" t="n">
        <v>8203.8051744</v>
      </c>
      <c r="AX124" s="8" t="n">
        <v>2734.601724799999</v>
      </c>
      <c r="AY124" s="8" t="n">
        <v>1480.32247</v>
      </c>
      <c r="AZ124" s="8" t="n">
        <v>0</v>
      </c>
      <c r="BA124" s="8" t="n">
        <v>0</v>
      </c>
      <c r="BB124" s="8" t="n">
        <v>0</v>
      </c>
      <c r="BC124" s="8" t="n">
        <v>0</v>
      </c>
      <c r="BD124" s="8" t="n">
        <v>0</v>
      </c>
      <c r="BE124" s="8" t="n">
        <v>0</v>
      </c>
      <c r="BF124" s="8" t="n">
        <v>0</v>
      </c>
      <c r="BG124" s="8" t="n">
        <v>0</v>
      </c>
      <c r="BH124" s="8" t="n">
        <v>0</v>
      </c>
      <c r="BI124" s="8" t="n">
        <v>0</v>
      </c>
      <c r="BJ124" s="8" t="n">
        <v>9322.505879999999</v>
      </c>
      <c r="BK124" s="8" t="n">
        <v>1009.310775</v>
      </c>
      <c r="BL124" s="8" t="n">
        <v>10331.816655</v>
      </c>
      <c r="BM124" s="4">
        <f>BJ124+BK124</f>
        <v/>
      </c>
    </row>
    <row r="125">
      <c r="A125" s="2" t="inlineStr">
        <is>
          <t>Origin</t>
        </is>
      </c>
      <c r="B125" s="8" t="inlineStr">
        <is>
          <t>1/2/3YR</t>
        </is>
      </c>
      <c r="C125" s="8" t="n">
        <v>2001341166</v>
      </c>
      <c r="D125" s="8" t="inlineStr">
        <is>
          <t>SA</t>
        </is>
      </c>
      <c r="E125" s="8" t="inlineStr">
        <is>
          <t>AusNet Services</t>
        </is>
      </c>
      <c r="F125" s="8" t="inlineStr">
        <is>
          <t>BSR</t>
        </is>
      </c>
      <c r="G125" s="8" t="n"/>
      <c r="H125" s="8" t="inlineStr">
        <is>
          <t>Y</t>
        </is>
      </c>
      <c r="I125" s="8" t="n"/>
      <c r="J125" s="8" t="n"/>
      <c r="K125" s="8" t="n">
        <v>44.8448</v>
      </c>
      <c r="L125" s="8" t="n"/>
      <c r="M125" s="8" t="n"/>
      <c r="N125" s="8" t="n"/>
      <c r="O125" s="8" t="n">
        <v>44.8448</v>
      </c>
      <c r="P125" s="8" t="n">
        <v>185.581</v>
      </c>
      <c r="Q125" s="8" t="n">
        <v>0</v>
      </c>
      <c r="R125" s="8" t="n">
        <v>0.18</v>
      </c>
      <c r="S125" s="8" t="n">
        <v>0.18</v>
      </c>
      <c r="T125" s="8" t="n"/>
      <c r="U125" s="8" t="n">
        <v>13.93</v>
      </c>
      <c r="V125" s="8" t="n">
        <v>3.52</v>
      </c>
      <c r="W125" s="8" t="n"/>
      <c r="X125" s="8" t="n"/>
      <c r="Y125" s="8" t="n"/>
      <c r="Z125" s="8" t="n"/>
      <c r="AA125" s="8" t="n"/>
      <c r="AB125" s="8" t="n"/>
      <c r="AC125" s="8" t="n">
        <v>2341.2</v>
      </c>
      <c r="AD125" s="8" t="n">
        <v>0</v>
      </c>
      <c r="AE125" s="8" t="n"/>
      <c r="AF125" s="8" t="n">
        <v>0</v>
      </c>
      <c r="AG125" s="8" t="n">
        <v>1560.8</v>
      </c>
      <c r="AH125" s="8" t="n">
        <v>365</v>
      </c>
      <c r="AI125" s="8" t="n">
        <v>365</v>
      </c>
      <c r="AJ125" s="8" t="n"/>
      <c r="AK125" s="8" t="n">
        <v>216.7777777777778</v>
      </c>
      <c r="AL125" s="8" t="n">
        <v>662.3765432098766</v>
      </c>
      <c r="AM125" s="8" t="n">
        <v>879.1543209876544</v>
      </c>
      <c r="AN125" s="8" t="n">
        <v>365</v>
      </c>
      <c r="AO125" s="8" t="n">
        <v>365</v>
      </c>
      <c r="AP125" s="8" t="n">
        <v>0</v>
      </c>
      <c r="AQ125" s="8" t="n">
        <v>0</v>
      </c>
      <c r="AR125" s="8" t="n">
        <v>0</v>
      </c>
      <c r="AS125" s="8" t="n">
        <v>0</v>
      </c>
      <c r="AT125" s="8" t="n">
        <v>1049.9064576</v>
      </c>
      <c r="AU125" s="8" t="n">
        <v>0</v>
      </c>
      <c r="AV125" s="8" t="n">
        <v>0</v>
      </c>
      <c r="AW125" s="8" t="n">
        <v>0</v>
      </c>
      <c r="AX125" s="8" t="n">
        <v>699.9376384000002</v>
      </c>
      <c r="AY125" s="8" t="n">
        <v>677.3706500000001</v>
      </c>
      <c r="AZ125" s="8" t="n">
        <v>0</v>
      </c>
      <c r="BA125" s="8" t="n">
        <v>0</v>
      </c>
      <c r="BB125" s="8" t="n">
        <v>30.19714444444445</v>
      </c>
      <c r="BC125" s="8" t="n">
        <v>23.31565432098765</v>
      </c>
      <c r="BD125" s="8" t="n">
        <v>0</v>
      </c>
      <c r="BE125" s="8" t="n">
        <v>0</v>
      </c>
      <c r="BF125" s="8" t="n">
        <v>0</v>
      </c>
      <c r="BG125" s="8" t="n">
        <v>0</v>
      </c>
      <c r="BH125" s="8" t="n">
        <v>0</v>
      </c>
      <c r="BI125" s="8" t="n">
        <v>0</v>
      </c>
      <c r="BJ125" s="8" t="n">
        <v>1353.077234077666</v>
      </c>
      <c r="BK125" s="8" t="n">
        <v>504.9490300000001</v>
      </c>
      <c r="BL125" s="8" t="n">
        <v>1858.026264077666</v>
      </c>
      <c r="BM125" s="4">
        <f>BJ125+BK125</f>
        <v/>
      </c>
    </row>
    <row r="126">
      <c r="A126" s="2" t="inlineStr">
        <is>
          <t>Origin</t>
        </is>
      </c>
      <c r="B126" s="8" t="inlineStr">
        <is>
          <t>1/2/3YR</t>
        </is>
      </c>
      <c r="C126" s="8" t="n">
        <v>2001341167</v>
      </c>
      <c r="D126" s="8" t="inlineStr">
        <is>
          <t>SA</t>
        </is>
      </c>
      <c r="E126" s="8" t="inlineStr">
        <is>
          <t>AusNet Services</t>
        </is>
      </c>
      <c r="F126" s="8" t="inlineStr">
        <is>
          <t>BSR</t>
        </is>
      </c>
      <c r="G126" s="8" t="n"/>
      <c r="H126" s="8" t="inlineStr">
        <is>
          <t>Y</t>
        </is>
      </c>
      <c r="I126" s="8" t="n"/>
      <c r="J126" s="8" t="n"/>
      <c r="K126" s="8" t="n">
        <v>44.8448</v>
      </c>
      <c r="L126" s="8" t="n"/>
      <c r="M126" s="8" t="n"/>
      <c r="N126" s="8" t="n"/>
      <c r="O126" s="8" t="n">
        <v>44.8448</v>
      </c>
      <c r="P126" s="8" t="n">
        <v>185.581</v>
      </c>
      <c r="Q126" s="8" t="n">
        <v>0</v>
      </c>
      <c r="R126" s="8" t="n">
        <v>0.18</v>
      </c>
      <c r="S126" s="8" t="n">
        <v>0.18</v>
      </c>
      <c r="T126" s="8" t="n"/>
      <c r="U126" s="8" t="n"/>
      <c r="V126" s="8" t="n"/>
      <c r="W126" s="8" t="n"/>
      <c r="X126" s="8" t="n"/>
      <c r="Y126" s="8" t="n"/>
      <c r="Z126" s="8" t="n"/>
      <c r="AA126" s="8" t="n"/>
      <c r="AB126" s="8" t="n"/>
      <c r="AC126" s="8" t="n">
        <v>12699.6</v>
      </c>
      <c r="AD126" s="8" t="n">
        <v>0</v>
      </c>
      <c r="AE126" s="8" t="n"/>
      <c r="AF126" s="8" t="n">
        <v>0</v>
      </c>
      <c r="AG126" s="8" t="n">
        <v>8466.4</v>
      </c>
      <c r="AH126" s="8" t="n">
        <v>365</v>
      </c>
      <c r="AI126" s="8" t="n">
        <v>365</v>
      </c>
      <c r="AJ126" s="8" t="n"/>
      <c r="AK126" s="8" t="n">
        <v>1175.888888888889</v>
      </c>
      <c r="AL126" s="8" t="n">
        <v>3592.993827160495</v>
      </c>
      <c r="AM126" s="8" t="n">
        <v>4768.882716049384</v>
      </c>
      <c r="AN126" s="8" t="n">
        <v>365</v>
      </c>
      <c r="AO126" s="8" t="n">
        <v>0</v>
      </c>
      <c r="AP126" s="8" t="n">
        <v>365</v>
      </c>
      <c r="AQ126" s="8" t="n">
        <v>0</v>
      </c>
      <c r="AR126" s="8" t="n">
        <v>0</v>
      </c>
      <c r="AS126" s="8" t="n">
        <v>0</v>
      </c>
      <c r="AT126" s="8" t="n">
        <v>5695.1102208</v>
      </c>
      <c r="AU126" s="8" t="n">
        <v>0</v>
      </c>
      <c r="AV126" s="8" t="n">
        <v>0</v>
      </c>
      <c r="AW126" s="8" t="n">
        <v>0</v>
      </c>
      <c r="AX126" s="8" t="n">
        <v>3796.7401472</v>
      </c>
      <c r="AY126" s="8" t="n">
        <v>677.3706500000001</v>
      </c>
      <c r="AZ126" s="8" t="n">
        <v>0</v>
      </c>
      <c r="BA126" s="8" t="n">
        <v>0</v>
      </c>
      <c r="BB126" s="8" t="n">
        <v>0</v>
      </c>
      <c r="BC126" s="8" t="n">
        <v>0</v>
      </c>
      <c r="BD126" s="8" t="n">
        <v>0</v>
      </c>
      <c r="BE126" s="8" t="n">
        <v>0</v>
      </c>
      <c r="BF126" s="8" t="n">
        <v>0</v>
      </c>
      <c r="BG126" s="8" t="n">
        <v>0</v>
      </c>
      <c r="BH126" s="8" t="n">
        <v>0</v>
      </c>
      <c r="BI126" s="8" t="n">
        <v>0</v>
      </c>
      <c r="BJ126" s="8" t="n">
        <v>7075.7430016</v>
      </c>
      <c r="BK126" s="8" t="n">
        <v>504.9490300000001</v>
      </c>
      <c r="BL126" s="8" t="n">
        <v>7580.6920316</v>
      </c>
      <c r="BM126" s="4">
        <f>BJ126+BK126</f>
        <v/>
      </c>
    </row>
    <row r="127">
      <c r="A127" s="2" t="inlineStr">
        <is>
          <t>Origin</t>
        </is>
      </c>
      <c r="B127" s="8" t="inlineStr">
        <is>
          <t>1/2/3YR</t>
        </is>
      </c>
      <c r="C127" s="8" t="n">
        <v>2001515449</v>
      </c>
      <c r="D127" s="8" t="inlineStr">
        <is>
          <t>SA</t>
        </is>
      </c>
      <c r="E127" s="8" t="inlineStr">
        <is>
          <t>AusNet Services</t>
        </is>
      </c>
      <c r="F127" s="8" t="inlineStr">
        <is>
          <t>BSR</t>
        </is>
      </c>
      <c r="G127" s="8" t="n"/>
      <c r="H127" s="8" t="inlineStr">
        <is>
          <t>Y</t>
        </is>
      </c>
      <c r="I127" s="8" t="n"/>
      <c r="J127" s="8" t="n"/>
      <c r="K127" s="8" t="n">
        <v>44.8448</v>
      </c>
      <c r="L127" s="8" t="n"/>
      <c r="M127" s="8" t="n"/>
      <c r="N127" s="8" t="n"/>
      <c r="O127" s="8" t="n">
        <v>44.8448</v>
      </c>
      <c r="P127" s="8" t="n">
        <v>185.581</v>
      </c>
      <c r="Q127" s="8" t="n">
        <v>0</v>
      </c>
      <c r="R127" s="8" t="n">
        <v>0.18</v>
      </c>
      <c r="S127" s="8" t="n">
        <v>0.18</v>
      </c>
      <c r="T127" s="8" t="n"/>
      <c r="U127" s="8" t="n"/>
      <c r="V127" s="8" t="n"/>
      <c r="W127" s="8" t="n"/>
      <c r="X127" s="8" t="n"/>
      <c r="Y127" s="8" t="n"/>
      <c r="Z127" s="8" t="n"/>
      <c r="AA127" s="8" t="n"/>
      <c r="AB127" s="8" t="n"/>
      <c r="AC127" s="8" t="n">
        <v>6396</v>
      </c>
      <c r="AD127" s="8" t="n">
        <v>0</v>
      </c>
      <c r="AE127" s="8" t="n"/>
      <c r="AF127" s="8" t="n">
        <v>0</v>
      </c>
      <c r="AG127" s="8" t="n">
        <v>4264</v>
      </c>
      <c r="AH127" s="8" t="n">
        <v>365</v>
      </c>
      <c r="AI127" s="8" t="n">
        <v>365</v>
      </c>
      <c r="AJ127" s="8" t="n"/>
      <c r="AK127" s="8" t="n">
        <v>592.2222222222222</v>
      </c>
      <c r="AL127" s="8" t="n">
        <v>1809.567901234568</v>
      </c>
      <c r="AM127" s="8" t="n">
        <v>2401.79012345679</v>
      </c>
      <c r="AN127" s="8" t="n">
        <v>365</v>
      </c>
      <c r="AO127" s="8" t="n">
        <v>365</v>
      </c>
      <c r="AP127" s="8" t="n">
        <v>0</v>
      </c>
      <c r="AQ127" s="8" t="n">
        <v>0</v>
      </c>
      <c r="AR127" s="8" t="n">
        <v>0</v>
      </c>
      <c r="AS127" s="8" t="n">
        <v>0</v>
      </c>
      <c r="AT127" s="8" t="n">
        <v>2868.273408</v>
      </c>
      <c r="AU127" s="8" t="n">
        <v>0</v>
      </c>
      <c r="AV127" s="8" t="n">
        <v>0</v>
      </c>
      <c r="AW127" s="8" t="n">
        <v>0</v>
      </c>
      <c r="AX127" s="8" t="n">
        <v>1912.182272</v>
      </c>
      <c r="AY127" s="8" t="n">
        <v>677.3706500000001</v>
      </c>
      <c r="AZ127" s="8" t="n">
        <v>0</v>
      </c>
      <c r="BA127" s="8" t="n">
        <v>0</v>
      </c>
      <c r="BB127" s="8" t="n">
        <v>0</v>
      </c>
      <c r="BC127" s="8" t="n">
        <v>0</v>
      </c>
      <c r="BD127" s="8" t="n">
        <v>0</v>
      </c>
      <c r="BE127" s="8" t="n">
        <v>0</v>
      </c>
      <c r="BF127" s="8" t="n">
        <v>0</v>
      </c>
      <c r="BG127" s="8" t="n">
        <v>0</v>
      </c>
      <c r="BH127" s="8" t="n">
        <v>0</v>
      </c>
      <c r="BI127" s="8" t="n">
        <v>0</v>
      </c>
      <c r="BJ127" s="8" t="n">
        <v>3563.612416</v>
      </c>
      <c r="BK127" s="8" t="n">
        <v>504.9490300000001</v>
      </c>
      <c r="BL127" s="8" t="n">
        <v>4068.561446000001</v>
      </c>
      <c r="BM127" s="4">
        <f>BJ127+BK127</f>
        <v/>
      </c>
    </row>
    <row r="128">
      <c r="A128" s="2" t="inlineStr">
        <is>
          <t>Origin</t>
        </is>
      </c>
      <c r="B128" s="8" t="inlineStr">
        <is>
          <t>1/2/3YR</t>
        </is>
      </c>
      <c r="C128" s="8" t="n">
        <v>2001600008</v>
      </c>
      <c r="D128" s="8" t="inlineStr">
        <is>
          <t>SA</t>
        </is>
      </c>
      <c r="E128" s="8" t="inlineStr">
        <is>
          <t>AusNet Services</t>
        </is>
      </c>
      <c r="F128" s="8" t="inlineStr">
        <is>
          <t>BSR</t>
        </is>
      </c>
      <c r="G128" s="8" t="n"/>
      <c r="H128" s="8" t="inlineStr">
        <is>
          <t>Y</t>
        </is>
      </c>
      <c r="I128" s="8" t="n"/>
      <c r="J128" s="8" t="n"/>
      <c r="K128" s="8" t="n">
        <v>44.8448</v>
      </c>
      <c r="L128" s="8" t="n"/>
      <c r="M128" s="8" t="n"/>
      <c r="N128" s="8" t="n"/>
      <c r="O128" s="8" t="n">
        <v>44.8448</v>
      </c>
      <c r="P128" s="8" t="n">
        <v>185.581</v>
      </c>
      <c r="Q128" s="8" t="n">
        <v>0</v>
      </c>
      <c r="R128" s="8" t="n">
        <v>0.18</v>
      </c>
      <c r="S128" s="8" t="n">
        <v>0.18</v>
      </c>
      <c r="T128" s="8" t="n"/>
      <c r="U128" s="8" t="n"/>
      <c r="V128" s="8" t="n"/>
      <c r="W128" s="8" t="n"/>
      <c r="X128" s="8" t="n"/>
      <c r="Y128" s="8" t="n"/>
      <c r="Z128" s="8" t="n"/>
      <c r="AA128" s="8" t="n"/>
      <c r="AB128" s="8" t="n"/>
      <c r="AC128" s="8" t="n">
        <v>2097</v>
      </c>
      <c r="AD128" s="8" t="n">
        <v>0</v>
      </c>
      <c r="AE128" s="8" t="n"/>
      <c r="AF128" s="8" t="n">
        <v>0</v>
      </c>
      <c r="AG128" s="8" t="n">
        <v>1398</v>
      </c>
      <c r="AH128" s="8" t="n">
        <v>365</v>
      </c>
      <c r="AI128" s="8" t="n">
        <v>365</v>
      </c>
      <c r="AJ128" s="8" t="n"/>
      <c r="AK128" s="8" t="n">
        <v>194.1666666666667</v>
      </c>
      <c r="AL128" s="8" t="n">
        <v>593.2870370370372</v>
      </c>
      <c r="AM128" s="8" t="n">
        <v>787.4537037037039</v>
      </c>
      <c r="AN128" s="8" t="n">
        <v>365</v>
      </c>
      <c r="AO128" s="8" t="n">
        <v>365</v>
      </c>
      <c r="AP128" s="8" t="n">
        <v>0</v>
      </c>
      <c r="AQ128" s="8" t="n">
        <v>0</v>
      </c>
      <c r="AR128" s="8" t="n">
        <v>0</v>
      </c>
      <c r="AS128" s="8" t="n">
        <v>0</v>
      </c>
      <c r="AT128" s="8" t="n">
        <v>940.395456</v>
      </c>
      <c r="AU128" s="8" t="n">
        <v>0</v>
      </c>
      <c r="AV128" s="8" t="n">
        <v>0</v>
      </c>
      <c r="AW128" s="8" t="n">
        <v>0</v>
      </c>
      <c r="AX128" s="8" t="n">
        <v>626.930304</v>
      </c>
      <c r="AY128" s="8" t="n">
        <v>677.3706500000001</v>
      </c>
      <c r="AZ128" s="8" t="n">
        <v>0</v>
      </c>
      <c r="BA128" s="8" t="n">
        <v>0</v>
      </c>
      <c r="BB128" s="8" t="n">
        <v>0</v>
      </c>
      <c r="BC128" s="8" t="n">
        <v>0</v>
      </c>
      <c r="BD128" s="8" t="n">
        <v>0</v>
      </c>
      <c r="BE128" s="8" t="n">
        <v>0</v>
      </c>
      <c r="BF128" s="8" t="n">
        <v>0</v>
      </c>
      <c r="BG128" s="8" t="n">
        <v>0</v>
      </c>
      <c r="BH128" s="8" t="n">
        <v>0</v>
      </c>
      <c r="BI128" s="8" t="n">
        <v>0</v>
      </c>
      <c r="BJ128" s="8" t="n">
        <v>1168.370112</v>
      </c>
      <c r="BK128" s="8" t="n">
        <v>504.9490300000001</v>
      </c>
      <c r="BL128" s="8" t="n">
        <v>1673.319142</v>
      </c>
      <c r="BM128" s="4">
        <f>BJ128+BK128</f>
        <v/>
      </c>
    </row>
    <row r="129">
      <c r="A129" s="2" t="inlineStr">
        <is>
          <t>Origin</t>
        </is>
      </c>
      <c r="B129" s="8" t="inlineStr">
        <is>
          <t>1/2/3YR</t>
        </is>
      </c>
      <c r="C129" s="8" t="n">
        <v>2001676115</v>
      </c>
      <c r="D129" s="8" t="inlineStr">
        <is>
          <t>SA</t>
        </is>
      </c>
      <c r="E129" s="8" t="inlineStr">
        <is>
          <t>Powercor</t>
        </is>
      </c>
      <c r="F129" s="8" t="inlineStr">
        <is>
          <t>BSR</t>
        </is>
      </c>
      <c r="G129" s="8" t="n"/>
      <c r="H129" s="8" t="inlineStr">
        <is>
          <t>Y</t>
        </is>
      </c>
      <c r="I129" s="8" t="n"/>
      <c r="J129" s="8" t="n"/>
      <c r="K129" s="8" t="n">
        <v>44.8448</v>
      </c>
      <c r="L129" s="8" t="n"/>
      <c r="M129" s="8" t="n"/>
      <c r="N129" s="8" t="n"/>
      <c r="O129" s="8" t="n">
        <v>44.8448</v>
      </c>
      <c r="P129" s="8" t="n">
        <v>185.581</v>
      </c>
      <c r="Q129" s="8" t="n">
        <v>0</v>
      </c>
      <c r="R129" s="8" t="n">
        <v>0.18</v>
      </c>
      <c r="S129" s="8" t="n">
        <v>0.18</v>
      </c>
      <c r="T129" s="8" t="n"/>
      <c r="U129" s="8" t="n"/>
      <c r="V129" s="8" t="n"/>
      <c r="W129" s="8" t="n"/>
      <c r="X129" s="8" t="n"/>
      <c r="Y129" s="8" t="n"/>
      <c r="Z129" s="8" t="n"/>
      <c r="AA129" s="8" t="n"/>
      <c r="AB129" s="8" t="n"/>
      <c r="AC129" s="8" t="n">
        <v>17274.6</v>
      </c>
      <c r="AD129" s="8" t="n">
        <v>0</v>
      </c>
      <c r="AE129" s="8" t="n"/>
      <c r="AF129" s="8" t="n">
        <v>0</v>
      </c>
      <c r="AG129" s="8" t="n">
        <v>11516.4</v>
      </c>
      <c r="AH129" s="8" t="n">
        <v>365</v>
      </c>
      <c r="AI129" s="8" t="n">
        <v>365</v>
      </c>
      <c r="AJ129" s="8" t="n"/>
      <c r="AK129" s="8" t="n">
        <v>1599.5</v>
      </c>
      <c r="AL129" s="8" t="n">
        <v>4887.361111111111</v>
      </c>
      <c r="AM129" s="8" t="n">
        <v>6486.861111111111</v>
      </c>
      <c r="AN129" s="8" t="n">
        <v>365</v>
      </c>
      <c r="AO129" s="8" t="n">
        <v>0</v>
      </c>
      <c r="AP129" s="8" t="n">
        <v>365</v>
      </c>
      <c r="AQ129" s="8" t="n">
        <v>0</v>
      </c>
      <c r="AR129" s="8" t="n">
        <v>0</v>
      </c>
      <c r="AS129" s="8" t="n">
        <v>0</v>
      </c>
      <c r="AT129" s="8" t="n">
        <v>7746.759820799999</v>
      </c>
      <c r="AU129" s="8" t="n">
        <v>0</v>
      </c>
      <c r="AV129" s="8" t="n">
        <v>0</v>
      </c>
      <c r="AW129" s="8" t="n">
        <v>0</v>
      </c>
      <c r="AX129" s="8" t="n">
        <v>5164.506547200001</v>
      </c>
      <c r="AY129" s="8" t="n">
        <v>677.3706500000001</v>
      </c>
      <c r="AZ129" s="8" t="n">
        <v>0</v>
      </c>
      <c r="BA129" s="8" t="n">
        <v>0</v>
      </c>
      <c r="BB129" s="8" t="n">
        <v>0</v>
      </c>
      <c r="BC129" s="8" t="n">
        <v>0</v>
      </c>
      <c r="BD129" s="8" t="n">
        <v>0</v>
      </c>
      <c r="BE129" s="8" t="n">
        <v>0</v>
      </c>
      <c r="BF129" s="8" t="n">
        <v>0</v>
      </c>
      <c r="BG129" s="8" t="n">
        <v>0</v>
      </c>
      <c r="BH129" s="8" t="n">
        <v>0</v>
      </c>
      <c r="BI129" s="8" t="n">
        <v>0</v>
      </c>
      <c r="BJ129" s="8" t="n">
        <v>9624.7622016</v>
      </c>
      <c r="BK129" s="8" t="n">
        <v>504.9490300000001</v>
      </c>
      <c r="BL129" s="8" t="n">
        <v>10129.7112316</v>
      </c>
      <c r="BM129" s="4">
        <f>BJ129+BK129</f>
        <v/>
      </c>
    </row>
    <row r="130">
      <c r="A130" s="2" t="inlineStr">
        <is>
          <t>Origin</t>
        </is>
      </c>
      <c r="B130" s="8" t="inlineStr">
        <is>
          <t>1/2/3YR</t>
        </is>
      </c>
      <c r="C130" s="8" t="n">
        <v>2002190876</v>
      </c>
      <c r="D130" s="8" t="inlineStr">
        <is>
          <t>SA</t>
        </is>
      </c>
      <c r="E130" s="8" t="inlineStr">
        <is>
          <t>Powercor</t>
        </is>
      </c>
      <c r="F130" s="8" t="inlineStr">
        <is>
          <t>BSR</t>
        </is>
      </c>
      <c r="G130" s="8" t="n"/>
      <c r="H130" s="8" t="inlineStr">
        <is>
          <t>Y</t>
        </is>
      </c>
      <c r="I130" s="8" t="n"/>
      <c r="J130" s="8" t="n"/>
      <c r="K130" s="8" t="n">
        <v>44.8448</v>
      </c>
      <c r="L130" s="8" t="n"/>
      <c r="M130" s="8" t="n"/>
      <c r="N130" s="8" t="n"/>
      <c r="O130" s="8" t="n">
        <v>44.8448</v>
      </c>
      <c r="P130" s="8" t="n">
        <v>185.581</v>
      </c>
      <c r="Q130" s="8" t="n">
        <v>0</v>
      </c>
      <c r="R130" s="8" t="n">
        <v>0.18</v>
      </c>
      <c r="S130" s="8" t="n">
        <v>0.18</v>
      </c>
      <c r="T130" s="8" t="n"/>
      <c r="U130" s="8" t="n"/>
      <c r="V130" s="8" t="n"/>
      <c r="W130" s="8" t="n"/>
      <c r="X130" s="8" t="n"/>
      <c r="Y130" s="8" t="n"/>
      <c r="Z130" s="8" t="n"/>
      <c r="AA130" s="8" t="n"/>
      <c r="AB130" s="8" t="n"/>
      <c r="AC130" s="8" t="n">
        <v>17890.8</v>
      </c>
      <c r="AD130" s="8" t="n">
        <v>0</v>
      </c>
      <c r="AE130" s="8" t="n"/>
      <c r="AF130" s="8" t="n">
        <v>0</v>
      </c>
      <c r="AG130" s="8" t="n">
        <v>11927.2</v>
      </c>
      <c r="AH130" s="8" t="n">
        <v>365</v>
      </c>
      <c r="AI130" s="8" t="n">
        <v>365</v>
      </c>
      <c r="AJ130" s="8" t="n"/>
      <c r="AK130" s="8" t="n">
        <v>1656.555555555555</v>
      </c>
      <c r="AL130" s="8" t="n">
        <v>5061.697530864197</v>
      </c>
      <c r="AM130" s="8" t="n">
        <v>6718.253086419752</v>
      </c>
      <c r="AN130" s="8" t="n">
        <v>365</v>
      </c>
      <c r="AO130" s="8" t="n">
        <v>0</v>
      </c>
      <c r="AP130" s="8" t="n">
        <v>365</v>
      </c>
      <c r="AQ130" s="8" t="n">
        <v>0</v>
      </c>
      <c r="AR130" s="8" t="n">
        <v>0</v>
      </c>
      <c r="AS130" s="8" t="n">
        <v>0</v>
      </c>
      <c r="AT130" s="8" t="n">
        <v>8023.093478399999</v>
      </c>
      <c r="AU130" s="8" t="n">
        <v>0</v>
      </c>
      <c r="AV130" s="8" t="n">
        <v>0</v>
      </c>
      <c r="AW130" s="8" t="n">
        <v>0</v>
      </c>
      <c r="AX130" s="8" t="n">
        <v>5348.7289856</v>
      </c>
      <c r="AY130" s="8" t="n">
        <v>677.3706500000001</v>
      </c>
      <c r="AZ130" s="8" t="n">
        <v>0</v>
      </c>
      <c r="BA130" s="8" t="n">
        <v>0</v>
      </c>
      <c r="BB130" s="8" t="n">
        <v>0</v>
      </c>
      <c r="BC130" s="8" t="n">
        <v>0</v>
      </c>
      <c r="BD130" s="8" t="n">
        <v>0</v>
      </c>
      <c r="BE130" s="8" t="n">
        <v>0</v>
      </c>
      <c r="BF130" s="8" t="n">
        <v>0</v>
      </c>
      <c r="BG130" s="8" t="n">
        <v>0</v>
      </c>
      <c r="BH130" s="8" t="n">
        <v>0</v>
      </c>
      <c r="BI130" s="8" t="n">
        <v>0</v>
      </c>
      <c r="BJ130" s="8" t="n">
        <v>9968.085836799999</v>
      </c>
      <c r="BK130" s="8" t="n">
        <v>504.9490300000001</v>
      </c>
      <c r="BL130" s="8" t="n">
        <v>10473.0348668</v>
      </c>
      <c r="BM130" s="4">
        <f>BJ130+BK130</f>
        <v/>
      </c>
    </row>
    <row r="131">
      <c r="A131" s="2" t="inlineStr">
        <is>
          <t>Origin</t>
        </is>
      </c>
      <c r="B131" s="8" t="inlineStr">
        <is>
          <t>1/2/3YR</t>
        </is>
      </c>
      <c r="C131" s="8" t="n">
        <v>6001295311</v>
      </c>
      <c r="D131" s="8" t="inlineStr">
        <is>
          <t>VIC</t>
        </is>
      </c>
      <c r="E131" s="8" t="inlineStr">
        <is>
          <t>Powercor</t>
        </is>
      </c>
      <c r="F131" s="8" t="inlineStr">
        <is>
          <t>A210</t>
        </is>
      </c>
      <c r="G131" s="8" t="n"/>
      <c r="H131" s="8" t="inlineStr">
        <is>
          <t>Y</t>
        </is>
      </c>
      <c r="I131" s="8" t="n"/>
      <c r="J131" s="8" t="n"/>
      <c r="K131" s="8" t="n">
        <v>33.3091</v>
      </c>
      <c r="L131" s="8" t="n"/>
      <c r="M131" s="8" t="n"/>
      <c r="N131" s="8" t="n"/>
      <c r="O131" s="8" t="n">
        <v>17.8992</v>
      </c>
      <c r="P131" s="8" t="n">
        <v>168.179</v>
      </c>
      <c r="Q131" s="8" t="n">
        <v>0</v>
      </c>
      <c r="R131" s="8" t="n">
        <v>0.15</v>
      </c>
      <c r="S131" s="8" t="n">
        <v>0.15</v>
      </c>
      <c r="T131" s="8" t="n"/>
      <c r="U131" s="8" t="n"/>
      <c r="V131" s="8" t="n"/>
      <c r="W131" s="8" t="n"/>
      <c r="X131" s="8" t="n"/>
      <c r="Y131" s="8" t="n"/>
      <c r="Z131" s="8" t="n"/>
      <c r="AA131" s="8" t="n"/>
      <c r="AB131" s="8" t="n"/>
      <c r="AC131" s="8" t="n">
        <v>13434.6</v>
      </c>
      <c r="AD131" s="8" t="n">
        <v>0</v>
      </c>
      <c r="AE131" s="8" t="n"/>
      <c r="AF131" s="8" t="n">
        <v>0</v>
      </c>
      <c r="AG131" s="8" t="n">
        <v>8956.4</v>
      </c>
      <c r="AH131" s="8" t="n">
        <v>365</v>
      </c>
      <c r="AI131" s="8" t="n">
        <v>365</v>
      </c>
      <c r="AJ131" s="8" t="n"/>
      <c r="AK131" s="8" t="n">
        <v>1243.944444444444</v>
      </c>
      <c r="AL131" s="8" t="n">
        <v>3800.941358024691</v>
      </c>
      <c r="AM131" s="8" t="n">
        <v>5044.885802469136</v>
      </c>
      <c r="AN131" s="8" t="n">
        <v>365</v>
      </c>
      <c r="AO131" s="8" t="n">
        <v>0</v>
      </c>
      <c r="AP131" s="8" t="n">
        <v>365</v>
      </c>
      <c r="AQ131" s="8" t="n">
        <v>0</v>
      </c>
      <c r="AR131" s="8" t="n">
        <v>0</v>
      </c>
      <c r="AS131" s="8" t="n">
        <v>0</v>
      </c>
      <c r="AT131" s="8" t="n">
        <v>4474.9443486</v>
      </c>
      <c r="AU131" s="8" t="n">
        <v>0</v>
      </c>
      <c r="AV131" s="8" t="n">
        <v>0</v>
      </c>
      <c r="AW131" s="8" t="n">
        <v>0</v>
      </c>
      <c r="AX131" s="8" t="n">
        <v>1603.1239488</v>
      </c>
      <c r="AY131" s="8" t="n">
        <v>613.85335</v>
      </c>
      <c r="AZ131" s="8" t="n">
        <v>0</v>
      </c>
      <c r="BA131" s="8" t="n">
        <v>0</v>
      </c>
      <c r="BB131" s="8" t="n">
        <v>0</v>
      </c>
      <c r="BC131" s="8" t="n">
        <v>0</v>
      </c>
      <c r="BD131" s="8" t="n">
        <v>0</v>
      </c>
      <c r="BE131" s="8" t="n">
        <v>0</v>
      </c>
      <c r="BF131" s="8" t="n">
        <v>0</v>
      </c>
      <c r="BG131" s="8" t="n">
        <v>0</v>
      </c>
      <c r="BH131" s="8" t="n">
        <v>0</v>
      </c>
      <c r="BI131" s="8" t="n">
        <v>0</v>
      </c>
      <c r="BJ131" s="8" t="n">
        <v>4696.6891389</v>
      </c>
      <c r="BK131" s="8" t="n">
        <v>474.341225</v>
      </c>
      <c r="BL131" s="8" t="n">
        <v>5171.0303639</v>
      </c>
      <c r="BM131" s="4">
        <f>BJ131+BK131</f>
        <v/>
      </c>
    </row>
    <row r="132">
      <c r="A132" s="2" t="inlineStr">
        <is>
          <t>Origin</t>
        </is>
      </c>
      <c r="B132" s="8" t="inlineStr">
        <is>
          <t>1/2/3YR</t>
        </is>
      </c>
      <c r="C132" s="8" t="n">
        <v>6203409239</v>
      </c>
      <c r="D132" s="8" t="inlineStr">
        <is>
          <t>VIC</t>
        </is>
      </c>
      <c r="E132" s="8" t="inlineStr">
        <is>
          <t>Powercor</t>
        </is>
      </c>
      <c r="F132" s="8" t="inlineStr">
        <is>
          <t>NDTOU</t>
        </is>
      </c>
      <c r="G132" s="8" t="n"/>
      <c r="H132" s="8" t="inlineStr">
        <is>
          <t>Y</t>
        </is>
      </c>
      <c r="I132" s="8" t="n"/>
      <c r="J132" s="8" t="n"/>
      <c r="K132" s="8" t="n">
        <v>36.289</v>
      </c>
      <c r="L132" s="8" t="n"/>
      <c r="M132" s="8" t="n"/>
      <c r="N132" s="8" t="n"/>
      <c r="O132" s="8" t="n">
        <v>19.2093</v>
      </c>
      <c r="P132" s="8" t="n">
        <v>169.7795</v>
      </c>
      <c r="Q132" s="8" t="n">
        <v>0</v>
      </c>
      <c r="R132" s="8" t="n">
        <v>0.15</v>
      </c>
      <c r="S132" s="8" t="n">
        <v>0.15</v>
      </c>
      <c r="T132" s="8" t="n"/>
      <c r="U132" s="8" t="n"/>
      <c r="V132" s="8" t="n"/>
      <c r="W132" s="8" t="n"/>
      <c r="X132" s="8" t="n"/>
      <c r="Y132" s="8" t="n"/>
      <c r="Z132" s="8" t="n"/>
      <c r="AA132" s="8" t="n"/>
      <c r="AB132" s="8" t="n"/>
      <c r="AC132" s="8" t="n">
        <v>2294.4</v>
      </c>
      <c r="AD132" s="8" t="n">
        <v>0</v>
      </c>
      <c r="AE132" s="8" t="n"/>
      <c r="AF132" s="8" t="n">
        <v>0</v>
      </c>
      <c r="AG132" s="8" t="n">
        <v>1529.6</v>
      </c>
      <c r="AH132" s="8" t="n">
        <v>365</v>
      </c>
      <c r="AI132" s="8" t="n">
        <v>365</v>
      </c>
      <c r="AJ132" s="8" t="n"/>
      <c r="AK132" s="8" t="n">
        <v>212.4444444444445</v>
      </c>
      <c r="AL132" s="8" t="n">
        <v>649.1358024691358</v>
      </c>
      <c r="AM132" s="8" t="n">
        <v>861.5802469135803</v>
      </c>
      <c r="AN132" s="8" t="n">
        <v>365</v>
      </c>
      <c r="AO132" s="8" t="n">
        <v>365</v>
      </c>
      <c r="AP132" s="8" t="n">
        <v>0</v>
      </c>
      <c r="AQ132" s="8" t="n">
        <v>0</v>
      </c>
      <c r="AR132" s="8" t="n">
        <v>0</v>
      </c>
      <c r="AS132" s="8" t="n">
        <v>0</v>
      </c>
      <c r="AT132" s="8" t="n">
        <v>832.6148160000001</v>
      </c>
      <c r="AU132" s="8" t="n">
        <v>0</v>
      </c>
      <c r="AV132" s="8" t="n">
        <v>0</v>
      </c>
      <c r="AW132" s="8" t="n">
        <v>0</v>
      </c>
      <c r="AX132" s="8" t="n">
        <v>293.8254528</v>
      </c>
      <c r="AY132" s="8" t="n">
        <v>619.6951750000001</v>
      </c>
      <c r="AZ132" s="8" t="n">
        <v>0</v>
      </c>
      <c r="BA132" s="8" t="n">
        <v>0</v>
      </c>
      <c r="BB132" s="8" t="n">
        <v>0</v>
      </c>
      <c r="BC132" s="8" t="n">
        <v>0</v>
      </c>
      <c r="BD132" s="8" t="n">
        <v>0</v>
      </c>
      <c r="BE132" s="8" t="n">
        <v>0</v>
      </c>
      <c r="BF132" s="8" t="n">
        <v>0</v>
      </c>
      <c r="BG132" s="8" t="n">
        <v>0</v>
      </c>
      <c r="BH132" s="8" t="n">
        <v>0</v>
      </c>
      <c r="BI132" s="8" t="n">
        <v>0</v>
      </c>
      <c r="BJ132" s="8" t="n">
        <v>870.4311167999999</v>
      </c>
      <c r="BK132" s="8" t="n">
        <v>478.8553625</v>
      </c>
      <c r="BL132" s="8" t="n">
        <v>1349.2864793</v>
      </c>
      <c r="BM132" s="4">
        <f>BJ132+BK132</f>
        <v/>
      </c>
    </row>
    <row r="133">
      <c r="A133" s="2" t="inlineStr">
        <is>
          <t>Origin</t>
        </is>
      </c>
      <c r="B133" s="8" t="inlineStr">
        <is>
          <t>1/2/3YR</t>
        </is>
      </c>
      <c r="C133" s="8" t="n">
        <v>6203409240</v>
      </c>
      <c r="D133" s="8" t="inlineStr">
        <is>
          <t>VIC</t>
        </is>
      </c>
      <c r="E133" s="8" t="inlineStr">
        <is>
          <t>Powercor</t>
        </is>
      </c>
      <c r="F133" s="8" t="inlineStr">
        <is>
          <t>ND1</t>
        </is>
      </c>
      <c r="G133" s="8" t="n"/>
      <c r="H133" s="8" t="inlineStr">
        <is>
          <t>Y</t>
        </is>
      </c>
      <c r="I133" s="8" t="n"/>
      <c r="J133" s="8" t="n"/>
      <c r="K133" s="8" t="n">
        <v>27.3592</v>
      </c>
      <c r="L133" s="8" t="n"/>
      <c r="M133" s="8" t="n"/>
      <c r="N133" s="8" t="n"/>
      <c r="O133" s="8" t="n">
        <v>27.3592</v>
      </c>
      <c r="P133" s="8" t="n">
        <v>169.7795</v>
      </c>
      <c r="Q133" s="8" t="n">
        <v>0</v>
      </c>
      <c r="R133" s="8" t="n">
        <v>0.15</v>
      </c>
      <c r="S133" s="8" t="n">
        <v>0.15</v>
      </c>
      <c r="T133" s="8" t="n"/>
      <c r="U133" s="8" t="n"/>
      <c r="V133" s="8" t="n"/>
      <c r="W133" s="8" t="n"/>
      <c r="X133" s="8" t="n"/>
      <c r="Y133" s="8" t="n"/>
      <c r="Z133" s="8" t="n"/>
      <c r="AA133" s="8" t="n"/>
      <c r="AB133" s="8" t="n"/>
      <c r="AC133" s="8" t="n">
        <v>13017</v>
      </c>
      <c r="AD133" s="8" t="n">
        <v>0</v>
      </c>
      <c r="AE133" s="8" t="n"/>
      <c r="AF133" s="8" t="n">
        <v>0</v>
      </c>
      <c r="AG133" s="8" t="n">
        <v>8678</v>
      </c>
      <c r="AH133" s="8" t="n">
        <v>365</v>
      </c>
      <c r="AI133" s="8" t="n">
        <v>365</v>
      </c>
      <c r="AJ133" s="8" t="n"/>
      <c r="AK133" s="8" t="n">
        <v>1205.277777777778</v>
      </c>
      <c r="AL133" s="8" t="n">
        <v>3682.793209876543</v>
      </c>
      <c r="AM133" s="8" t="n">
        <v>4888.070987654321</v>
      </c>
      <c r="AN133" s="8" t="n">
        <v>365</v>
      </c>
      <c r="AO133" s="8" t="n">
        <v>0</v>
      </c>
      <c r="AP133" s="8" t="n">
        <v>365</v>
      </c>
      <c r="AQ133" s="8" t="n">
        <v>0</v>
      </c>
      <c r="AR133" s="8" t="n">
        <v>0</v>
      </c>
      <c r="AS133" s="8" t="n">
        <v>0</v>
      </c>
      <c r="AT133" s="8" t="n">
        <v>3561.347064</v>
      </c>
      <c r="AU133" s="8" t="n">
        <v>0</v>
      </c>
      <c r="AV133" s="8" t="n">
        <v>0</v>
      </c>
      <c r="AW133" s="8" t="n">
        <v>0</v>
      </c>
      <c r="AX133" s="8" t="n">
        <v>2374.231376</v>
      </c>
      <c r="AY133" s="8" t="n">
        <v>619.6951750000001</v>
      </c>
      <c r="AZ133" s="8" t="n">
        <v>0</v>
      </c>
      <c r="BA133" s="8" t="n">
        <v>0</v>
      </c>
      <c r="BB133" s="8" t="n">
        <v>0</v>
      </c>
      <c r="BC133" s="8" t="n">
        <v>0</v>
      </c>
      <c r="BD133" s="8" t="n">
        <v>0</v>
      </c>
      <c r="BE133" s="8" t="n">
        <v>0</v>
      </c>
      <c r="BF133" s="8" t="n">
        <v>0</v>
      </c>
      <c r="BG133" s="8" t="n">
        <v>0</v>
      </c>
      <c r="BH133" s="8" t="n">
        <v>0</v>
      </c>
      <c r="BI133" s="8" t="n">
        <v>0</v>
      </c>
      <c r="BJ133" s="8" t="n">
        <v>4586.58334</v>
      </c>
      <c r="BK133" s="8" t="n">
        <v>478.8553625</v>
      </c>
      <c r="BL133" s="8" t="n">
        <v>5065.438702500001</v>
      </c>
      <c r="BM133" s="4">
        <f>BJ133+BK133</f>
        <v/>
      </c>
    </row>
    <row r="134">
      <c r="A134" s="2" t="inlineStr">
        <is>
          <t>Origin</t>
        </is>
      </c>
      <c r="B134" s="8" t="inlineStr">
        <is>
          <t>1/2/3YR</t>
        </is>
      </c>
      <c r="C134" s="8" t="n">
        <v>6203606598</v>
      </c>
      <c r="D134" s="8" t="inlineStr">
        <is>
          <t>VIC</t>
        </is>
      </c>
      <c r="E134" s="8" t="inlineStr">
        <is>
          <t>Powercor</t>
        </is>
      </c>
      <c r="F134" s="8" t="inlineStr">
        <is>
          <t>NDTOU</t>
        </is>
      </c>
      <c r="G134" s="8" t="n"/>
      <c r="H134" s="8" t="inlineStr">
        <is>
          <t>Y</t>
        </is>
      </c>
      <c r="I134" s="8" t="n"/>
      <c r="J134" s="8" t="n"/>
      <c r="K134" s="8" t="n">
        <v>36.289</v>
      </c>
      <c r="L134" s="8" t="n"/>
      <c r="M134" s="8" t="n"/>
      <c r="N134" s="8" t="n"/>
      <c r="O134" s="8" t="n">
        <v>19.2093</v>
      </c>
      <c r="P134" s="8" t="n">
        <v>169.7795</v>
      </c>
      <c r="Q134" s="8" t="n">
        <v>0</v>
      </c>
      <c r="R134" s="8" t="n">
        <v>0.15</v>
      </c>
      <c r="S134" s="8" t="n">
        <v>0.15</v>
      </c>
      <c r="T134" s="8" t="n"/>
      <c r="U134" s="8" t="n"/>
      <c r="V134" s="8" t="n"/>
      <c r="W134" s="8" t="n"/>
      <c r="X134" s="8" t="n"/>
      <c r="Y134" s="8" t="n"/>
      <c r="Z134" s="8" t="n"/>
      <c r="AA134" s="8" t="n"/>
      <c r="AB134" s="8" t="n"/>
      <c r="AC134" s="8" t="n">
        <v>20246.4</v>
      </c>
      <c r="AD134" s="8" t="n">
        <v>0</v>
      </c>
      <c r="AE134" s="8" t="n"/>
      <c r="AF134" s="8" t="n">
        <v>0</v>
      </c>
      <c r="AG134" s="8" t="n">
        <v>13497.6</v>
      </c>
      <c r="AH134" s="8" t="n">
        <v>365</v>
      </c>
      <c r="AI134" s="8" t="n">
        <v>365</v>
      </c>
      <c r="AJ134" s="8" t="n"/>
      <c r="AK134" s="8" t="n">
        <v>1874.666666666667</v>
      </c>
      <c r="AL134" s="8" t="n">
        <v>5728.148148148149</v>
      </c>
      <c r="AM134" s="8" t="n">
        <v>7602.814814814816</v>
      </c>
      <c r="AN134" s="8" t="n">
        <v>365</v>
      </c>
      <c r="AO134" s="8" t="n">
        <v>0</v>
      </c>
      <c r="AP134" s="8" t="n">
        <v>365</v>
      </c>
      <c r="AQ134" s="8" t="n">
        <v>0</v>
      </c>
      <c r="AR134" s="8" t="n">
        <v>0</v>
      </c>
      <c r="AS134" s="8" t="n">
        <v>0</v>
      </c>
      <c r="AT134" s="8" t="n">
        <v>7347.216096</v>
      </c>
      <c r="AU134" s="8" t="n">
        <v>0</v>
      </c>
      <c r="AV134" s="8" t="n">
        <v>0</v>
      </c>
      <c r="AW134" s="8" t="n">
        <v>0</v>
      </c>
      <c r="AX134" s="8" t="n">
        <v>2592.7944768</v>
      </c>
      <c r="AY134" s="8" t="n">
        <v>619.6951750000001</v>
      </c>
      <c r="AZ134" s="8" t="n">
        <v>0</v>
      </c>
      <c r="BA134" s="8" t="n">
        <v>0</v>
      </c>
      <c r="BB134" s="8" t="n">
        <v>0</v>
      </c>
      <c r="BC134" s="8" t="n">
        <v>0</v>
      </c>
      <c r="BD134" s="8" t="n">
        <v>0</v>
      </c>
      <c r="BE134" s="8" t="n">
        <v>0</v>
      </c>
      <c r="BF134" s="8" t="n">
        <v>0</v>
      </c>
      <c r="BG134" s="8" t="n">
        <v>0</v>
      </c>
      <c r="BH134" s="8" t="n">
        <v>0</v>
      </c>
      <c r="BI134" s="8" t="n">
        <v>0</v>
      </c>
      <c r="BJ134" s="8" t="n">
        <v>7680.9172608</v>
      </c>
      <c r="BK134" s="8" t="n">
        <v>478.8553625</v>
      </c>
      <c r="BL134" s="8" t="n">
        <v>8159.7726233</v>
      </c>
      <c r="BM134" s="4">
        <f>BJ134+BK134</f>
        <v/>
      </c>
    </row>
    <row r="135">
      <c r="A135" s="2" t="inlineStr">
        <is>
          <t>Origin</t>
        </is>
      </c>
      <c r="B135" s="8" t="inlineStr">
        <is>
          <t>1/2/3YR</t>
        </is>
      </c>
      <c r="C135" s="8" t="n">
        <v>6203834591</v>
      </c>
      <c r="D135" s="8" t="inlineStr">
        <is>
          <t>VIC</t>
        </is>
      </c>
      <c r="E135" s="8" t="inlineStr">
        <is>
          <t>Powercor</t>
        </is>
      </c>
      <c r="F135" s="8" t="inlineStr">
        <is>
          <t>NDTOU</t>
        </is>
      </c>
      <c r="G135" s="8" t="n"/>
      <c r="H135" s="8" t="inlineStr">
        <is>
          <t>Y</t>
        </is>
      </c>
      <c r="I135" s="8" t="n"/>
      <c r="J135" s="8" t="n"/>
      <c r="K135" s="8" t="n">
        <v>36.289</v>
      </c>
      <c r="L135" s="8" t="n"/>
      <c r="M135" s="8" t="n"/>
      <c r="N135" s="8" t="n"/>
      <c r="O135" s="8" t="n">
        <v>19.2093</v>
      </c>
      <c r="P135" s="8" t="n">
        <v>169.7795</v>
      </c>
      <c r="Q135" s="8" t="n">
        <v>0</v>
      </c>
      <c r="R135" s="8" t="n">
        <v>0.15</v>
      </c>
      <c r="S135" s="8" t="n">
        <v>0.15</v>
      </c>
      <c r="T135" s="8" t="n"/>
      <c r="U135" s="8" t="n"/>
      <c r="V135" s="8" t="n"/>
      <c r="W135" s="8" t="n"/>
      <c r="X135" s="8" t="n"/>
      <c r="Y135" s="8" t="n"/>
      <c r="Z135" s="8" t="n"/>
      <c r="AA135" s="8" t="n"/>
      <c r="AB135" s="8" t="n"/>
      <c r="AC135" s="8" t="n">
        <v>8488.799999999999</v>
      </c>
      <c r="AD135" s="8" t="n">
        <v>0</v>
      </c>
      <c r="AE135" s="8" t="n"/>
      <c r="AF135" s="8" t="n">
        <v>0</v>
      </c>
      <c r="AG135" s="8" t="n">
        <v>5659.200000000001</v>
      </c>
      <c r="AH135" s="8" t="n">
        <v>365</v>
      </c>
      <c r="AI135" s="8" t="n">
        <v>365</v>
      </c>
      <c r="AJ135" s="8" t="n"/>
      <c r="AK135" s="8" t="n">
        <v>786.0000000000001</v>
      </c>
      <c r="AL135" s="8" t="n">
        <v>2401.666666666667</v>
      </c>
      <c r="AM135" s="8" t="n">
        <v>3187.666666666667</v>
      </c>
      <c r="AN135" s="8" t="n">
        <v>365</v>
      </c>
      <c r="AO135" s="8" t="n">
        <v>365</v>
      </c>
      <c r="AP135" s="8" t="n">
        <v>0</v>
      </c>
      <c r="AQ135" s="8" t="n">
        <v>0</v>
      </c>
      <c r="AR135" s="8" t="n">
        <v>0</v>
      </c>
      <c r="AS135" s="8" t="n">
        <v>0</v>
      </c>
      <c r="AT135" s="8" t="n">
        <v>3080.500632</v>
      </c>
      <c r="AU135" s="8" t="n">
        <v>0</v>
      </c>
      <c r="AV135" s="8" t="n">
        <v>0</v>
      </c>
      <c r="AW135" s="8" t="n">
        <v>0</v>
      </c>
      <c r="AX135" s="8" t="n">
        <v>1087.0927056</v>
      </c>
      <c r="AY135" s="8" t="n">
        <v>619.6951750000001</v>
      </c>
      <c r="AZ135" s="8" t="n">
        <v>0</v>
      </c>
      <c r="BA135" s="8" t="n">
        <v>0</v>
      </c>
      <c r="BB135" s="8" t="n">
        <v>0</v>
      </c>
      <c r="BC135" s="8" t="n">
        <v>0</v>
      </c>
      <c r="BD135" s="8" t="n">
        <v>0</v>
      </c>
      <c r="BE135" s="8" t="n">
        <v>0</v>
      </c>
      <c r="BF135" s="8" t="n">
        <v>0</v>
      </c>
      <c r="BG135" s="8" t="n">
        <v>0</v>
      </c>
      <c r="BH135" s="8" t="n">
        <v>0</v>
      </c>
      <c r="BI135" s="8" t="n">
        <v>0</v>
      </c>
      <c r="BJ135" s="8" t="n">
        <v>3220.413033599999</v>
      </c>
      <c r="BK135" s="8" t="n">
        <v>478.8553625</v>
      </c>
      <c r="BL135" s="8" t="n">
        <v>3699.268396099999</v>
      </c>
      <c r="BM135" s="4">
        <f>BJ135+BK135</f>
        <v/>
      </c>
    </row>
    <row r="136">
      <c r="A136" s="2" t="inlineStr">
        <is>
          <t>Origin</t>
        </is>
      </c>
      <c r="B136" s="8" t="inlineStr">
        <is>
          <t>1/2/3YR</t>
        </is>
      </c>
      <c r="C136" s="8" t="n">
        <v>6305812613</v>
      </c>
      <c r="D136" s="8" t="inlineStr">
        <is>
          <t>VIC</t>
        </is>
      </c>
      <c r="E136" s="8" t="inlineStr">
        <is>
          <t>Powercor</t>
        </is>
      </c>
      <c r="F136" s="8" t="inlineStr">
        <is>
          <t>NAST12</t>
        </is>
      </c>
      <c r="G136" s="8" t="n"/>
      <c r="H136" s="8" t="inlineStr">
        <is>
          <t>Y</t>
        </is>
      </c>
      <c r="I136" s="8" t="n"/>
      <c r="J136" s="8" t="n"/>
      <c r="K136" s="8" t="n">
        <v>37.8994</v>
      </c>
      <c r="L136" s="8" t="n"/>
      <c r="M136" s="8" t="n"/>
      <c r="N136" s="8" t="n"/>
      <c r="O136" s="8" t="n">
        <v>19.4997</v>
      </c>
      <c r="P136" s="8" t="n">
        <v>129.3897</v>
      </c>
      <c r="Q136" s="8" t="n">
        <v>0</v>
      </c>
      <c r="R136" s="8" t="n">
        <v>0.15</v>
      </c>
      <c r="S136" s="8" t="n">
        <v>0.15</v>
      </c>
      <c r="T136" s="8" t="n"/>
      <c r="U136" s="8" t="n"/>
      <c r="V136" s="8" t="n"/>
      <c r="W136" s="8" t="n"/>
      <c r="X136" s="8" t="n"/>
      <c r="Y136" s="8" t="n"/>
      <c r="Z136" s="8" t="n"/>
      <c r="AA136" s="8" t="n"/>
      <c r="AB136" s="8" t="n"/>
      <c r="AC136" s="8" t="n">
        <v>19802.4</v>
      </c>
      <c r="AD136" s="8" t="n">
        <v>0</v>
      </c>
      <c r="AE136" s="8" t="n"/>
      <c r="AF136" s="8" t="n">
        <v>0</v>
      </c>
      <c r="AG136" s="8" t="n">
        <v>13201.6</v>
      </c>
      <c r="AH136" s="8" t="n">
        <v>365</v>
      </c>
      <c r="AI136" s="8" t="n">
        <v>365</v>
      </c>
      <c r="AJ136" s="8" t="n"/>
      <c r="AK136" s="8" t="n">
        <v>1833.555555555556</v>
      </c>
      <c r="AL136" s="8" t="n">
        <v>5602.530864197532</v>
      </c>
      <c r="AM136" s="8" t="n">
        <v>7436.086419753087</v>
      </c>
      <c r="AN136" s="8" t="n">
        <v>365</v>
      </c>
      <c r="AO136" s="8" t="n">
        <v>0</v>
      </c>
      <c r="AP136" s="8" t="n">
        <v>365</v>
      </c>
      <c r="AQ136" s="8" t="n">
        <v>0</v>
      </c>
      <c r="AR136" s="8" t="n">
        <v>0</v>
      </c>
      <c r="AS136" s="8" t="n">
        <v>0</v>
      </c>
      <c r="AT136" s="8" t="n">
        <v>7504.990785599999</v>
      </c>
      <c r="AU136" s="8" t="n">
        <v>0</v>
      </c>
      <c r="AV136" s="8" t="n">
        <v>0</v>
      </c>
      <c r="AW136" s="8" t="n">
        <v>0</v>
      </c>
      <c r="AX136" s="8" t="n">
        <v>2574.2723952</v>
      </c>
      <c r="AY136" s="8" t="n">
        <v>472.272405</v>
      </c>
      <c r="AZ136" s="8" t="n">
        <v>0</v>
      </c>
      <c r="BA136" s="8" t="n">
        <v>0</v>
      </c>
      <c r="BB136" s="8" t="n">
        <v>0</v>
      </c>
      <c r="BC136" s="8" t="n">
        <v>0</v>
      </c>
      <c r="BD136" s="8" t="n">
        <v>0</v>
      </c>
      <c r="BE136" s="8" t="n">
        <v>0</v>
      </c>
      <c r="BF136" s="8" t="n">
        <v>0</v>
      </c>
      <c r="BG136" s="8" t="n">
        <v>0</v>
      </c>
      <c r="BH136" s="8" t="n">
        <v>0</v>
      </c>
      <c r="BI136" s="8" t="n">
        <v>0</v>
      </c>
      <c r="BJ136" s="8" t="n">
        <v>7788.521548799999</v>
      </c>
      <c r="BK136" s="8" t="n">
        <v>364.9377675</v>
      </c>
      <c r="BL136" s="8" t="n">
        <v>8153.459316299999</v>
      </c>
      <c r="BM136" s="4">
        <f>BJ136+BK136</f>
        <v/>
      </c>
    </row>
    <row r="137">
      <c r="A137" s="2" t="inlineStr">
        <is>
          <t>Origin</t>
        </is>
      </c>
      <c r="B137" s="8" t="inlineStr">
        <is>
          <t>1/2/3YR</t>
        </is>
      </c>
      <c r="C137" s="8" t="n">
        <v>4311422527</v>
      </c>
      <c r="D137" s="8" t="inlineStr">
        <is>
          <t>NSW</t>
        </is>
      </c>
      <c r="E137" s="8" t="inlineStr">
        <is>
          <t>Powercor</t>
        </is>
      </c>
      <c r="F137" s="8" t="inlineStr">
        <is>
          <t>N93</t>
        </is>
      </c>
      <c r="G137" s="8" t="n"/>
      <c r="H137" s="8" t="inlineStr">
        <is>
          <t>Y</t>
        </is>
      </c>
      <c r="I137" s="8" t="n">
        <v>328.7671</v>
      </c>
      <c r="J137" s="8" t="n"/>
      <c r="K137" s="8" t="n">
        <v>34.5191</v>
      </c>
      <c r="L137" s="8" t="n">
        <v>36.0767</v>
      </c>
      <c r="M137" s="8" t="n"/>
      <c r="N137" s="8" t="n">
        <v>34.5191</v>
      </c>
      <c r="O137" s="8" t="n">
        <v>34.5191</v>
      </c>
      <c r="P137" s="8" t="n">
        <v>244.1274</v>
      </c>
      <c r="Q137" s="8" t="n">
        <v>0</v>
      </c>
      <c r="R137" s="8" t="n">
        <v>0.25</v>
      </c>
      <c r="S137" s="8" t="n">
        <v>0.25</v>
      </c>
      <c r="T137" s="8" t="n"/>
      <c r="U137" s="8" t="n"/>
      <c r="V137" s="8" t="n"/>
      <c r="W137" s="8" t="n"/>
      <c r="X137" s="8" t="n"/>
      <c r="Y137" s="8" t="n"/>
      <c r="Z137" s="8" t="n"/>
      <c r="AA137" s="8" t="n"/>
      <c r="AB137" s="8" t="n"/>
      <c r="AC137" s="8" t="n">
        <v>6612</v>
      </c>
      <c r="AD137" s="8" t="n">
        <v>0</v>
      </c>
      <c r="AE137" s="8" t="n"/>
      <c r="AF137" s="8" t="n">
        <v>19836</v>
      </c>
      <c r="AG137" s="8" t="n">
        <v>6611.999999999998</v>
      </c>
      <c r="AH137" s="8" t="n">
        <v>365</v>
      </c>
      <c r="AI137" s="8" t="n">
        <v>365</v>
      </c>
      <c r="AJ137" s="8" t="n"/>
      <c r="AK137" s="8" t="n">
        <v>1836.666666666667</v>
      </c>
      <c r="AL137" s="8" t="n">
        <v>5612.037037037036</v>
      </c>
      <c r="AM137" s="8" t="n">
        <v>7448.703703703703</v>
      </c>
      <c r="AN137" s="8" t="n">
        <v>365</v>
      </c>
      <c r="AO137" s="8" t="n">
        <v>0</v>
      </c>
      <c r="AP137" s="8" t="n">
        <v>365</v>
      </c>
      <c r="AQ137" s="8" t="n">
        <v>0</v>
      </c>
      <c r="AR137" s="8" t="n">
        <v>0</v>
      </c>
      <c r="AS137" s="8" t="n">
        <v>0</v>
      </c>
      <c r="AT137" s="8" t="n">
        <v>2282.402892</v>
      </c>
      <c r="AU137" s="8" t="n">
        <v>0</v>
      </c>
      <c r="AV137" s="8" t="n">
        <v>0</v>
      </c>
      <c r="AW137" s="8" t="n">
        <v>6847.208676</v>
      </c>
      <c r="AX137" s="8" t="n">
        <v>2282.402892</v>
      </c>
      <c r="AY137" s="8" t="n">
        <v>891.06501</v>
      </c>
      <c r="AZ137" s="8" t="n">
        <v>0</v>
      </c>
      <c r="BA137" s="8" t="n">
        <v>0</v>
      </c>
      <c r="BB137" s="8" t="n">
        <v>0</v>
      </c>
      <c r="BC137" s="8" t="n">
        <v>0</v>
      </c>
      <c r="BD137" s="8" t="n">
        <v>0</v>
      </c>
      <c r="BE137" s="8" t="n">
        <v>0</v>
      </c>
      <c r="BF137" s="8" t="n">
        <v>0</v>
      </c>
      <c r="BG137" s="8" t="n">
        <v>0</v>
      </c>
      <c r="BH137" s="8" t="n">
        <v>0</v>
      </c>
      <c r="BI137" s="8" t="n">
        <v>0</v>
      </c>
      <c r="BJ137" s="8" t="n">
        <v>7780.91895</v>
      </c>
      <c r="BK137" s="8" t="n">
        <v>607.544325</v>
      </c>
      <c r="BL137" s="8" t="n">
        <v>8388.463275</v>
      </c>
      <c r="BM137" s="4">
        <f>BJ137+BK137</f>
        <v/>
      </c>
    </row>
    <row r="138">
      <c r="A138" s="2" t="inlineStr">
        <is>
          <t>Origin</t>
        </is>
      </c>
      <c r="B138" s="8" t="inlineStr">
        <is>
          <t>1/2/3YR</t>
        </is>
      </c>
      <c r="C138" s="8" t="inlineStr">
        <is>
          <t>QB07736452</t>
        </is>
      </c>
      <c r="D138" s="8" t="inlineStr">
        <is>
          <t>QLD</t>
        </is>
      </c>
      <c r="E138" s="8" t="inlineStr">
        <is>
          <t>Powercor</t>
        </is>
      </c>
      <c r="F138" s="8" t="n">
        <v>6800</v>
      </c>
      <c r="G138" s="8" t="n"/>
      <c r="H138" s="8" t="inlineStr">
        <is>
          <t>Y</t>
        </is>
      </c>
      <c r="I138" s="8" t="n"/>
      <c r="J138" s="8" t="n"/>
      <c r="K138" s="8" t="n">
        <v>57.3331</v>
      </c>
      <c r="L138" s="8" t="n"/>
      <c r="M138" s="8" t="n"/>
      <c r="N138" s="8" t="n">
        <v>27.0523</v>
      </c>
      <c r="O138" s="8" t="n">
        <v>8.735099999999999</v>
      </c>
      <c r="P138" s="8" t="n">
        <v>261.415</v>
      </c>
      <c r="Q138" s="8" t="n">
        <v>0</v>
      </c>
      <c r="R138" s="8" t="n">
        <v>0.18</v>
      </c>
      <c r="S138" s="8" t="n">
        <v>0.18</v>
      </c>
      <c r="T138" s="8" t="n"/>
      <c r="U138" s="8" t="n"/>
      <c r="V138" s="8" t="n"/>
      <c r="W138" s="8" t="n"/>
      <c r="X138" s="8" t="n"/>
      <c r="Y138" s="8" t="n"/>
      <c r="Z138" s="8" t="n"/>
      <c r="AA138" s="8" t="n"/>
      <c r="AB138" s="8" t="n"/>
      <c r="AC138" s="8" t="n">
        <v>14757.6</v>
      </c>
      <c r="AD138" s="8" t="n">
        <v>0</v>
      </c>
      <c r="AE138" s="8" t="n"/>
      <c r="AF138" s="8" t="n">
        <v>0</v>
      </c>
      <c r="AG138" s="8" t="n">
        <v>9838.400000000001</v>
      </c>
      <c r="AH138" s="8" t="n">
        <v>365</v>
      </c>
      <c r="AI138" s="8" t="n">
        <v>365</v>
      </c>
      <c r="AJ138" s="8" t="n"/>
      <c r="AK138" s="8" t="n">
        <v>1366.444444444445</v>
      </c>
      <c r="AL138" s="8" t="n">
        <v>4175.246913580248</v>
      </c>
      <c r="AM138" s="8" t="n">
        <v>5541.691358024692</v>
      </c>
      <c r="AN138" s="8" t="n">
        <v>365</v>
      </c>
      <c r="AO138" s="8" t="n">
        <v>0</v>
      </c>
      <c r="AP138" s="8" t="n">
        <v>365</v>
      </c>
      <c r="AQ138" s="8" t="n">
        <v>0</v>
      </c>
      <c r="AR138" s="8" t="n">
        <v>0</v>
      </c>
      <c r="AS138" s="8" t="n">
        <v>0</v>
      </c>
      <c r="AT138" s="8" t="n">
        <v>8460.989565599999</v>
      </c>
      <c r="AU138" s="8" t="n">
        <v>0</v>
      </c>
      <c r="AV138" s="8" t="n">
        <v>0</v>
      </c>
      <c r="AW138" s="8" t="n">
        <v>0</v>
      </c>
      <c r="AX138" s="8" t="n">
        <v>859.3940784</v>
      </c>
      <c r="AY138" s="8" t="n">
        <v>954.16475</v>
      </c>
      <c r="AZ138" s="8" t="n">
        <v>0</v>
      </c>
      <c r="BA138" s="8" t="n">
        <v>0</v>
      </c>
      <c r="BB138" s="8" t="n">
        <v>0</v>
      </c>
      <c r="BC138" s="8" t="n">
        <v>0</v>
      </c>
      <c r="BD138" s="8" t="n">
        <v>0</v>
      </c>
      <c r="BE138" s="8" t="n">
        <v>0</v>
      </c>
      <c r="BF138" s="8" t="n">
        <v>0</v>
      </c>
      <c r="BG138" s="8" t="n">
        <v>0</v>
      </c>
      <c r="BH138" s="8" t="n">
        <v>0</v>
      </c>
      <c r="BI138" s="8" t="n">
        <v>0</v>
      </c>
      <c r="BJ138" s="8" t="n">
        <v>6947.922352799999</v>
      </c>
      <c r="BK138" s="8" t="n">
        <v>711.2864500000001</v>
      </c>
      <c r="BL138" s="8" t="n">
        <v>7659.2088028</v>
      </c>
      <c r="BM138" s="4">
        <f>BJ138+BK138</f>
        <v/>
      </c>
    </row>
    <row r="139">
      <c r="A139" s="2" t="inlineStr">
        <is>
          <t>Origin</t>
        </is>
      </c>
      <c r="B139" s="8" t="inlineStr">
        <is>
          <t>1/2/3YR</t>
        </is>
      </c>
      <c r="C139" s="8" t="n">
        <v>2001130961</v>
      </c>
      <c r="D139" s="8" t="inlineStr">
        <is>
          <t>SA</t>
        </is>
      </c>
      <c r="E139" s="8" t="inlineStr">
        <is>
          <t>AusNet Services</t>
        </is>
      </c>
      <c r="F139" s="8" t="inlineStr">
        <is>
          <t>SBTOU</t>
        </is>
      </c>
      <c r="G139" s="8" t="n"/>
      <c r="H139" s="8" t="inlineStr">
        <is>
          <t>Y</t>
        </is>
      </c>
      <c r="I139" s="8" t="n"/>
      <c r="J139" s="8" t="n"/>
      <c r="K139" s="8" t="n">
        <v>75.9209</v>
      </c>
      <c r="L139" s="8" t="n"/>
      <c r="M139" s="8" t="n"/>
      <c r="N139" s="8" t="n">
        <v>43.6216</v>
      </c>
      <c r="O139" s="8" t="n">
        <v>35.2242</v>
      </c>
      <c r="P139" s="8" t="n">
        <v>185.581</v>
      </c>
      <c r="Q139" s="8" t="n">
        <v>0</v>
      </c>
      <c r="R139" s="8" t="n">
        <v>0.18</v>
      </c>
      <c r="S139" s="8" t="n">
        <v>0.18</v>
      </c>
      <c r="T139" s="8" t="n"/>
      <c r="U139" s="8" t="n"/>
      <c r="V139" s="8" t="n"/>
      <c r="W139" s="8" t="n"/>
      <c r="X139" s="8" t="n"/>
      <c r="Y139" s="8" t="n"/>
      <c r="Z139" s="8" t="n"/>
      <c r="AA139" s="8" t="n"/>
      <c r="AB139" s="8" t="n"/>
      <c r="AC139" s="8" t="n">
        <v>4491.6</v>
      </c>
      <c r="AD139" s="8" t="n">
        <v>0</v>
      </c>
      <c r="AE139" s="8" t="n"/>
      <c r="AF139" s="8" t="n">
        <v>13474.8</v>
      </c>
      <c r="AG139" s="8" t="n">
        <v>4491.599999999999</v>
      </c>
      <c r="AH139" s="8" t="n">
        <v>365</v>
      </c>
      <c r="AI139" s="8" t="n">
        <v>365</v>
      </c>
      <c r="AJ139" s="8" t="n"/>
      <c r="AK139" s="8" t="n">
        <v>1247.666666666667</v>
      </c>
      <c r="AL139" s="8" t="n">
        <v>3812.314814814815</v>
      </c>
      <c r="AM139" s="8" t="n">
        <v>5059.981481481481</v>
      </c>
      <c r="AN139" s="8" t="n">
        <v>365</v>
      </c>
      <c r="AO139" s="8" t="n">
        <v>0</v>
      </c>
      <c r="AP139" s="8" t="n">
        <v>365</v>
      </c>
      <c r="AQ139" s="8" t="n">
        <v>0</v>
      </c>
      <c r="AR139" s="8" t="n">
        <v>0</v>
      </c>
      <c r="AS139" s="8" t="n">
        <v>0</v>
      </c>
      <c r="AT139" s="8" t="n">
        <v>3410.063144400001</v>
      </c>
      <c r="AU139" s="8" t="n">
        <v>0</v>
      </c>
      <c r="AV139" s="8" t="n">
        <v>0</v>
      </c>
      <c r="AW139" s="8" t="n">
        <v>5877.9233568</v>
      </c>
      <c r="AX139" s="8" t="n">
        <v>1582.1301672</v>
      </c>
      <c r="AY139" s="8" t="n">
        <v>677.3706500000001</v>
      </c>
      <c r="AZ139" s="8" t="n">
        <v>0</v>
      </c>
      <c r="BA139" s="8" t="n">
        <v>0</v>
      </c>
      <c r="BB139" s="8" t="n">
        <v>0</v>
      </c>
      <c r="BC139" s="8" t="n">
        <v>0</v>
      </c>
      <c r="BD139" s="8" t="n">
        <v>0</v>
      </c>
      <c r="BE139" s="8" t="n">
        <v>0</v>
      </c>
      <c r="BF139" s="8" t="n">
        <v>0</v>
      </c>
      <c r="BG139" s="8" t="n">
        <v>0</v>
      </c>
      <c r="BH139" s="8" t="n">
        <v>0</v>
      </c>
      <c r="BI139" s="8" t="n">
        <v>0</v>
      </c>
      <c r="BJ139" s="8" t="n">
        <v>8103.177880080002</v>
      </c>
      <c r="BK139" s="8" t="n">
        <v>504.9490300000001</v>
      </c>
      <c r="BL139" s="8" t="n">
        <v>8608.126910080002</v>
      </c>
      <c r="BM139" s="4">
        <f>BJ139+BK139</f>
        <v/>
      </c>
    </row>
    <row r="140">
      <c r="A140" s="2" t="inlineStr">
        <is>
          <t>Origin</t>
        </is>
      </c>
      <c r="B140" s="8" t="inlineStr">
        <is>
          <t>1/2/3YR</t>
        </is>
      </c>
      <c r="C140" s="8" t="n">
        <v>2001160686</v>
      </c>
      <c r="D140" s="8" t="inlineStr">
        <is>
          <t>SA</t>
        </is>
      </c>
      <c r="E140" s="8" t="inlineStr">
        <is>
          <t>AusNet Services</t>
        </is>
      </c>
      <c r="F140" s="8" t="inlineStr">
        <is>
          <t>B2R</t>
        </is>
      </c>
      <c r="G140" s="8" t="n"/>
      <c r="H140" s="8" t="inlineStr">
        <is>
          <t>Y</t>
        </is>
      </c>
      <c r="I140" s="8" t="n"/>
      <c r="J140" s="8" t="n"/>
      <c r="K140" s="8" t="n">
        <v>54.9329</v>
      </c>
      <c r="L140" s="8" t="n"/>
      <c r="M140" s="8" t="n"/>
      <c r="N140" s="8" t="n"/>
      <c r="O140" s="8" t="n">
        <v>35.5322</v>
      </c>
      <c r="P140" s="8" t="n">
        <v>110.5544</v>
      </c>
      <c r="Q140" s="8" t="n">
        <v>0</v>
      </c>
      <c r="R140" s="8" t="n">
        <v>0.18</v>
      </c>
      <c r="S140" s="8" t="n">
        <v>0.18</v>
      </c>
      <c r="T140" s="8" t="n"/>
      <c r="U140" s="8" t="n"/>
      <c r="V140" s="8" t="n"/>
      <c r="W140" s="8" t="n"/>
      <c r="X140" s="8" t="n"/>
      <c r="Y140" s="8" t="n"/>
      <c r="Z140" s="8" t="n"/>
      <c r="AA140" s="8" t="n"/>
      <c r="AB140" s="8" t="n"/>
      <c r="AC140" s="8" t="n">
        <v>22069.2</v>
      </c>
      <c r="AD140" s="8" t="n">
        <v>0</v>
      </c>
      <c r="AE140" s="8" t="n"/>
      <c r="AF140" s="8" t="n">
        <v>0</v>
      </c>
      <c r="AG140" s="8" t="n">
        <v>14712.8</v>
      </c>
      <c r="AH140" s="8" t="n">
        <v>365</v>
      </c>
      <c r="AI140" s="8" t="n">
        <v>365</v>
      </c>
      <c r="AJ140" s="8" t="n"/>
      <c r="AK140" s="8" t="n">
        <v>2043.444444444444</v>
      </c>
      <c r="AL140" s="8" t="n">
        <v>6243.858024691358</v>
      </c>
      <c r="AM140" s="8" t="n">
        <v>8287.302469135802</v>
      </c>
      <c r="AN140" s="8" t="n">
        <v>365</v>
      </c>
      <c r="AO140" s="8" t="n">
        <v>0</v>
      </c>
      <c r="AP140" s="8" t="n">
        <v>365</v>
      </c>
      <c r="AQ140" s="8" t="n">
        <v>0</v>
      </c>
      <c r="AR140" s="8" t="n">
        <v>0</v>
      </c>
      <c r="AS140" s="8" t="n">
        <v>0</v>
      </c>
      <c r="AT140" s="8" t="n">
        <v>12123.2515668</v>
      </c>
      <c r="AU140" s="8" t="n">
        <v>0</v>
      </c>
      <c r="AV140" s="8" t="n">
        <v>0</v>
      </c>
      <c r="AW140" s="8" t="n">
        <v>0</v>
      </c>
      <c r="AX140" s="8" t="n">
        <v>5227.781521600001</v>
      </c>
      <c r="AY140" s="8" t="n">
        <v>403.52356</v>
      </c>
      <c r="AZ140" s="8" t="n">
        <v>0</v>
      </c>
      <c r="BA140" s="8" t="n">
        <v>0</v>
      </c>
      <c r="BB140" s="8" t="n">
        <v>0</v>
      </c>
      <c r="BC140" s="8" t="n">
        <v>0</v>
      </c>
      <c r="BD140" s="8" t="n">
        <v>0</v>
      </c>
      <c r="BE140" s="8" t="n">
        <v>0</v>
      </c>
      <c r="BF140" s="8" t="n">
        <v>0</v>
      </c>
      <c r="BG140" s="8" t="n">
        <v>0</v>
      </c>
      <c r="BH140" s="8" t="n">
        <v>0</v>
      </c>
      <c r="BI140" s="8" t="n">
        <v>0</v>
      </c>
      <c r="BJ140" s="8" t="n">
        <v>12934.40648408</v>
      </c>
      <c r="BK140" s="8" t="n">
        <v>300.808472</v>
      </c>
      <c r="BL140" s="8" t="n">
        <v>13235.21495608</v>
      </c>
      <c r="BM140" s="4">
        <f>BJ140+BK140</f>
        <v/>
      </c>
    </row>
    <row r="141">
      <c r="A141" s="2" t="inlineStr">
        <is>
          <t>Origin</t>
        </is>
      </c>
      <c r="B141" s="8" t="inlineStr">
        <is>
          <t>1/2/3YR</t>
        </is>
      </c>
      <c r="C141" s="8" t="n">
        <v>6103034554</v>
      </c>
      <c r="D141" s="8" t="inlineStr">
        <is>
          <t>VIC</t>
        </is>
      </c>
      <c r="E141" s="8" t="inlineStr">
        <is>
          <t>AusNet Services</t>
        </is>
      </c>
      <c r="F141" s="8" t="inlineStr">
        <is>
          <t>C1G</t>
        </is>
      </c>
      <c r="G141" s="8" t="n"/>
      <c r="H141" s="8" t="inlineStr">
        <is>
          <t>Y</t>
        </is>
      </c>
      <c r="I141" s="8" t="n"/>
      <c r="J141" s="8" t="n"/>
      <c r="K141" s="8" t="n">
        <v>24.7698</v>
      </c>
      <c r="L141" s="8" t="n"/>
      <c r="M141" s="8" t="n"/>
      <c r="N141" s="8" t="n"/>
      <c r="O141" s="8" t="n">
        <v>24.7698</v>
      </c>
      <c r="P141" s="8" t="n">
        <v>152.1894</v>
      </c>
      <c r="Q141" s="8" t="n">
        <v>0</v>
      </c>
      <c r="R141" s="8" t="n">
        <v>0.15</v>
      </c>
      <c r="S141" s="8" t="n">
        <v>0.15</v>
      </c>
      <c r="T141" s="8" t="n"/>
      <c r="U141" s="8" t="n"/>
      <c r="V141" s="8" t="n"/>
      <c r="W141" s="8" t="n"/>
      <c r="X141" s="8" t="n"/>
      <c r="Y141" s="8" t="n"/>
      <c r="Z141" s="8" t="n"/>
      <c r="AA141" s="8" t="n"/>
      <c r="AB141" s="8" t="n"/>
      <c r="AC141" s="8" t="n">
        <v>18476.4</v>
      </c>
      <c r="AD141" s="8" t="n">
        <v>0</v>
      </c>
      <c r="AE141" s="8" t="n"/>
      <c r="AF141" s="8" t="n">
        <v>0</v>
      </c>
      <c r="AG141" s="8" t="n">
        <v>12317.6</v>
      </c>
      <c r="AH141" s="8" t="n">
        <v>365</v>
      </c>
      <c r="AI141" s="8" t="n">
        <v>365</v>
      </c>
      <c r="AJ141" s="8" t="n"/>
      <c r="AK141" s="8" t="n">
        <v>1710.777777777778</v>
      </c>
      <c r="AL141" s="8" t="n">
        <v>5227.376543209877</v>
      </c>
      <c r="AM141" s="8" t="n">
        <v>6938.154320987655</v>
      </c>
      <c r="AN141" s="8" t="n">
        <v>365</v>
      </c>
      <c r="AO141" s="8" t="n">
        <v>0</v>
      </c>
      <c r="AP141" s="8" t="n">
        <v>365</v>
      </c>
      <c r="AQ141" s="8" t="n">
        <v>0</v>
      </c>
      <c r="AR141" s="8" t="n">
        <v>0</v>
      </c>
      <c r="AS141" s="8" t="n">
        <v>0</v>
      </c>
      <c r="AT141" s="8" t="n">
        <v>4576.567327199999</v>
      </c>
      <c r="AU141" s="8" t="n">
        <v>0</v>
      </c>
      <c r="AV141" s="8" t="n">
        <v>0</v>
      </c>
      <c r="AW141" s="8" t="n">
        <v>0</v>
      </c>
      <c r="AX141" s="8" t="n">
        <v>3051.0448848</v>
      </c>
      <c r="AY141" s="8" t="n">
        <v>555.49131</v>
      </c>
      <c r="AZ141" s="8" t="n">
        <v>0</v>
      </c>
      <c r="BA141" s="8" t="n">
        <v>0</v>
      </c>
      <c r="BB141" s="8" t="n">
        <v>0</v>
      </c>
      <c r="BC141" s="8" t="n">
        <v>0</v>
      </c>
      <c r="BD141" s="8" t="n">
        <v>0</v>
      </c>
      <c r="BE141" s="8" t="n">
        <v>0</v>
      </c>
      <c r="BF141" s="8" t="n">
        <v>0</v>
      </c>
      <c r="BG141" s="8" t="n">
        <v>0</v>
      </c>
      <c r="BH141" s="8" t="n">
        <v>0</v>
      </c>
      <c r="BI141" s="8" t="n">
        <v>0</v>
      </c>
      <c r="BJ141" s="8" t="n">
        <v>5894.063982</v>
      </c>
      <c r="BK141" s="8" t="n">
        <v>429.243285</v>
      </c>
      <c r="BL141" s="8" t="n">
        <v>6323.307266999999</v>
      </c>
      <c r="BM141" s="4">
        <f>BJ141+BK141</f>
        <v/>
      </c>
    </row>
    <row r="142">
      <c r="A142" s="2" t="inlineStr">
        <is>
          <t>Origin</t>
        </is>
      </c>
      <c r="B142" s="8" t="inlineStr">
        <is>
          <t>1/2/3YR</t>
        </is>
      </c>
      <c r="C142" s="8" t="n">
        <v>6103034564</v>
      </c>
      <c r="D142" s="8" t="inlineStr">
        <is>
          <t>VIC</t>
        </is>
      </c>
      <c r="E142" s="8" t="inlineStr">
        <is>
          <t>AusNet Services</t>
        </is>
      </c>
      <c r="F142" s="8" t="inlineStr">
        <is>
          <t>C1G</t>
        </is>
      </c>
      <c r="G142" s="8" t="n"/>
      <c r="H142" s="8" t="inlineStr">
        <is>
          <t>Y</t>
        </is>
      </c>
      <c r="I142" s="8" t="n"/>
      <c r="J142" s="8" t="n"/>
      <c r="K142" s="8" t="n">
        <v>24.7698</v>
      </c>
      <c r="L142" s="8" t="n"/>
      <c r="M142" s="8" t="n"/>
      <c r="N142" s="8" t="n"/>
      <c r="O142" s="8" t="n">
        <v>24.7698</v>
      </c>
      <c r="P142" s="8" t="n">
        <v>152.1894</v>
      </c>
      <c r="Q142" s="8" t="n">
        <v>0</v>
      </c>
      <c r="R142" s="8" t="n">
        <v>0.15</v>
      </c>
      <c r="S142" s="8" t="n">
        <v>0.15</v>
      </c>
      <c r="T142" s="8" t="n"/>
      <c r="U142" s="8" t="n"/>
      <c r="V142" s="8" t="n"/>
      <c r="W142" s="8" t="n"/>
      <c r="X142" s="8" t="n"/>
      <c r="Y142" s="8" t="n"/>
      <c r="Z142" s="8" t="n"/>
      <c r="AA142" s="8" t="n"/>
      <c r="AB142" s="8" t="n"/>
      <c r="AC142" s="8" t="n">
        <v>22647</v>
      </c>
      <c r="AD142" s="8" t="n">
        <v>0</v>
      </c>
      <c r="AE142" s="8" t="n"/>
      <c r="AF142" s="8" t="n">
        <v>0</v>
      </c>
      <c r="AG142" s="8" t="n">
        <v>15098</v>
      </c>
      <c r="AH142" s="8" t="n">
        <v>365</v>
      </c>
      <c r="AI142" s="8" t="n">
        <v>365</v>
      </c>
      <c r="AJ142" s="8" t="n"/>
      <c r="AK142" s="8" t="n">
        <v>2096.944444444444</v>
      </c>
      <c r="AL142" s="8" t="n">
        <v>6407.330246913581</v>
      </c>
      <c r="AM142" s="8" t="n">
        <v>8504.274691358025</v>
      </c>
      <c r="AN142" s="8" t="n">
        <v>365</v>
      </c>
      <c r="AO142" s="8" t="n">
        <v>0</v>
      </c>
      <c r="AP142" s="8" t="n">
        <v>365</v>
      </c>
      <c r="AQ142" s="8" t="n">
        <v>0</v>
      </c>
      <c r="AR142" s="8" t="n">
        <v>0</v>
      </c>
      <c r="AS142" s="8" t="n">
        <v>0</v>
      </c>
      <c r="AT142" s="8" t="n">
        <v>5609.616606</v>
      </c>
      <c r="AU142" s="8" t="n">
        <v>0</v>
      </c>
      <c r="AV142" s="8" t="n">
        <v>0</v>
      </c>
      <c r="AW142" s="8" t="n">
        <v>0</v>
      </c>
      <c r="AX142" s="8" t="n">
        <v>3739.744404</v>
      </c>
      <c r="AY142" s="8" t="n">
        <v>555.49131</v>
      </c>
      <c r="AZ142" s="8" t="n">
        <v>0</v>
      </c>
      <c r="BA142" s="8" t="n">
        <v>0</v>
      </c>
      <c r="BB142" s="8" t="n">
        <v>0</v>
      </c>
      <c r="BC142" s="8" t="n">
        <v>0</v>
      </c>
      <c r="BD142" s="8" t="n">
        <v>0</v>
      </c>
      <c r="BE142" s="8" t="n">
        <v>0</v>
      </c>
      <c r="BF142" s="8" t="n">
        <v>0</v>
      </c>
      <c r="BG142" s="8" t="n">
        <v>0</v>
      </c>
      <c r="BH142" s="8" t="n">
        <v>0</v>
      </c>
      <c r="BI142" s="8" t="n">
        <v>0</v>
      </c>
      <c r="BJ142" s="8" t="n">
        <v>7224.506235000001</v>
      </c>
      <c r="BK142" s="8" t="n">
        <v>429.243285</v>
      </c>
      <c r="BL142" s="8" t="n">
        <v>7653.74952</v>
      </c>
      <c r="BM142" s="4">
        <f>BJ142+BK142</f>
        <v/>
      </c>
    </row>
    <row r="143">
      <c r="A143" s="2" t="inlineStr">
        <is>
          <t>Origin</t>
        </is>
      </c>
      <c r="B143" s="8" t="inlineStr">
        <is>
          <t>1/2/3YR</t>
        </is>
      </c>
      <c r="C143" s="8" t="n">
        <v>6103034565</v>
      </c>
      <c r="D143" s="8" t="inlineStr">
        <is>
          <t>VIC</t>
        </is>
      </c>
      <c r="E143" s="8" t="inlineStr">
        <is>
          <t>AusNet Services</t>
        </is>
      </c>
      <c r="F143" s="8" t="inlineStr">
        <is>
          <t>C1G</t>
        </is>
      </c>
      <c r="G143" s="8" t="n"/>
      <c r="H143" s="8" t="inlineStr">
        <is>
          <t>Y</t>
        </is>
      </c>
      <c r="I143" s="8" t="n"/>
      <c r="J143" s="8" t="n"/>
      <c r="K143" s="8" t="n">
        <v>24.7698</v>
      </c>
      <c r="L143" s="8" t="n"/>
      <c r="M143" s="8" t="n"/>
      <c r="N143" s="8" t="n"/>
      <c r="O143" s="8" t="n">
        <v>24.7698</v>
      </c>
      <c r="P143" s="8" t="n">
        <v>152.1894</v>
      </c>
      <c r="Q143" s="8" t="n">
        <v>0</v>
      </c>
      <c r="R143" s="8" t="n">
        <v>0.15</v>
      </c>
      <c r="S143" s="8" t="n">
        <v>0.15</v>
      </c>
      <c r="T143" s="8" t="n"/>
      <c r="U143" s="8" t="n"/>
      <c r="V143" s="8" t="n"/>
      <c r="W143" s="8" t="n"/>
      <c r="X143" s="8" t="n"/>
      <c r="Y143" s="8" t="n"/>
      <c r="Z143" s="8" t="n"/>
      <c r="AA143" s="8" t="n"/>
      <c r="AB143" s="8" t="n"/>
      <c r="AC143" s="8" t="n">
        <v>34185</v>
      </c>
      <c r="AD143" s="8" t="n">
        <v>0</v>
      </c>
      <c r="AE143" s="8" t="n"/>
      <c r="AF143" s="8" t="n">
        <v>0</v>
      </c>
      <c r="AG143" s="8" t="n">
        <v>22790</v>
      </c>
      <c r="AH143" s="8" t="n">
        <v>365</v>
      </c>
      <c r="AI143" s="8" t="n">
        <v>365</v>
      </c>
      <c r="AJ143" s="8" t="n"/>
      <c r="AK143" s="8" t="n">
        <v>3165.277777777778</v>
      </c>
      <c r="AL143" s="8" t="n">
        <v>9671.682098765432</v>
      </c>
      <c r="AM143" s="8" t="n">
        <v>12836.95987654321</v>
      </c>
      <c r="AN143" s="8" t="n">
        <v>365</v>
      </c>
      <c r="AO143" s="8" t="n">
        <v>0</v>
      </c>
      <c r="AP143" s="8" t="n">
        <v>0</v>
      </c>
      <c r="AQ143" s="8" t="n">
        <v>365</v>
      </c>
      <c r="AR143" s="8" t="n">
        <v>0</v>
      </c>
      <c r="AS143" s="8" t="n">
        <v>0</v>
      </c>
      <c r="AT143" s="8" t="n">
        <v>8467.556130000001</v>
      </c>
      <c r="AU143" s="8" t="n">
        <v>0</v>
      </c>
      <c r="AV143" s="8" t="n">
        <v>0</v>
      </c>
      <c r="AW143" s="8" t="n">
        <v>0</v>
      </c>
      <c r="AX143" s="8" t="n">
        <v>5645.03742</v>
      </c>
      <c r="AY143" s="8" t="n">
        <v>555.49131</v>
      </c>
      <c r="AZ143" s="8" t="n">
        <v>0</v>
      </c>
      <c r="BA143" s="8" t="n">
        <v>0</v>
      </c>
      <c r="BB143" s="8" t="n">
        <v>0</v>
      </c>
      <c r="BC143" s="8" t="n">
        <v>0</v>
      </c>
      <c r="BD143" s="8" t="n">
        <v>0</v>
      </c>
      <c r="BE143" s="8" t="n">
        <v>0</v>
      </c>
      <c r="BF143" s="8" t="n">
        <v>0</v>
      </c>
      <c r="BG143" s="8" t="n">
        <v>0</v>
      </c>
      <c r="BH143" s="8" t="n">
        <v>0</v>
      </c>
      <c r="BI143" s="8" t="n">
        <v>0</v>
      </c>
      <c r="BJ143" s="8" t="n">
        <v>10905.185925</v>
      </c>
      <c r="BK143" s="8" t="n">
        <v>429.243285</v>
      </c>
      <c r="BL143" s="8" t="n">
        <v>11334.42921</v>
      </c>
      <c r="BM143" s="4">
        <f>BJ143+BK143</f>
        <v/>
      </c>
    </row>
    <row r="144">
      <c r="A144" s="2" t="inlineStr">
        <is>
          <t>Origin</t>
        </is>
      </c>
      <c r="B144" s="8" t="inlineStr">
        <is>
          <t>1/2/3YR</t>
        </is>
      </c>
      <c r="C144" s="8" t="inlineStr">
        <is>
          <t>QB13869604</t>
        </is>
      </c>
      <c r="D144" s="8" t="inlineStr">
        <is>
          <t>QLD</t>
        </is>
      </c>
      <c r="E144" s="8" t="inlineStr">
        <is>
          <t>SA Power Networks</t>
        </is>
      </c>
      <c r="F144" s="8" t="n">
        <v>8500</v>
      </c>
      <c r="G144" s="8" t="n"/>
      <c r="H144" s="8" t="inlineStr">
        <is>
          <t>Y</t>
        </is>
      </c>
      <c r="I144" s="8" t="n"/>
      <c r="J144" s="8" t="n"/>
      <c r="K144" s="8" t="n">
        <v>28.9355</v>
      </c>
      <c r="L144" s="8" t="n"/>
      <c r="M144" s="8" t="n"/>
      <c r="N144" s="8" t="n"/>
      <c r="O144" s="8" t="n">
        <v>28.9355</v>
      </c>
      <c r="P144" s="8" t="n">
        <v>261.6251</v>
      </c>
      <c r="Q144" s="8" t="n">
        <v>0</v>
      </c>
      <c r="R144" s="8" t="n">
        <v>0.18</v>
      </c>
      <c r="S144" s="8" t="n">
        <v>0.18</v>
      </c>
      <c r="T144" s="8" t="n"/>
      <c r="U144" s="8" t="n"/>
      <c r="V144" s="8" t="n"/>
      <c r="W144" s="8" t="n"/>
      <c r="X144" s="8" t="n"/>
      <c r="Y144" s="8" t="n"/>
      <c r="Z144" s="8" t="n"/>
      <c r="AA144" s="8" t="n"/>
      <c r="AB144" s="8" t="n"/>
      <c r="AC144" s="8" t="n">
        <v>9773.4</v>
      </c>
      <c r="AD144" s="8" t="n">
        <v>0</v>
      </c>
      <c r="AE144" s="8" t="n"/>
      <c r="AF144" s="8" t="n">
        <v>0</v>
      </c>
      <c r="AG144" s="8" t="n">
        <v>6515.6</v>
      </c>
      <c r="AH144" s="8" t="n">
        <v>365</v>
      </c>
      <c r="AI144" s="8" t="n">
        <v>365</v>
      </c>
      <c r="AJ144" s="8" t="n"/>
      <c r="AK144" s="8" t="n">
        <v>904.9444444444446</v>
      </c>
      <c r="AL144" s="8" t="n">
        <v>2765.108024691358</v>
      </c>
      <c r="AM144" s="8" t="n">
        <v>3670.052469135803</v>
      </c>
      <c r="AN144" s="8" t="n">
        <v>365</v>
      </c>
      <c r="AO144" s="8" t="n">
        <v>365</v>
      </c>
      <c r="AP144" s="8" t="n">
        <v>0</v>
      </c>
      <c r="AQ144" s="8" t="n">
        <v>0</v>
      </c>
      <c r="AR144" s="8" t="n">
        <v>0</v>
      </c>
      <c r="AS144" s="8" t="n">
        <v>0</v>
      </c>
      <c r="AT144" s="8" t="n">
        <v>2827.982157</v>
      </c>
      <c r="AU144" s="8" t="n">
        <v>0</v>
      </c>
      <c r="AV144" s="8" t="n">
        <v>0</v>
      </c>
      <c r="AW144" s="8" t="n">
        <v>0</v>
      </c>
      <c r="AX144" s="8" t="n">
        <v>1885.321438</v>
      </c>
      <c r="AY144" s="8" t="n">
        <v>954.9316149999999</v>
      </c>
      <c r="AZ144" s="8" t="n">
        <v>0</v>
      </c>
      <c r="BA144" s="8" t="n">
        <v>0</v>
      </c>
      <c r="BB144" s="8" t="n">
        <v>0</v>
      </c>
      <c r="BC144" s="8" t="n">
        <v>0</v>
      </c>
      <c r="BD144" s="8" t="n">
        <v>0</v>
      </c>
      <c r="BE144" s="8" t="n">
        <v>0</v>
      </c>
      <c r="BF144" s="8" t="n">
        <v>0</v>
      </c>
      <c r="BG144" s="8" t="n">
        <v>0</v>
      </c>
      <c r="BH144" s="8" t="n">
        <v>0</v>
      </c>
      <c r="BI144" s="8" t="n">
        <v>0</v>
      </c>
      <c r="BJ144" s="8" t="n">
        <v>3513.553589</v>
      </c>
      <c r="BK144" s="8" t="n">
        <v>711.8581129999999</v>
      </c>
      <c r="BL144" s="8" t="n">
        <v>4225.411702</v>
      </c>
      <c r="BM144" s="4">
        <f>BJ144+BK144</f>
        <v/>
      </c>
    </row>
    <row r="145">
      <c r="A145" s="2" t="inlineStr">
        <is>
          <t>Origin</t>
        </is>
      </c>
      <c r="B145" s="8" t="inlineStr">
        <is>
          <t>1/2/3YR</t>
        </is>
      </c>
      <c r="C145" s="8" t="n">
        <v>6407387461</v>
      </c>
      <c r="D145" s="8" t="inlineStr">
        <is>
          <t>VIC</t>
        </is>
      </c>
      <c r="E145" s="8" t="inlineStr">
        <is>
          <t>SA Power Networks</t>
        </is>
      </c>
      <c r="F145" s="8" t="inlineStr">
        <is>
          <t>LVTOU</t>
        </is>
      </c>
      <c r="G145" s="8" t="n"/>
      <c r="H145" s="8" t="inlineStr">
        <is>
          <t>Y</t>
        </is>
      </c>
      <c r="I145" s="8" t="n"/>
      <c r="J145" s="8" t="n"/>
      <c r="K145" s="8" t="n">
        <v>31.559</v>
      </c>
      <c r="L145" s="8" t="n"/>
      <c r="M145" s="8" t="n"/>
      <c r="N145" s="8" t="n"/>
      <c r="O145" s="8" t="n">
        <v>18.0697</v>
      </c>
      <c r="P145" s="8" t="n">
        <v>154</v>
      </c>
      <c r="Q145" s="8" t="n">
        <v>0</v>
      </c>
      <c r="R145" s="8" t="n">
        <v>0.15</v>
      </c>
      <c r="S145" s="8" t="n">
        <v>0.15</v>
      </c>
      <c r="T145" s="8" t="n"/>
      <c r="U145" s="8" t="n"/>
      <c r="V145" s="8" t="n"/>
      <c r="W145" s="8" t="n"/>
      <c r="X145" s="8" t="n"/>
      <c r="Y145" s="8" t="n"/>
      <c r="Z145" s="8" t="n"/>
      <c r="AA145" s="8" t="n"/>
      <c r="AB145" s="8" t="n"/>
      <c r="AC145" s="8" t="n">
        <v>15112.2</v>
      </c>
      <c r="AD145" s="8" t="n">
        <v>0</v>
      </c>
      <c r="AE145" s="8" t="n"/>
      <c r="AF145" s="8" t="n">
        <v>0</v>
      </c>
      <c r="AG145" s="8" t="n">
        <v>10074.8</v>
      </c>
      <c r="AH145" s="8" t="n">
        <v>365</v>
      </c>
      <c r="AI145" s="8" t="n">
        <v>365</v>
      </c>
      <c r="AJ145" s="8" t="n"/>
      <c r="AK145" s="8" t="n">
        <v>1399.277777777778</v>
      </c>
      <c r="AL145" s="8" t="n">
        <v>4275.570987654321</v>
      </c>
      <c r="AM145" s="8" t="n">
        <v>5674.8487654321</v>
      </c>
      <c r="AN145" s="8" t="n">
        <v>365</v>
      </c>
      <c r="AO145" s="8" t="n">
        <v>0</v>
      </c>
      <c r="AP145" s="8" t="n">
        <v>365</v>
      </c>
      <c r="AQ145" s="8" t="n">
        <v>0</v>
      </c>
      <c r="AR145" s="8" t="n">
        <v>0</v>
      </c>
      <c r="AS145" s="8" t="n">
        <v>0</v>
      </c>
      <c r="AT145" s="8" t="n">
        <v>4769.259198</v>
      </c>
      <c r="AU145" s="8" t="n">
        <v>0</v>
      </c>
      <c r="AV145" s="8" t="n">
        <v>0</v>
      </c>
      <c r="AW145" s="8" t="n">
        <v>0</v>
      </c>
      <c r="AX145" s="8" t="n">
        <v>1820.4861356</v>
      </c>
      <c r="AY145" s="8" t="n">
        <v>562.1</v>
      </c>
      <c r="AZ145" s="8" t="n">
        <v>0</v>
      </c>
      <c r="BA145" s="8" t="n">
        <v>0</v>
      </c>
      <c r="BB145" s="8" t="n">
        <v>0</v>
      </c>
      <c r="BC145" s="8" t="n">
        <v>0</v>
      </c>
      <c r="BD145" s="8" t="n">
        <v>0</v>
      </c>
      <c r="BE145" s="8" t="n">
        <v>0</v>
      </c>
      <c r="BF145" s="8" t="n">
        <v>0</v>
      </c>
      <c r="BG145" s="8" t="n">
        <v>0</v>
      </c>
      <c r="BH145" s="8" t="n">
        <v>0</v>
      </c>
      <c r="BI145" s="8" t="n">
        <v>0</v>
      </c>
      <c r="BJ145" s="8" t="n">
        <v>5092.075939599999</v>
      </c>
      <c r="BK145" s="8" t="n">
        <v>434.35</v>
      </c>
      <c r="BL145" s="8" t="n">
        <v>5526.4259396</v>
      </c>
      <c r="BM145" s="4">
        <f>BJ145+BK145</f>
        <v/>
      </c>
    </row>
    <row r="146">
      <c r="A146" s="2" t="inlineStr">
        <is>
          <t>Origin</t>
        </is>
      </c>
      <c r="B146" s="8" t="inlineStr">
        <is>
          <t>1/2/3YR</t>
        </is>
      </c>
      <c r="C146" s="8" t="n">
        <v>4104037195</v>
      </c>
      <c r="D146" s="8" t="inlineStr">
        <is>
          <t>NSW</t>
        </is>
      </c>
      <c r="E146" s="8" t="inlineStr">
        <is>
          <t>SA Power Networks</t>
        </is>
      </c>
      <c r="F146" s="8" t="inlineStr">
        <is>
          <t>EA256</t>
        </is>
      </c>
      <c r="G146" s="8" t="n"/>
      <c r="H146" s="8" t="inlineStr">
        <is>
          <t>Y</t>
        </is>
      </c>
      <c r="I146" s="8" t="n"/>
      <c r="J146" s="8" t="n"/>
      <c r="K146" s="8" t="n">
        <v>71.4736</v>
      </c>
      <c r="L146" s="8" t="n"/>
      <c r="M146" s="8" t="n"/>
      <c r="N146" s="8" t="n"/>
      <c r="O146" s="8" t="n">
        <v>24.8017</v>
      </c>
      <c r="P146" s="8" t="n">
        <v>387.4629</v>
      </c>
      <c r="Q146" s="8" t="n">
        <v>0</v>
      </c>
      <c r="R146" s="8" t="n">
        <v>0.25</v>
      </c>
      <c r="S146" s="8" t="n">
        <v>0.25</v>
      </c>
      <c r="T146" s="8" t="n"/>
      <c r="U146" s="8" t="n"/>
      <c r="V146" s="8" t="n"/>
      <c r="W146" s="8" t="n"/>
      <c r="X146" s="8" t="n"/>
      <c r="Y146" s="8" t="n"/>
      <c r="Z146" s="8" t="n"/>
      <c r="AA146" s="8" t="n"/>
      <c r="AB146" s="8" t="n"/>
      <c r="AC146" s="8" t="n">
        <v>587.6</v>
      </c>
      <c r="AD146" s="8" t="n">
        <v>0</v>
      </c>
      <c r="AE146" s="8" t="n"/>
      <c r="AF146" s="8" t="n">
        <v>1762.8</v>
      </c>
      <c r="AG146" s="8" t="n">
        <v>587.5999999999999</v>
      </c>
      <c r="AH146" s="8" t="n">
        <v>365</v>
      </c>
      <c r="AI146" s="8" t="n">
        <v>365</v>
      </c>
      <c r="AJ146" s="8" t="n"/>
      <c r="AK146" s="8" t="n">
        <v>163.2222222222222</v>
      </c>
      <c r="AL146" s="8" t="n">
        <v>498.7345679012346</v>
      </c>
      <c r="AM146" s="8" t="n">
        <v>661.9567901234568</v>
      </c>
      <c r="AN146" s="8" t="n">
        <v>365</v>
      </c>
      <c r="AO146" s="8" t="n">
        <v>365</v>
      </c>
      <c r="AP146" s="8" t="n">
        <v>0</v>
      </c>
      <c r="AQ146" s="8" t="n">
        <v>0</v>
      </c>
      <c r="AR146" s="8" t="n">
        <v>0</v>
      </c>
      <c r="AS146" s="8" t="n">
        <v>0</v>
      </c>
      <c r="AT146" s="8" t="n">
        <v>419.9788736000001</v>
      </c>
      <c r="AU146" s="8" t="n">
        <v>0</v>
      </c>
      <c r="AV146" s="8" t="n">
        <v>0</v>
      </c>
      <c r="AW146" s="8" t="n">
        <v>0</v>
      </c>
      <c r="AX146" s="8" t="n">
        <v>145.7347892</v>
      </c>
      <c r="AY146" s="8" t="n">
        <v>1414.239585</v>
      </c>
      <c r="AZ146" s="8" t="n">
        <v>0</v>
      </c>
      <c r="BA146" s="8" t="n">
        <v>0</v>
      </c>
      <c r="BB146" s="8" t="n">
        <v>0</v>
      </c>
      <c r="BC146" s="8" t="n">
        <v>0</v>
      </c>
      <c r="BD146" s="8" t="n">
        <v>0</v>
      </c>
      <c r="BE146" s="8" t="n">
        <v>0</v>
      </c>
      <c r="BF146" s="8" t="n">
        <v>0</v>
      </c>
      <c r="BG146" s="8" t="n">
        <v>0</v>
      </c>
      <c r="BH146" s="8" t="n">
        <v>0</v>
      </c>
      <c r="BI146" s="8" t="n">
        <v>0</v>
      </c>
      <c r="BJ146" s="8" t="n">
        <v>385.713861</v>
      </c>
      <c r="BK146" s="8" t="n">
        <v>964.2542625</v>
      </c>
      <c r="BL146" s="8" t="n">
        <v>1349.9681235</v>
      </c>
      <c r="BM146" s="4">
        <f>BJ146+BK146</f>
        <v/>
      </c>
    </row>
    <row r="147">
      <c r="A147" s="2" t="inlineStr">
        <is>
          <t>Origin</t>
        </is>
      </c>
      <c r="B147" s="8" t="inlineStr">
        <is>
          <t>1/2/3YR</t>
        </is>
      </c>
      <c r="C147" s="8" t="n">
        <v>6001399332</v>
      </c>
      <c r="D147" s="8" t="inlineStr">
        <is>
          <t>VIC</t>
        </is>
      </c>
      <c r="E147" s="8" t="inlineStr">
        <is>
          <t>SA Power Networks</t>
        </is>
      </c>
      <c r="F147" s="8" t="inlineStr">
        <is>
          <t>A200</t>
        </is>
      </c>
      <c r="G147" s="8" t="n"/>
      <c r="H147" s="8" t="inlineStr">
        <is>
          <t>Y</t>
        </is>
      </c>
      <c r="I147" s="8" t="n"/>
      <c r="J147" s="8" t="n"/>
      <c r="K147" s="8" t="n">
        <v>28.7793</v>
      </c>
      <c r="L147" s="8" t="n"/>
      <c r="M147" s="8" t="n"/>
      <c r="N147" s="8" t="n"/>
      <c r="O147" s="8" t="n">
        <v>28.7793</v>
      </c>
      <c r="P147" s="8" t="n">
        <v>167.09</v>
      </c>
      <c r="Q147" s="8" t="n">
        <v>0</v>
      </c>
      <c r="R147" s="8" t="n">
        <v>0.15</v>
      </c>
      <c r="S147" s="8" t="n">
        <v>0.15</v>
      </c>
      <c r="T147" s="8" t="n"/>
      <c r="U147" s="8" t="n"/>
      <c r="V147" s="8" t="n"/>
      <c r="W147" s="8" t="n"/>
      <c r="X147" s="8" t="n"/>
      <c r="Y147" s="8" t="n"/>
      <c r="Z147" s="8" t="n"/>
      <c r="AA147" s="8" t="n"/>
      <c r="AB147" s="8" t="n"/>
      <c r="AC147" s="8" t="n">
        <v>35367</v>
      </c>
      <c r="AD147" s="8" t="n">
        <v>0</v>
      </c>
      <c r="AE147" s="8" t="n"/>
      <c r="AF147" s="8" t="n">
        <v>0</v>
      </c>
      <c r="AG147" s="8" t="n">
        <v>23578</v>
      </c>
      <c r="AH147" s="8" t="n">
        <v>365</v>
      </c>
      <c r="AI147" s="8" t="n">
        <v>365</v>
      </c>
      <c r="AJ147" s="8" t="n"/>
      <c r="AK147" s="8" t="n">
        <v>3274.722222222222</v>
      </c>
      <c r="AL147" s="8" t="n">
        <v>10006.09567901235</v>
      </c>
      <c r="AM147" s="8" t="n">
        <v>13280.81790123457</v>
      </c>
      <c r="AN147" s="8" t="n">
        <v>365</v>
      </c>
      <c r="AO147" s="8" t="n">
        <v>0</v>
      </c>
      <c r="AP147" s="8" t="n">
        <v>0</v>
      </c>
      <c r="AQ147" s="8" t="n">
        <v>365</v>
      </c>
      <c r="AR147" s="8" t="n">
        <v>0</v>
      </c>
      <c r="AS147" s="8" t="n">
        <v>0</v>
      </c>
      <c r="AT147" s="8" t="n">
        <v>10178.375031</v>
      </c>
      <c r="AU147" s="8" t="n">
        <v>0</v>
      </c>
      <c r="AV147" s="8" t="n">
        <v>0</v>
      </c>
      <c r="AW147" s="8" t="n">
        <v>0</v>
      </c>
      <c r="AX147" s="8" t="n">
        <v>6785.583353999999</v>
      </c>
      <c r="AY147" s="8" t="n">
        <v>609.8785</v>
      </c>
      <c r="AZ147" s="8" t="n">
        <v>0</v>
      </c>
      <c r="BA147" s="8" t="n">
        <v>0</v>
      </c>
      <c r="BB147" s="8" t="n">
        <v>0</v>
      </c>
      <c r="BC147" s="8" t="n">
        <v>0</v>
      </c>
      <c r="BD147" s="8" t="n">
        <v>0</v>
      </c>
      <c r="BE147" s="8" t="n">
        <v>0</v>
      </c>
      <c r="BF147" s="8" t="n">
        <v>0</v>
      </c>
      <c r="BG147" s="8" t="n">
        <v>0</v>
      </c>
      <c r="BH147" s="8" t="n">
        <v>0</v>
      </c>
      <c r="BI147" s="8" t="n">
        <v>0</v>
      </c>
      <c r="BJ147" s="8" t="n">
        <v>13108.5132975</v>
      </c>
      <c r="BK147" s="8" t="n">
        <v>471.26975</v>
      </c>
      <c r="BL147" s="8" t="n">
        <v>13579.7830475</v>
      </c>
      <c r="BM147" s="4">
        <f>BJ147+BK147</f>
        <v/>
      </c>
    </row>
    <row r="148">
      <c r="A148" s="2" t="inlineStr">
        <is>
          <t>Origin</t>
        </is>
      </c>
      <c r="B148" s="8" t="inlineStr">
        <is>
          <t>1/2/3YR</t>
        </is>
      </c>
      <c r="C148" s="8" t="n">
        <v>6103066712</v>
      </c>
      <c r="D148" s="8" t="inlineStr">
        <is>
          <t>VIC</t>
        </is>
      </c>
      <c r="E148" s="8" t="inlineStr">
        <is>
          <t>SA Power Networks</t>
        </is>
      </c>
      <c r="F148" s="8" t="inlineStr">
        <is>
          <t>C1G</t>
        </is>
      </c>
      <c r="G148" s="8" t="n"/>
      <c r="H148" s="8" t="inlineStr">
        <is>
          <t>Y</t>
        </is>
      </c>
      <c r="I148" s="8" t="n"/>
      <c r="J148" s="8" t="n"/>
      <c r="K148" s="8" t="n">
        <v>24.7698</v>
      </c>
      <c r="L148" s="8" t="n"/>
      <c r="M148" s="8" t="n"/>
      <c r="N148" s="8" t="n"/>
      <c r="O148" s="8" t="n">
        <v>24.7698</v>
      </c>
      <c r="P148" s="8" t="n">
        <v>152.1894</v>
      </c>
      <c r="Q148" s="8" t="n">
        <v>0</v>
      </c>
      <c r="R148" s="8" t="n">
        <v>0.15</v>
      </c>
      <c r="S148" s="8" t="n">
        <v>0.15</v>
      </c>
      <c r="T148" s="8" t="n"/>
      <c r="U148" s="8" t="n"/>
      <c r="V148" s="8" t="n"/>
      <c r="W148" s="8" t="n"/>
      <c r="X148" s="8" t="n"/>
      <c r="Y148" s="8" t="n"/>
      <c r="Z148" s="8" t="n"/>
      <c r="AA148" s="8" t="n"/>
      <c r="AB148" s="8" t="n"/>
      <c r="AC148" s="8" t="n">
        <v>225.6</v>
      </c>
      <c r="AD148" s="8" t="n">
        <v>0</v>
      </c>
      <c r="AE148" s="8" t="n"/>
      <c r="AF148" s="8" t="n">
        <v>0</v>
      </c>
      <c r="AG148" s="8" t="n">
        <v>150.4</v>
      </c>
      <c r="AH148" s="8" t="n">
        <v>365</v>
      </c>
      <c r="AI148" s="8" t="n">
        <v>365</v>
      </c>
      <c r="AJ148" s="8" t="n"/>
      <c r="AK148" s="8" t="n">
        <v>20.88888888888889</v>
      </c>
      <c r="AL148" s="8" t="n">
        <v>63.82716049382717</v>
      </c>
      <c r="AM148" s="8" t="n">
        <v>84.71604938271605</v>
      </c>
      <c r="AN148" s="8" t="n">
        <v>365</v>
      </c>
      <c r="AO148" s="8" t="n">
        <v>365</v>
      </c>
      <c r="AP148" s="8" t="n">
        <v>0</v>
      </c>
      <c r="AQ148" s="8" t="n">
        <v>0</v>
      </c>
      <c r="AR148" s="8" t="n">
        <v>0</v>
      </c>
      <c r="AS148" s="8" t="n">
        <v>0</v>
      </c>
      <c r="AT148" s="8" t="n">
        <v>55.8806688</v>
      </c>
      <c r="AU148" s="8" t="n">
        <v>0</v>
      </c>
      <c r="AV148" s="8" t="n">
        <v>0</v>
      </c>
      <c r="AW148" s="8" t="n">
        <v>0</v>
      </c>
      <c r="AX148" s="8" t="n">
        <v>37.2537792</v>
      </c>
      <c r="AY148" s="8" t="n">
        <v>555.49131</v>
      </c>
      <c r="AZ148" s="8" t="n">
        <v>0</v>
      </c>
      <c r="BA148" s="8" t="n">
        <v>0</v>
      </c>
      <c r="BB148" s="8" t="n">
        <v>0</v>
      </c>
      <c r="BC148" s="8" t="n">
        <v>0</v>
      </c>
      <c r="BD148" s="8" t="n">
        <v>0</v>
      </c>
      <c r="BE148" s="8" t="n">
        <v>0</v>
      </c>
      <c r="BF148" s="8" t="n">
        <v>0</v>
      </c>
      <c r="BG148" s="8" t="n">
        <v>0</v>
      </c>
      <c r="BH148" s="8" t="n">
        <v>0</v>
      </c>
      <c r="BI148" s="8" t="n">
        <v>0</v>
      </c>
      <c r="BJ148" s="8" t="n">
        <v>71.967528</v>
      </c>
      <c r="BK148" s="8" t="n">
        <v>429.243285</v>
      </c>
      <c r="BL148" s="8" t="n">
        <v>501.210813</v>
      </c>
      <c r="BM148" s="4">
        <f>BJ148+BK148</f>
        <v/>
      </c>
    </row>
    <row r="149">
      <c r="A149" s="2" t="inlineStr">
        <is>
          <t>Origin</t>
        </is>
      </c>
      <c r="B149" s="8" t="inlineStr">
        <is>
          <t>1/2/3YR</t>
        </is>
      </c>
      <c r="C149" s="8" t="n">
        <v>6305983844</v>
      </c>
      <c r="D149" s="8" t="inlineStr">
        <is>
          <t>VIC</t>
        </is>
      </c>
      <c r="E149" s="8" t="inlineStr">
        <is>
          <t>SA Power Networks</t>
        </is>
      </c>
      <c r="F149" s="8" t="inlineStr">
        <is>
          <t>NAST12</t>
        </is>
      </c>
      <c r="G149" s="8" t="n"/>
      <c r="H149" s="8" t="inlineStr">
        <is>
          <t>Y</t>
        </is>
      </c>
      <c r="I149" s="8" t="n"/>
      <c r="J149" s="8" t="n"/>
      <c r="K149" s="8" t="n">
        <v>37.8994</v>
      </c>
      <c r="L149" s="8" t="n"/>
      <c r="M149" s="8" t="n"/>
      <c r="N149" s="8" t="n"/>
      <c r="O149" s="8" t="n">
        <v>19.4997</v>
      </c>
      <c r="P149" s="8" t="n">
        <v>129.3897</v>
      </c>
      <c r="Q149" s="8" t="n">
        <v>0</v>
      </c>
      <c r="R149" s="8" t="n">
        <v>0.15</v>
      </c>
      <c r="S149" s="8" t="n">
        <v>0.15</v>
      </c>
      <c r="T149" s="8" t="n"/>
      <c r="U149" s="8" t="n"/>
      <c r="V149" s="8" t="n"/>
      <c r="W149" s="8" t="n"/>
      <c r="X149" s="8" t="n"/>
      <c r="Y149" s="8" t="n"/>
      <c r="Z149" s="8" t="n"/>
      <c r="AA149" s="8" t="n"/>
      <c r="AB149" s="8" t="n"/>
      <c r="AC149" s="8" t="n">
        <v>11295</v>
      </c>
      <c r="AD149" s="8" t="n">
        <v>0</v>
      </c>
      <c r="AE149" s="8" t="n"/>
      <c r="AF149" s="8" t="n">
        <v>0</v>
      </c>
      <c r="AG149" s="8" t="n">
        <v>7530</v>
      </c>
      <c r="AH149" s="8" t="n">
        <v>365</v>
      </c>
      <c r="AI149" s="8" t="n">
        <v>365</v>
      </c>
      <c r="AJ149" s="8" t="n"/>
      <c r="AK149" s="8" t="n">
        <v>1045.833333333333</v>
      </c>
      <c r="AL149" s="8" t="n">
        <v>3195.601851851852</v>
      </c>
      <c r="AM149" s="8" t="n">
        <v>4241.435185185185</v>
      </c>
      <c r="AN149" s="8" t="n">
        <v>365</v>
      </c>
      <c r="AO149" s="8" t="n">
        <v>365</v>
      </c>
      <c r="AP149" s="8" t="n">
        <v>0</v>
      </c>
      <c r="AQ149" s="8" t="n">
        <v>0</v>
      </c>
      <c r="AR149" s="8" t="n">
        <v>0</v>
      </c>
      <c r="AS149" s="8" t="n">
        <v>0</v>
      </c>
      <c r="AT149" s="8" t="n">
        <v>4280.73723</v>
      </c>
      <c r="AU149" s="8" t="n">
        <v>0</v>
      </c>
      <c r="AV149" s="8" t="n">
        <v>0</v>
      </c>
      <c r="AW149" s="8" t="n">
        <v>0</v>
      </c>
      <c r="AX149" s="8" t="n">
        <v>1468.32741</v>
      </c>
      <c r="AY149" s="8" t="n">
        <v>472.272405</v>
      </c>
      <c r="AZ149" s="8" t="n">
        <v>0</v>
      </c>
      <c r="BA149" s="8" t="n">
        <v>0</v>
      </c>
      <c r="BB149" s="8" t="n">
        <v>0</v>
      </c>
      <c r="BC149" s="8" t="n">
        <v>0</v>
      </c>
      <c r="BD149" s="8" t="n">
        <v>0</v>
      </c>
      <c r="BE149" s="8" t="n">
        <v>0</v>
      </c>
      <c r="BF149" s="8" t="n">
        <v>0</v>
      </c>
      <c r="BG149" s="8" t="n">
        <v>0</v>
      </c>
      <c r="BH149" s="8" t="n">
        <v>0</v>
      </c>
      <c r="BI149" s="8" t="n">
        <v>0</v>
      </c>
      <c r="BJ149" s="8" t="n">
        <v>4442.459039999999</v>
      </c>
      <c r="BK149" s="8" t="n">
        <v>364.9377675</v>
      </c>
      <c r="BL149" s="8" t="n">
        <v>4807.396807499998</v>
      </c>
      <c r="BM149" s="4">
        <f>BJ149+BK149</f>
        <v/>
      </c>
    </row>
    <row r="150">
      <c r="A150" s="2" t="inlineStr">
        <is>
          <t>Origin</t>
        </is>
      </c>
      <c r="B150" s="8" t="inlineStr">
        <is>
          <t>1/2/3YR</t>
        </is>
      </c>
      <c r="C150" s="8" t="n">
        <v>4103512903</v>
      </c>
      <c r="D150" s="8" t="inlineStr">
        <is>
          <t>NSW</t>
        </is>
      </c>
      <c r="E150" s="8" t="inlineStr">
        <is>
          <t>Energex</t>
        </is>
      </c>
      <c r="F150" s="8" t="inlineStr">
        <is>
          <t>EA251</t>
        </is>
      </c>
      <c r="G150" s="8" t="n"/>
      <c r="H150" s="8" t="inlineStr">
        <is>
          <t>Y</t>
        </is>
      </c>
      <c r="I150" s="8" t="n"/>
      <c r="J150" s="8" t="n"/>
      <c r="K150" s="8" t="n">
        <v>33.1364</v>
      </c>
      <c r="L150" s="8" t="n"/>
      <c r="M150" s="8" t="n"/>
      <c r="N150" s="8" t="n">
        <v>33.1364</v>
      </c>
      <c r="O150" s="8" t="n">
        <v>33.1364</v>
      </c>
      <c r="P150" s="8" t="n">
        <v>166.2089</v>
      </c>
      <c r="Q150" s="8" t="n">
        <v>0</v>
      </c>
      <c r="R150" s="8" t="n">
        <v>0.25</v>
      </c>
      <c r="S150" s="8" t="n">
        <v>0.25</v>
      </c>
      <c r="T150" s="8" t="n"/>
      <c r="U150" s="8" t="n"/>
      <c r="V150" s="8" t="n"/>
      <c r="W150" s="8" t="n"/>
      <c r="X150" s="8" t="n"/>
      <c r="Y150" s="8" t="n"/>
      <c r="Z150" s="8" t="n"/>
      <c r="AA150" s="8" t="n"/>
      <c r="AB150" s="8" t="n"/>
      <c r="AC150" s="8" t="n">
        <v>3007.8</v>
      </c>
      <c r="AD150" s="8" t="n">
        <v>0</v>
      </c>
      <c r="AE150" s="8" t="n"/>
      <c r="AF150" s="8" t="n">
        <v>9023.4</v>
      </c>
      <c r="AG150" s="8" t="n">
        <v>3007.799999999999</v>
      </c>
      <c r="AH150" s="8" t="n">
        <v>365</v>
      </c>
      <c r="AI150" s="8" t="n">
        <v>365</v>
      </c>
      <c r="AJ150" s="8" t="n"/>
      <c r="AK150" s="8" t="n">
        <v>835.5</v>
      </c>
      <c r="AL150" s="8" t="n">
        <v>2552.916666666667</v>
      </c>
      <c r="AM150" s="8" t="n">
        <v>3388.416666666667</v>
      </c>
      <c r="AN150" s="8" t="n">
        <v>365</v>
      </c>
      <c r="AO150" s="8" t="n">
        <v>365</v>
      </c>
      <c r="AP150" s="8" t="n">
        <v>0</v>
      </c>
      <c r="AQ150" s="8" t="n">
        <v>0</v>
      </c>
      <c r="AR150" s="8" t="n">
        <v>0</v>
      </c>
      <c r="AS150" s="8" t="n">
        <v>0</v>
      </c>
      <c r="AT150" s="8" t="n">
        <v>996.6766392000001</v>
      </c>
      <c r="AU150" s="8" t="n">
        <v>0</v>
      </c>
      <c r="AV150" s="8" t="n">
        <v>0</v>
      </c>
      <c r="AW150" s="8" t="n">
        <v>2990.0299176</v>
      </c>
      <c r="AX150" s="8" t="n">
        <v>996.6766391999997</v>
      </c>
      <c r="AY150" s="8" t="n">
        <v>606.6624850000001</v>
      </c>
      <c r="AZ150" s="8" t="n">
        <v>0</v>
      </c>
      <c r="BA150" s="8" t="n">
        <v>0</v>
      </c>
      <c r="BB150" s="8" t="n">
        <v>0</v>
      </c>
      <c r="BC150" s="8" t="n">
        <v>0</v>
      </c>
      <c r="BD150" s="8" t="n">
        <v>0</v>
      </c>
      <c r="BE150" s="8" t="n">
        <v>0</v>
      </c>
      <c r="BF150" s="8" t="n">
        <v>0</v>
      </c>
      <c r="BG150" s="8" t="n">
        <v>0</v>
      </c>
      <c r="BH150" s="8" t="n">
        <v>0</v>
      </c>
      <c r="BI150" s="8" t="n">
        <v>0</v>
      </c>
      <c r="BJ150" s="8" t="n">
        <v>3397.76127</v>
      </c>
      <c r="BK150" s="8" t="n">
        <v>413.6335125000001</v>
      </c>
      <c r="BL150" s="8" t="n">
        <v>3811.3947825</v>
      </c>
      <c r="BM150" s="4">
        <f>BJ150+BK150</f>
        <v/>
      </c>
    </row>
    <row r="151">
      <c r="A151" s="2" t="inlineStr">
        <is>
          <t>Origin</t>
        </is>
      </c>
      <c r="B151" s="8" t="inlineStr">
        <is>
          <t>1/2/3YR</t>
        </is>
      </c>
      <c r="C151" s="8" t="n">
        <v>3041781236</v>
      </c>
      <c r="D151" s="8" t="inlineStr">
        <is>
          <t>QLD</t>
        </is>
      </c>
      <c r="E151" s="8" t="inlineStr">
        <is>
          <t>Energex</t>
        </is>
      </c>
      <c r="F151" s="8" t="inlineStr">
        <is>
          <t>EBTOUET1</t>
        </is>
      </c>
      <c r="G151" s="8" t="n"/>
      <c r="H151" s="8" t="inlineStr">
        <is>
          <t>Y</t>
        </is>
      </c>
      <c r="I151" s="8" t="n"/>
      <c r="J151" s="8" t="n"/>
      <c r="K151" s="8" t="n">
        <v>30.6625</v>
      </c>
      <c r="L151" s="8" t="n"/>
      <c r="M151" s="8" t="n"/>
      <c r="N151" s="8" t="n">
        <v>30.6625</v>
      </c>
      <c r="O151" s="8" t="n">
        <v>30.6625</v>
      </c>
      <c r="P151" s="8" t="n">
        <v>214.4384</v>
      </c>
      <c r="Q151" s="8" t="n">
        <v>0</v>
      </c>
      <c r="R151" s="8" t="n">
        <v>0.02</v>
      </c>
      <c r="S151" s="8" t="n">
        <v>0.02</v>
      </c>
      <c r="T151" s="8" t="n"/>
      <c r="U151" s="8" t="n"/>
      <c r="V151" s="8" t="n"/>
      <c r="W151" s="8" t="n"/>
      <c r="X151" s="8" t="n"/>
      <c r="Y151" s="8" t="n"/>
      <c r="Z151" s="8" t="n"/>
      <c r="AA151" s="8" t="n"/>
      <c r="AB151" s="8" t="n"/>
      <c r="AC151" s="8" t="n">
        <v>31998.6</v>
      </c>
      <c r="AD151" s="8" t="n">
        <v>0</v>
      </c>
      <c r="AE151" s="8" t="n"/>
      <c r="AF151" s="8" t="n">
        <v>0</v>
      </c>
      <c r="AG151" s="8" t="n">
        <v>21332.4</v>
      </c>
      <c r="AH151" s="8" t="n">
        <v>365</v>
      </c>
      <c r="AI151" s="8" t="n">
        <v>365</v>
      </c>
      <c r="AJ151" s="8" t="n"/>
      <c r="AK151" s="8" t="n">
        <v>2962.833333333334</v>
      </c>
      <c r="AL151" s="8" t="n">
        <v>9053.101851851854</v>
      </c>
      <c r="AM151" s="8" t="n">
        <v>12015.93518518519</v>
      </c>
      <c r="AN151" s="8" t="n">
        <v>365</v>
      </c>
      <c r="AO151" s="8" t="n">
        <v>0</v>
      </c>
      <c r="AP151" s="8" t="n">
        <v>0</v>
      </c>
      <c r="AQ151" s="8" t="n">
        <v>365</v>
      </c>
      <c r="AR151" s="8" t="n">
        <v>0</v>
      </c>
      <c r="AS151" s="8" t="n">
        <v>0</v>
      </c>
      <c r="AT151" s="8" t="n">
        <v>9811.570725</v>
      </c>
      <c r="AU151" s="8" t="n">
        <v>0</v>
      </c>
      <c r="AV151" s="8" t="n">
        <v>0</v>
      </c>
      <c r="AW151" s="8" t="n">
        <v>0</v>
      </c>
      <c r="AX151" s="8" t="n">
        <v>6541.047150000001</v>
      </c>
      <c r="AY151" s="8" t="n">
        <v>782.70016</v>
      </c>
      <c r="AZ151" s="8" t="n">
        <v>0</v>
      </c>
      <c r="BA151" s="8" t="n">
        <v>0</v>
      </c>
      <c r="BB151" s="8" t="n">
        <v>0</v>
      </c>
      <c r="BC151" s="8" t="n">
        <v>0</v>
      </c>
      <c r="BD151" s="8" t="n">
        <v>0</v>
      </c>
      <c r="BE151" s="8" t="n">
        <v>0</v>
      </c>
      <c r="BF151" s="8" t="n">
        <v>0</v>
      </c>
      <c r="BG151" s="8" t="n">
        <v>0</v>
      </c>
      <c r="BH151" s="8" t="n">
        <v>0</v>
      </c>
      <c r="BI151" s="8" t="n">
        <v>0</v>
      </c>
      <c r="BJ151" s="8" t="n">
        <v>14568.695925</v>
      </c>
      <c r="BK151" s="8" t="n">
        <v>697.3146879999999</v>
      </c>
      <c r="BL151" s="8" t="n">
        <v>15266.010613</v>
      </c>
      <c r="BM151" s="4">
        <f>BJ151+BK151</f>
        <v/>
      </c>
    </row>
    <row r="152">
      <c r="A152" s="2" t="inlineStr">
        <is>
          <t>Origin</t>
        </is>
      </c>
      <c r="B152" s="8" t="inlineStr">
        <is>
          <t>1/2/3YR</t>
        </is>
      </c>
      <c r="C152" s="8" t="n">
        <v>3041512332</v>
      </c>
      <c r="D152" s="8" t="n"/>
      <c r="E152" s="8" t="n"/>
      <c r="F152" s="8" t="n"/>
      <c r="G152" s="8" t="n"/>
      <c r="H152" s="8" t="inlineStr">
        <is>
          <t>Y</t>
        </is>
      </c>
      <c r="I152" s="8" t="n"/>
      <c r="J152" s="8" t="n"/>
      <c r="K152" s="8" t="n"/>
      <c r="L152" s="8" t="n"/>
      <c r="M152" s="8" t="n"/>
      <c r="N152" s="8" t="n"/>
      <c r="O152" s="8" t="n"/>
      <c r="P152" s="8" t="n"/>
      <c r="Q152" s="8" t="n">
        <v>0</v>
      </c>
      <c r="R152" s="8" t="n">
        <v>0</v>
      </c>
      <c r="S152" s="8" t="n">
        <v>0</v>
      </c>
      <c r="T152" s="8" t="n"/>
      <c r="U152" s="8" t="n"/>
      <c r="V152" s="8" t="n"/>
      <c r="W152" s="8" t="n"/>
      <c r="X152" s="8" t="n"/>
      <c r="Y152" s="8" t="n"/>
      <c r="Z152" s="8" t="n"/>
      <c r="AA152" s="8" t="n"/>
      <c r="AB152" s="8" t="n"/>
      <c r="AC152" s="8" t="n"/>
      <c r="AD152" s="8" t="n"/>
      <c r="AE152" s="8" t="n"/>
      <c r="AF152" s="8" t="n"/>
      <c r="AG152" s="8" t="n"/>
      <c r="AH152" s="8" t="n">
        <v>365</v>
      </c>
      <c r="AI152" s="8" t="n">
        <v>365</v>
      </c>
      <c r="AJ152" s="8" t="n"/>
      <c r="AK152" s="8" t="n"/>
      <c r="AL152" s="8" t="n"/>
      <c r="AM152" s="8" t="n"/>
      <c r="AN152" s="8" t="n">
        <v>365</v>
      </c>
      <c r="AO152" s="8" t="n"/>
      <c r="AP152" s="8" t="n"/>
      <c r="AQ152" s="8" t="n"/>
      <c r="AR152" s="8" t="n"/>
      <c r="AS152" s="8" t="n"/>
      <c r="AT152" s="8" t="n"/>
      <c r="AU152" s="8" t="n"/>
      <c r="AV152" s="8" t="n">
        <v>0</v>
      </c>
      <c r="AW152" s="8" t="n"/>
      <c r="AX152" s="8" t="n"/>
      <c r="AY152" s="8" t="n">
        <v>0</v>
      </c>
      <c r="AZ152" s="8" t="n">
        <v>0</v>
      </c>
      <c r="BA152" s="8" t="n">
        <v>0</v>
      </c>
      <c r="BB152" s="8" t="n"/>
      <c r="BC152" s="8" t="n"/>
      <c r="BD152" s="8" t="n"/>
      <c r="BE152" s="8" t="n"/>
      <c r="BF152" s="8" t="n"/>
      <c r="BG152" s="8" t="n"/>
      <c r="BH152" s="8" t="n"/>
      <c r="BI152" s="8" t="n"/>
      <c r="BJ152" s="8" t="n"/>
      <c r="BK152" s="8" t="n"/>
      <c r="BL152" s="8" t="n"/>
      <c r="BM152" s="4">
        <f>BJ152+BK152</f>
        <v/>
      </c>
    </row>
    <row r="153">
      <c r="A153" s="2" t="inlineStr">
        <is>
          <t>Origin</t>
        </is>
      </c>
      <c r="B153" s="8" t="inlineStr">
        <is>
          <t>1/2/3YR</t>
        </is>
      </c>
      <c r="C153" s="8" t="n">
        <v>6408293833</v>
      </c>
      <c r="D153" s="8" t="inlineStr">
        <is>
          <t>VIC</t>
        </is>
      </c>
      <c r="E153" s="8" t="n"/>
      <c r="F153" s="8" t="inlineStr">
        <is>
          <t>LVM1R</t>
        </is>
      </c>
      <c r="G153" s="8" t="n">
        <v>0</v>
      </c>
      <c r="H153" s="8" t="inlineStr">
        <is>
          <t>Y</t>
        </is>
      </c>
      <c r="I153" s="8" t="n"/>
      <c r="J153" s="8" t="n"/>
      <c r="K153" s="8" t="n">
        <v>25.6091</v>
      </c>
      <c r="L153" s="8" t="n"/>
      <c r="M153" s="8" t="n"/>
      <c r="N153" s="8" t="n">
        <v>25.6091</v>
      </c>
      <c r="O153" s="8" t="n">
        <v>25.6091</v>
      </c>
      <c r="P153" s="8" t="n">
        <v>154</v>
      </c>
      <c r="Q153" s="8" t="n">
        <v>0</v>
      </c>
      <c r="R153" s="8" t="n">
        <v>0.15</v>
      </c>
      <c r="S153" s="8" t="n">
        <v>0.15</v>
      </c>
      <c r="T153" s="8" t="n"/>
      <c r="U153" s="8" t="n"/>
      <c r="V153" s="8" t="n"/>
      <c r="W153" s="8" t="n"/>
      <c r="X153" s="8" t="n"/>
      <c r="Y153" s="8" t="n"/>
      <c r="Z153" s="8" t="n"/>
      <c r="AA153" s="8" t="n"/>
      <c r="AB153" s="8" t="n"/>
      <c r="AC153" s="8" t="n">
        <v>7884</v>
      </c>
      <c r="AD153" s="8" t="n">
        <v>0</v>
      </c>
      <c r="AE153" s="8" t="n"/>
      <c r="AF153" s="8" t="n">
        <v>0</v>
      </c>
      <c r="AG153" s="8" t="n">
        <v>5256</v>
      </c>
      <c r="AH153" s="8" t="n">
        <v>365</v>
      </c>
      <c r="AI153" s="8" t="n">
        <v>365</v>
      </c>
      <c r="AJ153" s="8" t="n"/>
      <c r="AK153" s="8" t="n">
        <v>730.0000000000001</v>
      </c>
      <c r="AL153" s="8" t="n">
        <v>2230.555555555556</v>
      </c>
      <c r="AM153" s="8" t="n">
        <v>2960.555555555556</v>
      </c>
      <c r="AN153" s="8" t="n">
        <v>365</v>
      </c>
      <c r="AO153" s="8" t="n">
        <v>365</v>
      </c>
      <c r="AP153" s="8" t="n">
        <v>0</v>
      </c>
      <c r="AQ153" s="8" t="n">
        <v>0</v>
      </c>
      <c r="AR153" s="8" t="n">
        <v>0</v>
      </c>
      <c r="AS153" s="8" t="n">
        <v>0</v>
      </c>
      <c r="AT153" s="8" t="n">
        <v>2019.021444</v>
      </c>
      <c r="AU153" s="8" t="n">
        <v>0</v>
      </c>
      <c r="AV153" s="8" t="n">
        <v>0</v>
      </c>
      <c r="AW153" s="8" t="n">
        <v>0</v>
      </c>
      <c r="AX153" s="8" t="n">
        <v>1346.014296</v>
      </c>
      <c r="AY153" s="8" t="n">
        <v>562.1</v>
      </c>
      <c r="AZ153" s="8" t="n">
        <v>0</v>
      </c>
      <c r="BA153" s="8" t="n">
        <v>0</v>
      </c>
      <c r="BB153" s="8" t="n">
        <v>0</v>
      </c>
      <c r="BC153" s="8" t="n">
        <v>0</v>
      </c>
      <c r="BD153" s="8" t="n">
        <v>0</v>
      </c>
      <c r="BE153" s="8" t="n">
        <v>0</v>
      </c>
      <c r="BF153" s="8" t="n">
        <v>0</v>
      </c>
      <c r="BG153" s="8" t="n">
        <v>0</v>
      </c>
      <c r="BH153" s="8" t="n">
        <v>0</v>
      </c>
      <c r="BI153" s="8" t="n">
        <v>0</v>
      </c>
      <c r="BJ153" s="8" t="n">
        <v>2600.25489</v>
      </c>
      <c r="BK153" s="8" t="n">
        <v>434.35</v>
      </c>
      <c r="BL153" s="8" t="n">
        <v>3034.60489</v>
      </c>
      <c r="BM153" s="4">
        <f>BJ153+BK153</f>
        <v/>
      </c>
    </row>
    <row r="154">
      <c r="A154" s="2" t="inlineStr">
        <is>
          <t>Origin</t>
        </is>
      </c>
      <c r="B154" s="8" t="inlineStr">
        <is>
          <t>1/2/3YR</t>
        </is>
      </c>
      <c r="C154" s="8" t="n">
        <v>2002601115</v>
      </c>
      <c r="D154" s="8" t="inlineStr">
        <is>
          <t>SA</t>
        </is>
      </c>
      <c r="E154" s="8" t="n"/>
      <c r="F154" s="8" t="inlineStr">
        <is>
          <t>SBTOU</t>
        </is>
      </c>
      <c r="G154" s="8" t="n">
        <v>0</v>
      </c>
      <c r="H154" s="8" t="inlineStr">
        <is>
          <t>Y</t>
        </is>
      </c>
      <c r="I154" s="8" t="n"/>
      <c r="J154" s="8" t="n"/>
      <c r="K154" s="8" t="n">
        <v>75.9209</v>
      </c>
      <c r="L154" s="8" t="n"/>
      <c r="M154" s="8" t="n"/>
      <c r="N154" s="8" t="n">
        <v>43.6216</v>
      </c>
      <c r="O154" s="8" t="n">
        <v>35.2242</v>
      </c>
      <c r="P154" s="8" t="n">
        <v>185.581</v>
      </c>
      <c r="Q154" s="8" t="n">
        <v>0</v>
      </c>
      <c r="R154" s="8" t="n">
        <v>0.18</v>
      </c>
      <c r="S154" s="8" t="n">
        <v>0.18</v>
      </c>
      <c r="T154" s="8" t="n"/>
      <c r="U154" s="8" t="n"/>
      <c r="V154" s="8" t="n"/>
      <c r="W154" s="8" t="n"/>
      <c r="X154" s="8" t="n"/>
      <c r="Y154" s="8" t="n"/>
      <c r="Z154" s="8" t="n"/>
      <c r="AA154" s="8" t="n"/>
      <c r="AB154" s="8" t="n"/>
      <c r="AC154" s="8" t="n">
        <v>876</v>
      </c>
      <c r="AD154" s="8" t="n">
        <v>0</v>
      </c>
      <c r="AE154" s="8" t="n"/>
      <c r="AF154" s="8" t="n">
        <v>2628</v>
      </c>
      <c r="AG154" s="8" t="n">
        <v>875.9999999999998</v>
      </c>
      <c r="AH154" s="8" t="n">
        <v>365</v>
      </c>
      <c r="AI154" s="8" t="n">
        <v>365</v>
      </c>
      <c r="AJ154" s="8" t="n"/>
      <c r="AK154" s="8" t="n">
        <v>243.3333333333333</v>
      </c>
      <c r="AL154" s="8" t="n">
        <v>743.5185185185185</v>
      </c>
      <c r="AM154" s="8" t="n">
        <v>986.8518518518518</v>
      </c>
      <c r="AN154" s="8" t="n">
        <v>365</v>
      </c>
      <c r="AO154" s="8" t="n">
        <v>365</v>
      </c>
      <c r="AP154" s="8" t="n">
        <v>0</v>
      </c>
      <c r="AQ154" s="8" t="n">
        <v>0</v>
      </c>
      <c r="AR154" s="8" t="n">
        <v>0</v>
      </c>
      <c r="AS154" s="8" t="n">
        <v>0</v>
      </c>
      <c r="AT154" s="8" t="n">
        <v>665.067084</v>
      </c>
      <c r="AU154" s="8" t="n">
        <v>0</v>
      </c>
      <c r="AV154" s="8" t="n">
        <v>0</v>
      </c>
      <c r="AW154" s="8" t="n">
        <v>1146.375648</v>
      </c>
      <c r="AX154" s="8" t="n">
        <v>308.563992</v>
      </c>
      <c r="AY154" s="8" t="n">
        <v>677.3706500000001</v>
      </c>
      <c r="AZ154" s="8" t="n">
        <v>0</v>
      </c>
      <c r="BA154" s="8" t="n">
        <v>0</v>
      </c>
      <c r="BB154" s="8" t="n">
        <v>0</v>
      </c>
      <c r="BC154" s="8" t="n">
        <v>0</v>
      </c>
      <c r="BD154" s="8" t="n">
        <v>0</v>
      </c>
      <c r="BE154" s="8" t="n">
        <v>0</v>
      </c>
      <c r="BF154" s="8" t="n">
        <v>0</v>
      </c>
      <c r="BG154" s="8" t="n">
        <v>0</v>
      </c>
      <c r="BH154" s="8" t="n">
        <v>0</v>
      </c>
      <c r="BI154" s="8" t="n">
        <v>0</v>
      </c>
      <c r="BJ154" s="8" t="n">
        <v>1580.3686488</v>
      </c>
      <c r="BK154" s="8" t="n">
        <v>504.9490300000001</v>
      </c>
      <c r="BL154" s="8" t="n">
        <v>2085.317678800001</v>
      </c>
      <c r="BM154" s="4">
        <f>BJ154+BK154</f>
        <v/>
      </c>
    </row>
    <row r="155">
      <c r="A155" s="2" t="inlineStr">
        <is>
          <t>Origin</t>
        </is>
      </c>
      <c r="B155" s="8" t="inlineStr">
        <is>
          <t>1/2/3YR</t>
        </is>
      </c>
      <c r="C155" s="8" t="n">
        <v>2001223248</v>
      </c>
      <c r="D155" s="8" t="inlineStr">
        <is>
          <t>SA</t>
        </is>
      </c>
      <c r="E155" s="8" t="n"/>
      <c r="F155" s="8" t="inlineStr">
        <is>
          <t>SBTOU</t>
        </is>
      </c>
      <c r="G155" s="8" t="n">
        <v>0</v>
      </c>
      <c r="H155" s="8" t="inlineStr">
        <is>
          <t>Y</t>
        </is>
      </c>
      <c r="I155" s="8" t="n"/>
      <c r="J155" s="8" t="n"/>
      <c r="K155" s="8" t="n">
        <v>75.9209</v>
      </c>
      <c r="L155" s="8" t="n"/>
      <c r="M155" s="8" t="n"/>
      <c r="N155" s="8" t="n">
        <v>43.6216</v>
      </c>
      <c r="O155" s="8" t="n">
        <v>35.2242</v>
      </c>
      <c r="P155" s="8" t="n">
        <v>185.581</v>
      </c>
      <c r="Q155" s="8" t="n">
        <v>0</v>
      </c>
      <c r="R155" s="8" t="n">
        <v>0.18</v>
      </c>
      <c r="S155" s="8" t="n">
        <v>0.18</v>
      </c>
      <c r="T155" s="8" t="n"/>
      <c r="U155" s="8" t="n"/>
      <c r="V155" s="8" t="n"/>
      <c r="W155" s="8" t="n"/>
      <c r="X155" s="8" t="n"/>
      <c r="Y155" s="8" t="n"/>
      <c r="Z155" s="8" t="n"/>
      <c r="AA155" s="8" t="n"/>
      <c r="AB155" s="8" t="n"/>
      <c r="AC155" s="8" t="n">
        <v>1168</v>
      </c>
      <c r="AD155" s="8" t="n">
        <v>0</v>
      </c>
      <c r="AE155" s="8" t="n"/>
      <c r="AF155" s="8" t="n">
        <v>3504</v>
      </c>
      <c r="AG155" s="8" t="n">
        <v>1168</v>
      </c>
      <c r="AH155" s="8" t="n">
        <v>365</v>
      </c>
      <c r="AI155" s="8" t="n">
        <v>365</v>
      </c>
      <c r="AJ155" s="8" t="n"/>
      <c r="AK155" s="8" t="n">
        <v>324.4444444444445</v>
      </c>
      <c r="AL155" s="8" t="n">
        <v>991.3580246913581</v>
      </c>
      <c r="AM155" s="8" t="n">
        <v>1315.802469135803</v>
      </c>
      <c r="AN155" s="8" t="n">
        <v>365</v>
      </c>
      <c r="AO155" s="8" t="n">
        <v>365</v>
      </c>
      <c r="AP155" s="8" t="n">
        <v>0</v>
      </c>
      <c r="AQ155" s="8" t="n">
        <v>0</v>
      </c>
      <c r="AR155" s="8" t="n">
        <v>0</v>
      </c>
      <c r="AS155" s="8" t="n">
        <v>0</v>
      </c>
      <c r="AT155" s="8" t="n">
        <v>886.756112</v>
      </c>
      <c r="AU155" s="8" t="n">
        <v>0</v>
      </c>
      <c r="AV155" s="8" t="n">
        <v>0</v>
      </c>
      <c r="AW155" s="8" t="n">
        <v>1528.500864</v>
      </c>
      <c r="AX155" s="8" t="n">
        <v>411.418656</v>
      </c>
      <c r="AY155" s="8" t="n">
        <v>677.3706500000001</v>
      </c>
      <c r="AZ155" s="8" t="n">
        <v>0</v>
      </c>
      <c r="BA155" s="8" t="n">
        <v>0</v>
      </c>
      <c r="BB155" s="8" t="n">
        <v>0</v>
      </c>
      <c r="BC155" s="8" t="n">
        <v>0</v>
      </c>
      <c r="BD155" s="8" t="n">
        <v>0</v>
      </c>
      <c r="BE155" s="8" t="n">
        <v>0</v>
      </c>
      <c r="BF155" s="8" t="n">
        <v>0</v>
      </c>
      <c r="BG155" s="8" t="n">
        <v>0</v>
      </c>
      <c r="BH155" s="8" t="n">
        <v>0</v>
      </c>
      <c r="BI155" s="8" t="n">
        <v>0</v>
      </c>
      <c r="BJ155" s="8" t="n">
        <v>2107.1581984</v>
      </c>
      <c r="BK155" s="8" t="n">
        <v>504.9490300000001</v>
      </c>
      <c r="BL155" s="8" t="n">
        <v>2612.1072284</v>
      </c>
      <c r="BM155" s="4">
        <f>BJ155+BK155</f>
        <v/>
      </c>
    </row>
    <row r="156">
      <c r="A156" s="5" t="inlineStr">
        <is>
          <t>Origin</t>
        </is>
      </c>
      <c r="B156" s="9" t="inlineStr">
        <is>
          <t>1/2/3YR</t>
        </is>
      </c>
      <c r="C156" s="9" t="n">
        <v>6305487004</v>
      </c>
      <c r="D156" s="9" t="inlineStr">
        <is>
          <t>VIC</t>
        </is>
      </c>
      <c r="E156" s="9" t="n"/>
      <c r="F156" s="9" t="inlineStr">
        <is>
          <t>NAST12</t>
        </is>
      </c>
      <c r="G156" s="9" t="n">
        <v>0</v>
      </c>
      <c r="H156" s="9" t="inlineStr">
        <is>
          <t>Y</t>
        </is>
      </c>
      <c r="I156" s="9" t="n"/>
      <c r="J156" s="9" t="n"/>
      <c r="K156" s="9" t="n">
        <v>37.8994</v>
      </c>
      <c r="L156" s="9" t="n"/>
      <c r="M156" s="9" t="n"/>
      <c r="N156" s="9" t="n"/>
      <c r="O156" s="9" t="n">
        <v>19.4997</v>
      </c>
      <c r="P156" s="9" t="n">
        <v>129.3897</v>
      </c>
      <c r="Q156" s="9" t="n">
        <v>0</v>
      </c>
      <c r="R156" s="9" t="n">
        <v>0.15</v>
      </c>
      <c r="S156" s="9" t="n">
        <v>0.15</v>
      </c>
      <c r="T156" s="9" t="n"/>
      <c r="U156" s="9" t="n"/>
      <c r="V156" s="9" t="n"/>
      <c r="W156" s="9" t="n"/>
      <c r="X156" s="9" t="n"/>
      <c r="Y156" s="9" t="n"/>
      <c r="Z156" s="9" t="n"/>
      <c r="AA156" s="9" t="n"/>
      <c r="AB156" s="9" t="n"/>
      <c r="AC156" s="9" t="n">
        <v>6789</v>
      </c>
      <c r="AD156" s="9" t="n">
        <v>0</v>
      </c>
      <c r="AE156" s="9" t="n"/>
      <c r="AF156" s="9" t="n">
        <v>0</v>
      </c>
      <c r="AG156" s="9" t="n">
        <v>4526</v>
      </c>
      <c r="AH156" s="9" t="n">
        <v>365</v>
      </c>
      <c r="AI156" s="9" t="n">
        <v>365</v>
      </c>
      <c r="AJ156" s="9" t="n"/>
      <c r="AK156" s="9" t="n">
        <v>628.6111111111112</v>
      </c>
      <c r="AL156" s="9" t="n">
        <v>1920.756172839506</v>
      </c>
      <c r="AM156" s="9" t="n">
        <v>2549.367283950618</v>
      </c>
      <c r="AN156" s="9" t="n">
        <v>365</v>
      </c>
      <c r="AO156" s="9" t="n">
        <v>365</v>
      </c>
      <c r="AP156" s="9" t="n">
        <v>0</v>
      </c>
      <c r="AQ156" s="9" t="n">
        <v>0</v>
      </c>
      <c r="AR156" s="9" t="n">
        <v>0</v>
      </c>
      <c r="AS156" s="9" t="n">
        <v>0</v>
      </c>
      <c r="AT156" s="9" t="n">
        <v>2572.990266</v>
      </c>
      <c r="AU156" s="9" t="n">
        <v>0</v>
      </c>
      <c r="AV156" s="9" t="n">
        <v>0</v>
      </c>
      <c r="AW156" s="9" t="n">
        <v>0</v>
      </c>
      <c r="AX156" s="9" t="n">
        <v>882.556422</v>
      </c>
      <c r="AY156" s="9" t="n">
        <v>472.272405</v>
      </c>
      <c r="AZ156" s="9" t="n">
        <v>0</v>
      </c>
      <c r="BA156" s="9" t="n">
        <v>0</v>
      </c>
      <c r="BB156" s="9" t="n">
        <v>0</v>
      </c>
      <c r="BC156" s="9" t="n">
        <v>0</v>
      </c>
      <c r="BD156" s="9" t="n">
        <v>0</v>
      </c>
      <c r="BE156" s="9" t="n">
        <v>0</v>
      </c>
      <c r="BF156" s="9" t="n">
        <v>0</v>
      </c>
      <c r="BG156" s="9" t="n">
        <v>0</v>
      </c>
      <c r="BH156" s="9" t="n">
        <v>0</v>
      </c>
      <c r="BI156" s="9" t="n">
        <v>0</v>
      </c>
      <c r="BJ156" s="9" t="n">
        <v>2670.195168</v>
      </c>
      <c r="BK156" s="9" t="n">
        <v>364.9377675</v>
      </c>
      <c r="BL156" s="9" t="n">
        <v>3035.1329355</v>
      </c>
      <c r="BM156" s="7">
        <f>BJ156+BK156</f>
        <v/>
      </c>
    </row>
    <row r="159" ht="30.75" customHeight="1">
      <c r="A159" s="38" t="inlineStr">
        <is>
          <t>NZ TOU Electricity Rates raw source schedule</t>
        </is>
      </c>
      <c r="B159" s="38" t="n"/>
      <c r="C159" s="38" t="n"/>
      <c r="D159" s="38" t="n"/>
      <c r="E159" s="38" t="n"/>
      <c r="F159" s="38" t="n"/>
      <c r="G159" s="38" t="n"/>
      <c r="H159" s="38" t="n"/>
      <c r="I159" s="38" t="n"/>
      <c r="J159" s="38" t="n"/>
      <c r="K159" s="38" t="n"/>
      <c r="L159" s="38" t="n"/>
      <c r="M159" s="38" t="n"/>
      <c r="N159" s="38" t="n"/>
    </row>
    <row r="160">
      <c r="A160" s="39" t="inlineStr">
        <is>
          <t>Unnamed: 0</t>
        </is>
      </c>
      <c r="B160" s="40" t="inlineStr">
        <is>
          <t>Unnamed: 1</t>
        </is>
      </c>
      <c r="C160" s="40" t="inlineStr">
        <is>
          <t>0000-0400</t>
        </is>
      </c>
      <c r="D160" s="40" t="inlineStr">
        <is>
          <t>0400-0800</t>
        </is>
      </c>
      <c r="E160" s="40" t="inlineStr">
        <is>
          <t>0800-1200</t>
        </is>
      </c>
      <c r="F160" s="40" t="inlineStr">
        <is>
          <t>1200-1600</t>
        </is>
      </c>
      <c r="G160" s="40" t="inlineStr">
        <is>
          <t>1600-2000</t>
        </is>
      </c>
      <c r="H160" s="40" t="inlineStr">
        <is>
          <t>2000-2400</t>
        </is>
      </c>
      <c r="I160" s="40" t="inlineStr">
        <is>
          <t>0000-0400.1</t>
        </is>
      </c>
      <c r="J160" s="40" t="inlineStr">
        <is>
          <t>0400-0800.1</t>
        </is>
      </c>
      <c r="K160" s="40" t="inlineStr">
        <is>
          <t>0800-1200.1</t>
        </is>
      </c>
      <c r="L160" s="40" t="inlineStr">
        <is>
          <t>1200-1600.1</t>
        </is>
      </c>
      <c r="M160" s="40" t="inlineStr">
        <is>
          <t>1600-2000.1</t>
        </is>
      </c>
      <c r="N160" s="41" t="inlineStr">
        <is>
          <t>2000-2400.1</t>
        </is>
      </c>
    </row>
    <row r="161">
      <c r="A161" s="2" t="inlineStr">
        <is>
          <t>TWH0331</t>
        </is>
      </c>
      <c r="B161" s="8" t="inlineStr">
        <is>
          <t>2026-07-01 00:00:00</t>
        </is>
      </c>
      <c r="C161" s="8" t="n">
        <v>11.81</v>
      </c>
      <c r="D161" s="8" t="n">
        <v>14.33</v>
      </c>
      <c r="E161" s="8" t="n">
        <v>22.14</v>
      </c>
      <c r="F161" s="8" t="n">
        <v>15.77</v>
      </c>
      <c r="G161" s="8" t="n">
        <v>23.75</v>
      </c>
      <c r="H161" s="8" t="n">
        <v>15.04</v>
      </c>
      <c r="I161" s="8" t="n">
        <v>11.78</v>
      </c>
      <c r="J161" s="8" t="n">
        <v>11.33</v>
      </c>
      <c r="K161" s="8" t="n">
        <v>14.57</v>
      </c>
      <c r="L161" s="8" t="n">
        <v>12.56</v>
      </c>
      <c r="M161" s="8" t="n">
        <v>16.41</v>
      </c>
      <c r="N161" s="4" t="n">
        <v>14.07</v>
      </c>
    </row>
    <row r="162">
      <c r="A162" s="2" t="inlineStr">
        <is>
          <t>TWH0331</t>
        </is>
      </c>
      <c r="B162" s="8" t="inlineStr">
        <is>
          <t>2026-08-01 00:00:00</t>
        </is>
      </c>
      <c r="C162" s="8" t="n">
        <v>12.13</v>
      </c>
      <c r="D162" s="8" t="n">
        <v>15.16</v>
      </c>
      <c r="E162" s="8" t="n">
        <v>15.93</v>
      </c>
      <c r="F162" s="8" t="n">
        <v>14.71</v>
      </c>
      <c r="G162" s="8" t="n">
        <v>16.82</v>
      </c>
      <c r="H162" s="8" t="n">
        <v>15.22</v>
      </c>
      <c r="I162" s="8" t="n">
        <v>13.63</v>
      </c>
      <c r="J162" s="8" t="n">
        <v>13.31</v>
      </c>
      <c r="K162" s="8" t="n">
        <v>15.46</v>
      </c>
      <c r="L162" s="8" t="n">
        <v>14.39</v>
      </c>
      <c r="M162" s="8" t="n">
        <v>16.87</v>
      </c>
      <c r="N162" s="4" t="n">
        <v>14.92</v>
      </c>
    </row>
    <row r="163">
      <c r="A163" s="2" t="inlineStr">
        <is>
          <t>TWH0331</t>
        </is>
      </c>
      <c r="B163" s="8" t="inlineStr">
        <is>
          <t>2026-09-01 00:00:00</t>
        </is>
      </c>
      <c r="C163" s="8" t="n">
        <v>6.42</v>
      </c>
      <c r="D163" s="8" t="n">
        <v>10.94</v>
      </c>
      <c r="E163" s="8" t="n">
        <v>13.46</v>
      </c>
      <c r="F163" s="8" t="n">
        <v>11.66</v>
      </c>
      <c r="G163" s="8" t="n">
        <v>15.34</v>
      </c>
      <c r="H163" s="8" t="n">
        <v>11.37</v>
      </c>
      <c r="I163" s="8" t="n">
        <v>5.51</v>
      </c>
      <c r="J163" s="8" t="n">
        <v>6.05</v>
      </c>
      <c r="K163" s="8" t="n">
        <v>8.869999999999999</v>
      </c>
      <c r="L163" s="8" t="n">
        <v>7.88</v>
      </c>
      <c r="M163" s="8" t="n">
        <v>11.41</v>
      </c>
      <c r="N163" s="4" t="n">
        <v>9.31</v>
      </c>
    </row>
    <row r="164">
      <c r="A164" s="2" t="inlineStr">
        <is>
          <t>TWH0331</t>
        </is>
      </c>
      <c r="B164" s="8" t="inlineStr">
        <is>
          <t>2026-10-01 00:00:00</t>
        </is>
      </c>
      <c r="C164" s="8" t="n">
        <v>6.24</v>
      </c>
      <c r="D164" s="8" t="n">
        <v>8.41</v>
      </c>
      <c r="E164" s="8" t="n">
        <v>9.859999999999999</v>
      </c>
      <c r="F164" s="8" t="n">
        <v>8.449999999999999</v>
      </c>
      <c r="G164" s="8" t="n">
        <v>10.04</v>
      </c>
      <c r="H164" s="8" t="n">
        <v>9.949999999999999</v>
      </c>
      <c r="I164" s="8" t="n">
        <v>7.04</v>
      </c>
      <c r="J164" s="8" t="n">
        <v>6.95</v>
      </c>
      <c r="K164" s="8" t="n">
        <v>7.83</v>
      </c>
      <c r="L164" s="8" t="n">
        <v>6.74</v>
      </c>
      <c r="M164" s="8" t="n">
        <v>8.44</v>
      </c>
      <c r="N164" s="4" t="n">
        <v>8.16</v>
      </c>
    </row>
    <row r="165">
      <c r="A165" s="2" t="inlineStr">
        <is>
          <t>TWH0331</t>
        </is>
      </c>
      <c r="B165" s="8" t="inlineStr">
        <is>
          <t>2026-11-01 00:00:00</t>
        </is>
      </c>
      <c r="C165" s="8" t="n">
        <v>4.95</v>
      </c>
      <c r="D165" s="8" t="n">
        <v>7.62</v>
      </c>
      <c r="E165" s="8" t="n">
        <v>10.97</v>
      </c>
      <c r="F165" s="8" t="n">
        <v>10.25</v>
      </c>
      <c r="G165" s="8" t="n">
        <v>10.87</v>
      </c>
      <c r="H165" s="8" t="n">
        <v>8.84</v>
      </c>
      <c r="I165" s="8" t="n">
        <v>4.91</v>
      </c>
      <c r="J165" s="8" t="n">
        <v>4.39</v>
      </c>
      <c r="K165" s="8" t="n">
        <v>7.22</v>
      </c>
      <c r="L165" s="8" t="n">
        <v>6.28</v>
      </c>
      <c r="M165" s="8" t="n">
        <v>7.18</v>
      </c>
      <c r="N165" s="4" t="n">
        <v>6.81</v>
      </c>
    </row>
    <row r="166">
      <c r="A166" s="2" t="inlineStr">
        <is>
          <t>TWH0331</t>
        </is>
      </c>
      <c r="B166" s="8" t="inlineStr">
        <is>
          <t>2026-12-01 00:00:00</t>
        </is>
      </c>
      <c r="C166" s="8" t="n">
        <v>5.66</v>
      </c>
      <c r="D166" s="8" t="n">
        <v>6.22</v>
      </c>
      <c r="E166" s="8" t="n">
        <v>10.15</v>
      </c>
      <c r="F166" s="8" t="n">
        <v>9.380000000000001</v>
      </c>
      <c r="G166" s="8" t="n">
        <v>8.99</v>
      </c>
      <c r="H166" s="8" t="n">
        <v>7.39</v>
      </c>
      <c r="I166" s="8" t="n">
        <v>5.4</v>
      </c>
      <c r="J166" s="8" t="n">
        <v>5.05</v>
      </c>
      <c r="K166" s="8" t="n">
        <v>7.04</v>
      </c>
      <c r="L166" s="8" t="n">
        <v>6.88</v>
      </c>
      <c r="M166" s="8" t="n">
        <v>7.4</v>
      </c>
      <c r="N166" s="4" t="n">
        <v>6.54</v>
      </c>
    </row>
    <row r="167">
      <c r="A167" s="2" t="inlineStr">
        <is>
          <t>TWH0331</t>
        </is>
      </c>
      <c r="B167" s="8" t="inlineStr">
        <is>
          <t>2027-01-01 00:00:00</t>
        </is>
      </c>
      <c r="C167" s="8" t="n">
        <v>11.47</v>
      </c>
      <c r="D167" s="8" t="n">
        <v>12.11</v>
      </c>
      <c r="E167" s="8" t="n">
        <v>15.67</v>
      </c>
      <c r="F167" s="8" t="n">
        <v>16.86</v>
      </c>
      <c r="G167" s="8" t="n">
        <v>17.71</v>
      </c>
      <c r="H167" s="8" t="n">
        <v>15.3</v>
      </c>
      <c r="I167" s="8" t="n">
        <v>8.73</v>
      </c>
      <c r="J167" s="8" t="n">
        <v>7.61</v>
      </c>
      <c r="K167" s="8" t="n">
        <v>9.85</v>
      </c>
      <c r="L167" s="8" t="n">
        <v>10.28</v>
      </c>
      <c r="M167" s="8" t="n">
        <v>12.15</v>
      </c>
      <c r="N167" s="4" t="n">
        <v>10.96</v>
      </c>
    </row>
    <row r="168">
      <c r="A168" s="2" t="inlineStr">
        <is>
          <t>TWH0331</t>
        </is>
      </c>
      <c r="B168" s="8" t="inlineStr">
        <is>
          <t>2027-02-01 00:00:00</t>
        </is>
      </c>
      <c r="C168" s="8" t="n">
        <v>10.28</v>
      </c>
      <c r="D168" s="8" t="n">
        <v>12.4</v>
      </c>
      <c r="E168" s="8" t="n">
        <v>15.38</v>
      </c>
      <c r="F168" s="8" t="n">
        <v>14.88</v>
      </c>
      <c r="G168" s="8" t="n">
        <v>16.6</v>
      </c>
      <c r="H168" s="8" t="n">
        <v>14.46</v>
      </c>
      <c r="I168" s="8" t="n">
        <v>9.08</v>
      </c>
      <c r="J168" s="8" t="n">
        <v>7.62</v>
      </c>
      <c r="K168" s="8" t="n">
        <v>11.29</v>
      </c>
      <c r="L168" s="8" t="n">
        <v>11.51</v>
      </c>
      <c r="M168" s="8" t="n">
        <v>13.42</v>
      </c>
      <c r="N168" s="4" t="n">
        <v>11.94</v>
      </c>
    </row>
    <row r="169">
      <c r="A169" s="2" t="inlineStr">
        <is>
          <t>TWH0331</t>
        </is>
      </c>
      <c r="B169" s="8" t="inlineStr">
        <is>
          <t>2027-03-01 00:00:00</t>
        </is>
      </c>
      <c r="C169" s="8" t="n">
        <v>10.59</v>
      </c>
      <c r="D169" s="8" t="n">
        <v>12.95</v>
      </c>
      <c r="E169" s="8" t="n">
        <v>14.7</v>
      </c>
      <c r="F169" s="8" t="n">
        <v>13.95</v>
      </c>
      <c r="G169" s="8" t="n">
        <v>14.79</v>
      </c>
      <c r="H169" s="8" t="n">
        <v>13.47</v>
      </c>
      <c r="I169" s="8" t="n">
        <v>10.4</v>
      </c>
      <c r="J169" s="8" t="n">
        <v>10.16</v>
      </c>
      <c r="K169" s="8" t="n">
        <v>13.34</v>
      </c>
      <c r="L169" s="8" t="n">
        <v>12.3</v>
      </c>
      <c r="M169" s="8" t="n">
        <v>13.53</v>
      </c>
      <c r="N169" s="4" t="n">
        <v>12.49</v>
      </c>
    </row>
    <row r="170">
      <c r="A170" s="2" t="inlineStr">
        <is>
          <t>TWH0331</t>
        </is>
      </c>
      <c r="B170" s="8" t="inlineStr">
        <is>
          <t>2027-04-01 00:00:00</t>
        </is>
      </c>
      <c r="C170" s="8" t="n">
        <v>15.61</v>
      </c>
      <c r="D170" s="8" t="n">
        <v>18.15</v>
      </c>
      <c r="E170" s="8" t="n">
        <v>19.41</v>
      </c>
      <c r="F170" s="8" t="n">
        <v>19.55</v>
      </c>
      <c r="G170" s="8" t="n">
        <v>21.49</v>
      </c>
      <c r="H170" s="8" t="n">
        <v>18.45</v>
      </c>
      <c r="I170" s="8" t="n">
        <v>13.31</v>
      </c>
      <c r="J170" s="8" t="n">
        <v>13.68</v>
      </c>
      <c r="K170" s="8" t="n">
        <v>17.32</v>
      </c>
      <c r="L170" s="8" t="n">
        <v>15.61</v>
      </c>
      <c r="M170" s="8" t="n">
        <v>18.37</v>
      </c>
      <c r="N170" s="4" t="n">
        <v>16.11</v>
      </c>
    </row>
    <row r="171">
      <c r="A171" s="2" t="inlineStr">
        <is>
          <t>TWH0331</t>
        </is>
      </c>
      <c r="B171" s="8" t="inlineStr">
        <is>
          <t>2027-05-01 00:00:00</t>
        </is>
      </c>
      <c r="C171" s="8" t="n">
        <v>14.47</v>
      </c>
      <c r="D171" s="8" t="n">
        <v>19.2</v>
      </c>
      <c r="E171" s="8" t="n">
        <v>22.22</v>
      </c>
      <c r="F171" s="8" t="n">
        <v>18.84</v>
      </c>
      <c r="G171" s="8" t="n">
        <v>24.1</v>
      </c>
      <c r="H171" s="8" t="n">
        <v>17.69</v>
      </c>
      <c r="I171" s="8" t="n">
        <v>14.69</v>
      </c>
      <c r="J171" s="8" t="n">
        <v>14.99</v>
      </c>
      <c r="K171" s="8" t="n">
        <v>16.14</v>
      </c>
      <c r="L171" s="8" t="n">
        <v>15.44</v>
      </c>
      <c r="M171" s="8" t="n">
        <v>17.63</v>
      </c>
      <c r="N171" s="4" t="n">
        <v>15.93</v>
      </c>
    </row>
    <row r="172">
      <c r="A172" s="2" t="inlineStr">
        <is>
          <t>TWH0331</t>
        </is>
      </c>
      <c r="B172" s="8" t="inlineStr">
        <is>
          <t>2027-06-01 00:00:00</t>
        </is>
      </c>
      <c r="C172" s="8" t="n">
        <v>15.12</v>
      </c>
      <c r="D172" s="8" t="n">
        <v>19.23</v>
      </c>
      <c r="E172" s="8" t="n">
        <v>27.6</v>
      </c>
      <c r="F172" s="8" t="n">
        <v>19.17</v>
      </c>
      <c r="G172" s="8" t="n">
        <v>28.73</v>
      </c>
      <c r="H172" s="8" t="n">
        <v>18.71</v>
      </c>
      <c r="I172" s="8" t="n">
        <v>13.8</v>
      </c>
      <c r="J172" s="8" t="n">
        <v>13.16</v>
      </c>
      <c r="K172" s="8" t="n">
        <v>16.24</v>
      </c>
      <c r="L172" s="8" t="n">
        <v>15.41</v>
      </c>
      <c r="M172" s="8" t="n">
        <v>19.17</v>
      </c>
      <c r="N172" s="4" t="n">
        <v>17.62</v>
      </c>
    </row>
    <row r="173">
      <c r="A173" s="2" t="inlineStr">
        <is>
          <t>TWH0331</t>
        </is>
      </c>
      <c r="B173" s="8" t="inlineStr">
        <is>
          <t>2027-07-01 00:00:00</t>
        </is>
      </c>
      <c r="C173" s="8" t="n">
        <v>14.65</v>
      </c>
      <c r="D173" s="8" t="n">
        <v>17.83</v>
      </c>
      <c r="E173" s="8" t="n">
        <v>26.1</v>
      </c>
      <c r="F173" s="8" t="n">
        <v>19.63</v>
      </c>
      <c r="G173" s="8" t="n">
        <v>28.13</v>
      </c>
      <c r="H173" s="8" t="n">
        <v>18.71</v>
      </c>
      <c r="I173" s="8" t="n">
        <v>14.61</v>
      </c>
      <c r="J173" s="8" t="n">
        <v>14.04</v>
      </c>
      <c r="K173" s="8" t="n">
        <v>18.13</v>
      </c>
      <c r="L173" s="8" t="n">
        <v>15.59</v>
      </c>
      <c r="M173" s="8" t="n">
        <v>20.44</v>
      </c>
      <c r="N173" s="4" t="n">
        <v>17.49</v>
      </c>
    </row>
    <row r="174">
      <c r="A174" s="2" t="inlineStr">
        <is>
          <t>TWH0331</t>
        </is>
      </c>
      <c r="B174" s="8" t="inlineStr">
        <is>
          <t>2027-08-01 00:00:00</t>
        </is>
      </c>
      <c r="C174" s="8" t="n">
        <v>14.8</v>
      </c>
      <c r="D174" s="8" t="n">
        <v>18.55</v>
      </c>
      <c r="E174" s="8" t="n">
        <v>19.51</v>
      </c>
      <c r="F174" s="8" t="n">
        <v>17.99</v>
      </c>
      <c r="G174" s="8" t="n">
        <v>20.61</v>
      </c>
      <c r="H174" s="8" t="n">
        <v>18.63</v>
      </c>
      <c r="I174" s="8" t="n">
        <v>16.65</v>
      </c>
      <c r="J174" s="8" t="n">
        <v>16.27</v>
      </c>
      <c r="K174" s="8" t="n">
        <v>18.93</v>
      </c>
      <c r="L174" s="8" t="n">
        <v>17.6</v>
      </c>
      <c r="M174" s="8" t="n">
        <v>20.67</v>
      </c>
      <c r="N174" s="4" t="n">
        <v>18.26</v>
      </c>
    </row>
    <row r="175">
      <c r="A175" s="2" t="inlineStr">
        <is>
          <t>TWH0331</t>
        </is>
      </c>
      <c r="B175" s="8" t="inlineStr">
        <is>
          <t>2027-09-01 00:00:00</t>
        </is>
      </c>
      <c r="C175" s="8" t="n">
        <v>10.63</v>
      </c>
      <c r="D175" s="8" t="n">
        <v>18.37</v>
      </c>
      <c r="E175" s="8" t="n">
        <v>22.68</v>
      </c>
      <c r="F175" s="8" t="n">
        <v>19.61</v>
      </c>
      <c r="G175" s="8" t="n">
        <v>25.89</v>
      </c>
      <c r="H175" s="8" t="n">
        <v>19.1</v>
      </c>
      <c r="I175" s="8" t="n">
        <v>9.08</v>
      </c>
      <c r="J175" s="8" t="n">
        <v>10.01</v>
      </c>
      <c r="K175" s="8" t="n">
        <v>14.83</v>
      </c>
      <c r="L175" s="8" t="n">
        <v>13.14</v>
      </c>
      <c r="M175" s="8" t="n">
        <v>19.17</v>
      </c>
      <c r="N175" s="4" t="n">
        <v>15.59</v>
      </c>
    </row>
    <row r="176">
      <c r="A176" s="2" t="inlineStr">
        <is>
          <t>TWH0331</t>
        </is>
      </c>
      <c r="B176" s="8" t="inlineStr">
        <is>
          <t>2027-10-01 00:00:00</t>
        </is>
      </c>
      <c r="C176" s="8" t="n">
        <v>6.04</v>
      </c>
      <c r="D176" s="8" t="n">
        <v>8.130000000000001</v>
      </c>
      <c r="E176" s="8" t="n">
        <v>9.529999999999999</v>
      </c>
      <c r="F176" s="8" t="n">
        <v>8.17</v>
      </c>
      <c r="G176" s="8" t="n">
        <v>9.699999999999999</v>
      </c>
      <c r="H176" s="8" t="n">
        <v>9.619999999999999</v>
      </c>
      <c r="I176" s="8" t="n">
        <v>6.81</v>
      </c>
      <c r="J176" s="8" t="n">
        <v>6.72</v>
      </c>
      <c r="K176" s="8" t="n">
        <v>7.57</v>
      </c>
      <c r="L176" s="8" t="n">
        <v>6.52</v>
      </c>
      <c r="M176" s="8" t="n">
        <v>8.16</v>
      </c>
      <c r="N176" s="4" t="n">
        <v>7.89</v>
      </c>
    </row>
    <row r="177">
      <c r="A177" s="2" t="inlineStr">
        <is>
          <t>TWH0331</t>
        </is>
      </c>
      <c r="B177" s="8" t="inlineStr">
        <is>
          <t>2027-11-01 00:00:00</t>
        </is>
      </c>
      <c r="C177" s="8" t="n">
        <v>4.91</v>
      </c>
      <c r="D177" s="8" t="n">
        <v>7.55</v>
      </c>
      <c r="E177" s="8" t="n">
        <v>10.86</v>
      </c>
      <c r="F177" s="8" t="n">
        <v>10.16</v>
      </c>
      <c r="G177" s="8" t="n">
        <v>10.77</v>
      </c>
      <c r="H177" s="8" t="n">
        <v>8.76</v>
      </c>
      <c r="I177" s="8" t="n">
        <v>4.87</v>
      </c>
      <c r="J177" s="8" t="n">
        <v>4.36</v>
      </c>
      <c r="K177" s="8" t="n">
        <v>7.15</v>
      </c>
      <c r="L177" s="8" t="n">
        <v>6.23</v>
      </c>
      <c r="M177" s="8" t="n">
        <v>7.12</v>
      </c>
      <c r="N177" s="4" t="n">
        <v>6.75</v>
      </c>
    </row>
    <row r="178">
      <c r="A178" s="2" t="inlineStr">
        <is>
          <t>TWH0331</t>
        </is>
      </c>
      <c r="B178" s="8" t="inlineStr">
        <is>
          <t>2027-12-01 00:00:00</t>
        </is>
      </c>
      <c r="C178" s="8" t="n">
        <v>6.12</v>
      </c>
      <c r="D178" s="8" t="n">
        <v>6.73</v>
      </c>
      <c r="E178" s="8" t="n">
        <v>11.01</v>
      </c>
      <c r="F178" s="8" t="n">
        <v>10.17</v>
      </c>
      <c r="G178" s="8" t="n">
        <v>9.74</v>
      </c>
      <c r="H178" s="8" t="n">
        <v>8.01</v>
      </c>
      <c r="I178" s="8" t="n">
        <v>5.84</v>
      </c>
      <c r="J178" s="8" t="n">
        <v>5.46</v>
      </c>
      <c r="K178" s="8" t="n">
        <v>7.62</v>
      </c>
      <c r="L178" s="8" t="n">
        <v>7.45</v>
      </c>
      <c r="M178" s="8" t="n">
        <v>8.01</v>
      </c>
      <c r="N178" s="4" t="n">
        <v>7.08</v>
      </c>
    </row>
    <row r="179">
      <c r="A179" s="2" t="inlineStr">
        <is>
          <t>TWH0331</t>
        </is>
      </c>
      <c r="B179" s="8" t="inlineStr">
        <is>
          <t>2028-01-01 00:00:00</t>
        </is>
      </c>
      <c r="C179" s="8" t="n">
        <v>10.92</v>
      </c>
      <c r="D179" s="8" t="n">
        <v>11.52</v>
      </c>
      <c r="E179" s="8" t="n">
        <v>14.9</v>
      </c>
      <c r="F179" s="8" t="n">
        <v>16.03</v>
      </c>
      <c r="G179" s="8" t="n">
        <v>16.84</v>
      </c>
      <c r="H179" s="8" t="n">
        <v>14.55</v>
      </c>
      <c r="I179" s="8" t="n">
        <v>8.31</v>
      </c>
      <c r="J179" s="8" t="n">
        <v>7.26</v>
      </c>
      <c r="K179" s="8" t="n">
        <v>9.380000000000001</v>
      </c>
      <c r="L179" s="8" t="n">
        <v>9.789999999999999</v>
      </c>
      <c r="M179" s="8" t="n">
        <v>11.56</v>
      </c>
      <c r="N179" s="4" t="n">
        <v>10.43</v>
      </c>
    </row>
    <row r="180">
      <c r="A180" s="2" t="inlineStr">
        <is>
          <t>TWH0331</t>
        </is>
      </c>
      <c r="B180" s="8" t="inlineStr">
        <is>
          <t>2028-02-01 00:00:00</t>
        </is>
      </c>
      <c r="C180" s="8" t="n">
        <v>9.76</v>
      </c>
      <c r="D180" s="8" t="n">
        <v>11.77</v>
      </c>
      <c r="E180" s="8" t="n">
        <v>14.59</v>
      </c>
      <c r="F180" s="8" t="n">
        <v>14.11</v>
      </c>
      <c r="G180" s="8" t="n">
        <v>15.75</v>
      </c>
      <c r="H180" s="8" t="n">
        <v>13.72</v>
      </c>
      <c r="I180" s="8" t="n">
        <v>8.630000000000001</v>
      </c>
      <c r="J180" s="8" t="n">
        <v>7.25</v>
      </c>
      <c r="K180" s="8" t="n">
        <v>10.72</v>
      </c>
      <c r="L180" s="8" t="n">
        <v>10.93</v>
      </c>
      <c r="M180" s="8" t="n">
        <v>12.73</v>
      </c>
      <c r="N180" s="4" t="n">
        <v>11.33</v>
      </c>
    </row>
    <row r="181">
      <c r="A181" s="2" t="inlineStr">
        <is>
          <t>TWH0331</t>
        </is>
      </c>
      <c r="B181" s="8" t="inlineStr">
        <is>
          <t>2028-03-01 00:00:00</t>
        </is>
      </c>
      <c r="C181" s="8" t="n">
        <v>10.01</v>
      </c>
      <c r="D181" s="8" t="n">
        <v>12.24</v>
      </c>
      <c r="E181" s="8" t="n">
        <v>13.89</v>
      </c>
      <c r="F181" s="8" t="n">
        <v>13.18</v>
      </c>
      <c r="G181" s="8" t="n">
        <v>13.98</v>
      </c>
      <c r="H181" s="8" t="n">
        <v>12.73</v>
      </c>
      <c r="I181" s="8" t="n">
        <v>9.83</v>
      </c>
      <c r="J181" s="8" t="n">
        <v>9.609999999999999</v>
      </c>
      <c r="K181" s="8" t="n">
        <v>12.6</v>
      </c>
      <c r="L181" s="8" t="n">
        <v>11.62</v>
      </c>
      <c r="M181" s="8" t="n">
        <v>12.79</v>
      </c>
      <c r="N181" s="4" t="n">
        <v>11.81</v>
      </c>
    </row>
    <row r="182">
      <c r="A182" s="2" t="inlineStr">
        <is>
          <t>TWH0331</t>
        </is>
      </c>
      <c r="B182" s="8" t="inlineStr">
        <is>
          <t>2028-04-01 00:00:00</t>
        </is>
      </c>
      <c r="C182" s="8" t="n">
        <v>15.21</v>
      </c>
      <c r="D182" s="8" t="n">
        <v>17.68</v>
      </c>
      <c r="E182" s="8" t="n">
        <v>18.9</v>
      </c>
      <c r="F182" s="8" t="n">
        <v>19.04</v>
      </c>
      <c r="G182" s="8" t="n">
        <v>20.92</v>
      </c>
      <c r="H182" s="8" t="n">
        <v>17.97</v>
      </c>
      <c r="I182" s="8" t="n">
        <v>12.97</v>
      </c>
      <c r="J182" s="8" t="n">
        <v>13.33</v>
      </c>
      <c r="K182" s="8" t="n">
        <v>16.87</v>
      </c>
      <c r="L182" s="8" t="n">
        <v>15.21</v>
      </c>
      <c r="M182" s="8" t="n">
        <v>17.89</v>
      </c>
      <c r="N182" s="4" t="n">
        <v>15.69</v>
      </c>
    </row>
    <row r="183">
      <c r="A183" s="2" t="inlineStr">
        <is>
          <t>TWH0331</t>
        </is>
      </c>
      <c r="B183" s="8" t="inlineStr">
        <is>
          <t>2028-05-01 00:00:00</t>
        </is>
      </c>
      <c r="C183" s="8" t="n">
        <v>13.62</v>
      </c>
      <c r="D183" s="8" t="n">
        <v>18.05</v>
      </c>
      <c r="E183" s="8" t="n">
        <v>20.88</v>
      </c>
      <c r="F183" s="8" t="n">
        <v>17.72</v>
      </c>
      <c r="G183" s="8" t="n">
        <v>22.65</v>
      </c>
      <c r="H183" s="8" t="n">
        <v>16.64</v>
      </c>
      <c r="I183" s="8" t="n">
        <v>13.83</v>
      </c>
      <c r="J183" s="8" t="n">
        <v>14.11</v>
      </c>
      <c r="K183" s="8" t="n">
        <v>15.18</v>
      </c>
      <c r="L183" s="8" t="n">
        <v>14.53</v>
      </c>
      <c r="M183" s="8" t="n">
        <v>16.59</v>
      </c>
      <c r="N183" s="4" t="n">
        <v>14.99</v>
      </c>
    </row>
    <row r="184">
      <c r="A184" s="2" t="inlineStr">
        <is>
          <t>TWH0331</t>
        </is>
      </c>
      <c r="B184" s="8" t="inlineStr">
        <is>
          <t>2028-06-01 00:00:00</t>
        </is>
      </c>
      <c r="C184" s="8" t="n">
        <v>14.32</v>
      </c>
      <c r="D184" s="8" t="n">
        <v>18.2</v>
      </c>
      <c r="E184" s="8" t="n">
        <v>26.43</v>
      </c>
      <c r="F184" s="8" t="n">
        <v>18.15</v>
      </c>
      <c r="G184" s="8" t="n">
        <v>27.5</v>
      </c>
      <c r="H184" s="8" t="n">
        <v>17.71</v>
      </c>
      <c r="I184" s="8" t="n">
        <v>13.07</v>
      </c>
      <c r="J184" s="8" t="n">
        <v>12.47</v>
      </c>
      <c r="K184" s="8" t="n">
        <v>15.37</v>
      </c>
      <c r="L184" s="8" t="n">
        <v>14.59</v>
      </c>
      <c r="M184" s="8" t="n">
        <v>18.14</v>
      </c>
      <c r="N184" s="4" t="n">
        <v>16.68</v>
      </c>
    </row>
    <row r="185">
      <c r="A185" s="2" t="inlineStr">
        <is>
          <t>TWH0331</t>
        </is>
      </c>
      <c r="B185" s="8" t="inlineStr">
        <is>
          <t>2028-07-01 00:00:00</t>
        </is>
      </c>
      <c r="C185" s="8" t="n">
        <v>14.05</v>
      </c>
      <c r="D185" s="8" t="n">
        <v>17.08</v>
      </c>
      <c r="E185" s="8" t="n">
        <v>25.25</v>
      </c>
      <c r="F185" s="8" t="n">
        <v>18.81</v>
      </c>
      <c r="G185" s="8" t="n">
        <v>27.19</v>
      </c>
      <c r="H185" s="8" t="n">
        <v>17.93</v>
      </c>
      <c r="I185" s="8" t="n">
        <v>14.01</v>
      </c>
      <c r="J185" s="8" t="n">
        <v>13.47</v>
      </c>
      <c r="K185" s="8" t="n">
        <v>17.37</v>
      </c>
      <c r="L185" s="8" t="n">
        <v>14.94</v>
      </c>
      <c r="M185" s="8" t="n">
        <v>19.58</v>
      </c>
      <c r="N185" s="4" t="n">
        <v>16.76</v>
      </c>
    </row>
    <row r="186">
      <c r="A186" s="2" t="inlineStr">
        <is>
          <t>TWH0331</t>
        </is>
      </c>
      <c r="B186" s="8" t="inlineStr">
        <is>
          <t>2028-08-01 00:00:00</t>
        </is>
      </c>
      <c r="C186" s="8" t="n">
        <v>14.08</v>
      </c>
      <c r="D186" s="8" t="n">
        <v>17.63</v>
      </c>
      <c r="E186" s="8" t="n">
        <v>18.54</v>
      </c>
      <c r="F186" s="8" t="n">
        <v>17.1</v>
      </c>
      <c r="G186" s="8" t="n">
        <v>19.58</v>
      </c>
      <c r="H186" s="8" t="n">
        <v>17.71</v>
      </c>
      <c r="I186" s="8" t="n">
        <v>15.83</v>
      </c>
      <c r="J186" s="8" t="n">
        <v>15.47</v>
      </c>
      <c r="K186" s="8" t="n">
        <v>17.99</v>
      </c>
      <c r="L186" s="8" t="n">
        <v>16.74</v>
      </c>
      <c r="M186" s="8" t="n">
        <v>19.64</v>
      </c>
      <c r="N186" s="4" t="n">
        <v>17.36</v>
      </c>
    </row>
    <row r="187">
      <c r="A187" s="2" t="inlineStr">
        <is>
          <t>TWH0331</t>
        </is>
      </c>
      <c r="B187" s="8" t="inlineStr">
        <is>
          <t>2028-09-01 00:00:00</t>
        </is>
      </c>
      <c r="C187" s="8" t="n">
        <v>10.23</v>
      </c>
      <c r="D187" s="8" t="n">
        <v>17.65</v>
      </c>
      <c r="E187" s="8" t="n">
        <v>21.78</v>
      </c>
      <c r="F187" s="8" t="n">
        <v>18.83</v>
      </c>
      <c r="G187" s="8" t="n">
        <v>24.86</v>
      </c>
      <c r="H187" s="8" t="n">
        <v>18.35</v>
      </c>
      <c r="I187" s="8" t="n">
        <v>8.74</v>
      </c>
      <c r="J187" s="8" t="n">
        <v>9.630000000000001</v>
      </c>
      <c r="K187" s="8" t="n">
        <v>14.25</v>
      </c>
      <c r="L187" s="8" t="n">
        <v>12.64</v>
      </c>
      <c r="M187" s="8" t="n">
        <v>18.42</v>
      </c>
      <c r="N187" s="4" t="n">
        <v>14.98</v>
      </c>
    </row>
    <row r="188">
      <c r="A188" s="2" t="inlineStr">
        <is>
          <t>TWH0331</t>
        </is>
      </c>
      <c r="B188" s="8" t="inlineStr">
        <is>
          <t>2028-10-01 00:00:00</t>
        </is>
      </c>
      <c r="C188" s="8" t="n">
        <v>5.97</v>
      </c>
      <c r="D188" s="8" t="n">
        <v>8.029999999999999</v>
      </c>
      <c r="E188" s="8" t="n">
        <v>9.41</v>
      </c>
      <c r="F188" s="8" t="n">
        <v>8.07</v>
      </c>
      <c r="G188" s="8" t="n">
        <v>9.58</v>
      </c>
      <c r="H188" s="8" t="n">
        <v>9.49</v>
      </c>
      <c r="I188" s="8" t="n">
        <v>6.73</v>
      </c>
      <c r="J188" s="8" t="n">
        <v>6.64</v>
      </c>
      <c r="K188" s="8" t="n">
        <v>7.48</v>
      </c>
      <c r="L188" s="8" t="n">
        <v>6.45</v>
      </c>
      <c r="M188" s="8" t="n">
        <v>8.06</v>
      </c>
      <c r="N188" s="4" t="n">
        <v>7.79</v>
      </c>
    </row>
    <row r="189">
      <c r="A189" s="2" t="inlineStr">
        <is>
          <t>TWH0331</t>
        </is>
      </c>
      <c r="B189" s="8" t="inlineStr">
        <is>
          <t>2028-11-01 00:00:00</t>
        </is>
      </c>
      <c r="C189" s="8" t="n">
        <v>4.88</v>
      </c>
      <c r="D189" s="8" t="n">
        <v>7.49</v>
      </c>
      <c r="E189" s="8" t="n">
        <v>10.78</v>
      </c>
      <c r="F189" s="8" t="n">
        <v>10.08</v>
      </c>
      <c r="G189" s="8" t="n">
        <v>10.68</v>
      </c>
      <c r="H189" s="8" t="n">
        <v>8.69</v>
      </c>
      <c r="I189" s="8" t="n">
        <v>4.84</v>
      </c>
      <c r="J189" s="8" t="n">
        <v>4.34</v>
      </c>
      <c r="K189" s="8" t="n">
        <v>7.1</v>
      </c>
      <c r="L189" s="8" t="n">
        <v>6.19</v>
      </c>
      <c r="M189" s="8" t="n">
        <v>7.06</v>
      </c>
      <c r="N189" s="4" t="n">
        <v>6.7</v>
      </c>
    </row>
    <row r="190">
      <c r="A190" s="2" t="inlineStr">
        <is>
          <t>TWH0331</t>
        </is>
      </c>
      <c r="B190" s="8" t="inlineStr">
        <is>
          <t>2028-12-01 00:00:00</t>
        </is>
      </c>
      <c r="C190" s="8" t="n">
        <v>6.17</v>
      </c>
      <c r="D190" s="8" t="n">
        <v>6.77</v>
      </c>
      <c r="E190" s="8" t="n">
        <v>11.07</v>
      </c>
      <c r="F190" s="8" t="n">
        <v>10.23</v>
      </c>
      <c r="G190" s="8" t="n">
        <v>9.800000000000001</v>
      </c>
      <c r="H190" s="8" t="n">
        <v>8.06</v>
      </c>
      <c r="I190" s="8" t="n">
        <v>5.88</v>
      </c>
      <c r="J190" s="8" t="n">
        <v>5.5</v>
      </c>
      <c r="K190" s="8" t="n">
        <v>7.67</v>
      </c>
      <c r="L190" s="8" t="n">
        <v>7.5</v>
      </c>
      <c r="M190" s="8" t="n">
        <v>8.06</v>
      </c>
      <c r="N190" s="4" t="n">
        <v>7.13</v>
      </c>
    </row>
    <row r="191">
      <c r="A191" s="2" t="inlineStr">
        <is>
          <t>TWH0331</t>
        </is>
      </c>
      <c r="B191" s="8" t="inlineStr">
        <is>
          <t>2029-01-01 00:00:00</t>
        </is>
      </c>
      <c r="C191" s="8" t="n">
        <v>10.52</v>
      </c>
      <c r="D191" s="8" t="n">
        <v>11.1</v>
      </c>
      <c r="E191" s="8" t="n">
        <v>14.35</v>
      </c>
      <c r="F191" s="8" t="n">
        <v>15.44</v>
      </c>
      <c r="G191" s="8" t="n">
        <v>16.21</v>
      </c>
      <c r="H191" s="8" t="n">
        <v>14.01</v>
      </c>
      <c r="I191" s="8" t="n">
        <v>8.02</v>
      </c>
      <c r="J191" s="8" t="n">
        <v>7</v>
      </c>
      <c r="K191" s="8" t="n">
        <v>9.039999999999999</v>
      </c>
      <c r="L191" s="8" t="n">
        <v>9.44</v>
      </c>
      <c r="M191" s="8" t="n">
        <v>11.14</v>
      </c>
      <c r="N191" s="4" t="n">
        <v>10.06</v>
      </c>
    </row>
    <row r="192">
      <c r="A192" s="2" t="inlineStr">
        <is>
          <t>TWH0331</t>
        </is>
      </c>
      <c r="B192" s="8" t="inlineStr">
        <is>
          <t>2029-02-01 00:00:00</t>
        </is>
      </c>
      <c r="C192" s="8" t="n">
        <v>9.66</v>
      </c>
      <c r="D192" s="8" t="n">
        <v>11.64</v>
      </c>
      <c r="E192" s="8" t="n">
        <v>14.43</v>
      </c>
      <c r="F192" s="8" t="n">
        <v>13.95</v>
      </c>
      <c r="G192" s="8" t="n">
        <v>15.57</v>
      </c>
      <c r="H192" s="8" t="n">
        <v>13.56</v>
      </c>
      <c r="I192" s="8" t="n">
        <v>8.539999999999999</v>
      </c>
      <c r="J192" s="8" t="n">
        <v>7.17</v>
      </c>
      <c r="K192" s="8" t="n">
        <v>10.6</v>
      </c>
      <c r="L192" s="8" t="n">
        <v>10.81</v>
      </c>
      <c r="M192" s="8" t="n">
        <v>12.59</v>
      </c>
      <c r="N192" s="4" t="n">
        <v>11.2</v>
      </c>
    </row>
    <row r="193">
      <c r="A193" s="2" t="inlineStr">
        <is>
          <t>TWH0331</t>
        </is>
      </c>
      <c r="B193" s="8" t="inlineStr">
        <is>
          <t>2029-03-01 00:00:00</t>
        </is>
      </c>
      <c r="C193" s="8" t="n">
        <v>9.94</v>
      </c>
      <c r="D193" s="8" t="n">
        <v>12.15</v>
      </c>
      <c r="E193" s="8" t="n">
        <v>13.79</v>
      </c>
      <c r="F193" s="8" t="n">
        <v>13.09</v>
      </c>
      <c r="G193" s="8" t="n">
        <v>13.88</v>
      </c>
      <c r="H193" s="8" t="n">
        <v>12.64</v>
      </c>
      <c r="I193" s="8" t="n">
        <v>9.77</v>
      </c>
      <c r="J193" s="8" t="n">
        <v>9.539999999999999</v>
      </c>
      <c r="K193" s="8" t="n">
        <v>12.51</v>
      </c>
      <c r="L193" s="8" t="n">
        <v>11.54</v>
      </c>
      <c r="M193" s="8" t="n">
        <v>12.7</v>
      </c>
      <c r="N193" s="4" t="n">
        <v>11.72</v>
      </c>
    </row>
    <row r="194">
      <c r="A194" s="2" t="inlineStr">
        <is>
          <t>TWH0331</t>
        </is>
      </c>
      <c r="B194" s="8" t="inlineStr">
        <is>
          <t>2029-04-01 00:00:00</t>
        </is>
      </c>
      <c r="C194" s="8" t="n">
        <v>14.92</v>
      </c>
      <c r="D194" s="8" t="n">
        <v>17.34</v>
      </c>
      <c r="E194" s="8" t="n">
        <v>18.54</v>
      </c>
      <c r="F194" s="8" t="n">
        <v>18.67</v>
      </c>
      <c r="G194" s="8" t="n">
        <v>20.52</v>
      </c>
      <c r="H194" s="8" t="n">
        <v>17.62</v>
      </c>
      <c r="I194" s="8" t="n">
        <v>12.72</v>
      </c>
      <c r="J194" s="8" t="n">
        <v>13.07</v>
      </c>
      <c r="K194" s="8" t="n">
        <v>16.55</v>
      </c>
      <c r="L194" s="8" t="n">
        <v>14.92</v>
      </c>
      <c r="M194" s="8" t="n">
        <v>17.55</v>
      </c>
      <c r="N194" s="4" t="n">
        <v>15.39</v>
      </c>
    </row>
    <row r="195">
      <c r="A195" s="2" t="inlineStr">
        <is>
          <t>TWH0331</t>
        </is>
      </c>
      <c r="B195" s="8" t="inlineStr">
        <is>
          <t>2029-05-01 00:00:00</t>
        </is>
      </c>
      <c r="C195" s="8" t="n">
        <v>13.52</v>
      </c>
      <c r="D195" s="8" t="n">
        <v>17.91</v>
      </c>
      <c r="E195" s="8" t="n">
        <v>20.72</v>
      </c>
      <c r="F195" s="8" t="n">
        <v>17.58</v>
      </c>
      <c r="G195" s="8" t="n">
        <v>22.47</v>
      </c>
      <c r="H195" s="8" t="n">
        <v>16.51</v>
      </c>
      <c r="I195" s="8" t="n">
        <v>13.73</v>
      </c>
      <c r="J195" s="8" t="n">
        <v>14</v>
      </c>
      <c r="K195" s="8" t="n">
        <v>15.06</v>
      </c>
      <c r="L195" s="8" t="n">
        <v>14.42</v>
      </c>
      <c r="M195" s="8" t="n">
        <v>16.46</v>
      </c>
      <c r="N195" s="4" t="n">
        <v>14.87</v>
      </c>
    </row>
    <row r="196">
      <c r="A196" s="2" t="inlineStr">
        <is>
          <t>TWH0331</t>
        </is>
      </c>
      <c r="B196" s="8" t="inlineStr">
        <is>
          <t>2029-06-01 00:00:00</t>
        </is>
      </c>
      <c r="C196" s="8" t="n">
        <v>14.3</v>
      </c>
      <c r="D196" s="8" t="n">
        <v>18.17</v>
      </c>
      <c r="E196" s="8" t="n">
        <v>26.4</v>
      </c>
      <c r="F196" s="8" t="n">
        <v>18.12</v>
      </c>
      <c r="G196" s="8" t="n">
        <v>27.47</v>
      </c>
      <c r="H196" s="8" t="n">
        <v>17.68</v>
      </c>
      <c r="I196" s="8" t="n">
        <v>13.05</v>
      </c>
      <c r="J196" s="8" t="n">
        <v>12.45</v>
      </c>
      <c r="K196" s="8" t="n">
        <v>15.35</v>
      </c>
      <c r="L196" s="8" t="n">
        <v>14.57</v>
      </c>
      <c r="M196" s="8" t="n">
        <v>18.11</v>
      </c>
      <c r="N196" s="4" t="n">
        <v>16.65</v>
      </c>
    </row>
    <row r="197">
      <c r="A197" s="2" t="inlineStr">
        <is>
          <t>TWH0331</t>
        </is>
      </c>
      <c r="B197" s="8" t="inlineStr">
        <is>
          <t>2029-07-01 00:00:00</t>
        </is>
      </c>
      <c r="C197" s="8" t="n">
        <v>13.65</v>
      </c>
      <c r="D197" s="8" t="n">
        <v>16.59</v>
      </c>
      <c r="E197" s="8" t="n">
        <v>24.7</v>
      </c>
      <c r="F197" s="8" t="n">
        <v>18.26</v>
      </c>
      <c r="G197" s="8" t="n">
        <v>26.58</v>
      </c>
      <c r="H197" s="8" t="n">
        <v>17.41</v>
      </c>
      <c r="I197" s="8" t="n">
        <v>13.61</v>
      </c>
      <c r="J197" s="8" t="n">
        <v>13.08</v>
      </c>
      <c r="K197" s="8" t="n">
        <v>16.87</v>
      </c>
      <c r="L197" s="8" t="n">
        <v>14.51</v>
      </c>
      <c r="M197" s="8" t="n">
        <v>19.01</v>
      </c>
      <c r="N197" s="4" t="n">
        <v>16.28</v>
      </c>
    </row>
    <row r="198">
      <c r="A198" s="2" t="inlineStr">
        <is>
          <t>TWH0331</t>
        </is>
      </c>
      <c r="B198" s="8" t="inlineStr">
        <is>
          <t>2029-08-01 00:00:00</t>
        </is>
      </c>
      <c r="C198" s="8" t="n">
        <v>13.73</v>
      </c>
      <c r="D198" s="8" t="n">
        <v>17.19</v>
      </c>
      <c r="E198" s="8" t="n">
        <v>18.07</v>
      </c>
      <c r="F198" s="8" t="n">
        <v>16.67</v>
      </c>
      <c r="G198" s="8" t="n">
        <v>19.09</v>
      </c>
      <c r="H198" s="8" t="n">
        <v>17.26</v>
      </c>
      <c r="I198" s="8" t="n">
        <v>15.44</v>
      </c>
      <c r="J198" s="8" t="n">
        <v>15.08</v>
      </c>
      <c r="K198" s="8" t="n">
        <v>17.54</v>
      </c>
      <c r="L198" s="8" t="n">
        <v>16.31</v>
      </c>
      <c r="M198" s="8" t="n">
        <v>19.14</v>
      </c>
      <c r="N198" s="4" t="n">
        <v>16.92</v>
      </c>
    </row>
    <row r="199">
      <c r="A199" s="2" t="inlineStr">
        <is>
          <t>TWH0331</t>
        </is>
      </c>
      <c r="B199" s="8" t="inlineStr">
        <is>
          <t>2029-09-01 00:00:00</t>
        </is>
      </c>
      <c r="C199" s="8" t="n">
        <v>10.08</v>
      </c>
      <c r="D199" s="8" t="n">
        <v>17.38</v>
      </c>
      <c r="E199" s="8" t="n">
        <v>21.45</v>
      </c>
      <c r="F199" s="8" t="n">
        <v>18.55</v>
      </c>
      <c r="G199" s="8" t="n">
        <v>24.48</v>
      </c>
      <c r="H199" s="8" t="n">
        <v>18.07</v>
      </c>
      <c r="I199" s="8" t="n">
        <v>8.609999999999999</v>
      </c>
      <c r="J199" s="8" t="n">
        <v>9.49</v>
      </c>
      <c r="K199" s="8" t="n">
        <v>14.04</v>
      </c>
      <c r="L199" s="8" t="n">
        <v>12.45</v>
      </c>
      <c r="M199" s="8" t="n">
        <v>18.14</v>
      </c>
      <c r="N199" s="4" t="n">
        <v>14.75</v>
      </c>
    </row>
    <row r="200">
      <c r="A200" s="2" t="inlineStr">
        <is>
          <t>TWH0331</t>
        </is>
      </c>
      <c r="B200" s="8" t="inlineStr">
        <is>
          <t>2029-10-01 00:00:00</t>
        </is>
      </c>
      <c r="C200" s="8" t="n">
        <v>5.81</v>
      </c>
      <c r="D200" s="8" t="n">
        <v>7.82</v>
      </c>
      <c r="E200" s="8" t="n">
        <v>9.16</v>
      </c>
      <c r="F200" s="8" t="n">
        <v>7.85</v>
      </c>
      <c r="G200" s="8" t="n">
        <v>9.32</v>
      </c>
      <c r="H200" s="8" t="n">
        <v>9.24</v>
      </c>
      <c r="I200" s="8" t="n">
        <v>6.55</v>
      </c>
      <c r="J200" s="8" t="n">
        <v>6.47</v>
      </c>
      <c r="K200" s="8" t="n">
        <v>7.28</v>
      </c>
      <c r="L200" s="8" t="n">
        <v>6.28</v>
      </c>
      <c r="M200" s="8" t="n">
        <v>7.84</v>
      </c>
      <c r="N200" s="4" t="n">
        <v>7.58</v>
      </c>
    </row>
    <row r="201">
      <c r="A201" s="2" t="inlineStr">
        <is>
          <t>TWH0331</t>
        </is>
      </c>
      <c r="B201" s="8" t="inlineStr">
        <is>
          <t>2029-11-01 00:00:00</t>
        </is>
      </c>
      <c r="C201" s="8" t="n">
        <v>4.78</v>
      </c>
      <c r="D201" s="8" t="n">
        <v>7.33</v>
      </c>
      <c r="E201" s="8" t="n">
        <v>10.54</v>
      </c>
      <c r="F201" s="8" t="n">
        <v>9.85</v>
      </c>
      <c r="G201" s="8" t="n">
        <v>10.45</v>
      </c>
      <c r="H201" s="8" t="n">
        <v>8.5</v>
      </c>
      <c r="I201" s="8" t="n">
        <v>4.74</v>
      </c>
      <c r="J201" s="8" t="n">
        <v>4.25</v>
      </c>
      <c r="K201" s="8" t="n">
        <v>6.95</v>
      </c>
      <c r="L201" s="8" t="n">
        <v>6.05</v>
      </c>
      <c r="M201" s="8" t="n">
        <v>6.91</v>
      </c>
      <c r="N201" s="4" t="n">
        <v>6.56</v>
      </c>
    </row>
    <row r="202">
      <c r="A202" s="2" t="inlineStr">
        <is>
          <t>TWH0331</t>
        </is>
      </c>
      <c r="B202" s="8" t="inlineStr">
        <is>
          <t>2029-12-01 00:00:00</t>
        </is>
      </c>
      <c r="C202" s="8" t="n">
        <v>6.03</v>
      </c>
      <c r="D202" s="8" t="n">
        <v>6.63</v>
      </c>
      <c r="E202" s="8" t="n">
        <v>10.83</v>
      </c>
      <c r="F202" s="8" t="n">
        <v>10</v>
      </c>
      <c r="G202" s="8" t="n">
        <v>9.58</v>
      </c>
      <c r="H202" s="8" t="n">
        <v>7.88</v>
      </c>
      <c r="I202" s="8" t="n">
        <v>5.75</v>
      </c>
      <c r="J202" s="8" t="n">
        <v>5.38</v>
      </c>
      <c r="K202" s="8" t="n">
        <v>7.5</v>
      </c>
      <c r="L202" s="8" t="n">
        <v>7.33</v>
      </c>
      <c r="M202" s="8" t="n">
        <v>7.88</v>
      </c>
      <c r="N202" s="4" t="n">
        <v>6.97</v>
      </c>
    </row>
    <row r="203">
      <c r="A203" s="2" t="inlineStr">
        <is>
          <t>TWH0331</t>
        </is>
      </c>
      <c r="B203" s="8" t="inlineStr">
        <is>
          <t>2030-01-01 00:00:00</t>
        </is>
      </c>
      <c r="C203" s="8" t="n">
        <v>10.52</v>
      </c>
      <c r="D203" s="8" t="n">
        <v>11.1</v>
      </c>
      <c r="E203" s="8" t="n">
        <v>14.35</v>
      </c>
      <c r="F203" s="8" t="n">
        <v>15.44</v>
      </c>
      <c r="G203" s="8" t="n">
        <v>16.21</v>
      </c>
      <c r="H203" s="8" t="n">
        <v>14.01</v>
      </c>
      <c r="I203" s="8" t="n">
        <v>8.02</v>
      </c>
      <c r="J203" s="8" t="n">
        <v>7</v>
      </c>
      <c r="K203" s="8" t="n">
        <v>9.039999999999999</v>
      </c>
      <c r="L203" s="8" t="n">
        <v>9.44</v>
      </c>
      <c r="M203" s="8" t="n">
        <v>11.14</v>
      </c>
      <c r="N203" s="4" t="n">
        <v>10.06</v>
      </c>
    </row>
    <row r="204">
      <c r="A204" s="2" t="inlineStr">
        <is>
          <t>TWH0331</t>
        </is>
      </c>
      <c r="B204" s="8" t="inlineStr">
        <is>
          <t>2030-02-01 00:00:00</t>
        </is>
      </c>
      <c r="C204" s="8" t="n">
        <v>9.66</v>
      </c>
      <c r="D204" s="8" t="n">
        <v>11.64</v>
      </c>
      <c r="E204" s="8" t="n">
        <v>14.43</v>
      </c>
      <c r="F204" s="8" t="n">
        <v>13.95</v>
      </c>
      <c r="G204" s="8" t="n">
        <v>15.57</v>
      </c>
      <c r="H204" s="8" t="n">
        <v>13.56</v>
      </c>
      <c r="I204" s="8" t="n">
        <v>8.539999999999999</v>
      </c>
      <c r="J204" s="8" t="n">
        <v>7.17</v>
      </c>
      <c r="K204" s="8" t="n">
        <v>10.6</v>
      </c>
      <c r="L204" s="8" t="n">
        <v>10.81</v>
      </c>
      <c r="M204" s="8" t="n">
        <v>12.59</v>
      </c>
      <c r="N204" s="4" t="n">
        <v>11.2</v>
      </c>
    </row>
    <row r="205">
      <c r="A205" s="2" t="inlineStr">
        <is>
          <t>TWH0331</t>
        </is>
      </c>
      <c r="B205" s="8" t="inlineStr">
        <is>
          <t>2030-03-01 00:00:00</t>
        </is>
      </c>
      <c r="C205" s="8" t="n">
        <v>9.94</v>
      </c>
      <c r="D205" s="8" t="n">
        <v>12.15</v>
      </c>
      <c r="E205" s="8" t="n">
        <v>13.79</v>
      </c>
      <c r="F205" s="8" t="n">
        <v>13.09</v>
      </c>
      <c r="G205" s="8" t="n">
        <v>13.88</v>
      </c>
      <c r="H205" s="8" t="n">
        <v>12.64</v>
      </c>
      <c r="I205" s="8" t="n">
        <v>9.77</v>
      </c>
      <c r="J205" s="8" t="n">
        <v>9.539999999999999</v>
      </c>
      <c r="K205" s="8" t="n">
        <v>12.51</v>
      </c>
      <c r="L205" s="8" t="n">
        <v>11.54</v>
      </c>
      <c r="M205" s="8" t="n">
        <v>12.7</v>
      </c>
      <c r="N205" s="4" t="n">
        <v>11.72</v>
      </c>
    </row>
    <row r="206">
      <c r="A206" s="2" t="inlineStr">
        <is>
          <t>TWH0331</t>
        </is>
      </c>
      <c r="B206" s="8" t="inlineStr">
        <is>
          <t>2030-04-01 00:00:00</t>
        </is>
      </c>
      <c r="C206" s="8" t="n">
        <v>14.92</v>
      </c>
      <c r="D206" s="8" t="n">
        <v>17.34</v>
      </c>
      <c r="E206" s="8" t="n">
        <v>18.54</v>
      </c>
      <c r="F206" s="8" t="n">
        <v>18.67</v>
      </c>
      <c r="G206" s="8" t="n">
        <v>20.52</v>
      </c>
      <c r="H206" s="8" t="n">
        <v>17.62</v>
      </c>
      <c r="I206" s="8" t="n">
        <v>12.72</v>
      </c>
      <c r="J206" s="8" t="n">
        <v>13.07</v>
      </c>
      <c r="K206" s="8" t="n">
        <v>16.55</v>
      </c>
      <c r="L206" s="8" t="n">
        <v>14.92</v>
      </c>
      <c r="M206" s="8" t="n">
        <v>17.55</v>
      </c>
      <c r="N206" s="4" t="n">
        <v>15.39</v>
      </c>
    </row>
    <row r="207">
      <c r="A207" s="2" t="inlineStr">
        <is>
          <t>TWH0331</t>
        </is>
      </c>
      <c r="B207" s="8" t="inlineStr">
        <is>
          <t>2030-05-01 00:00:00</t>
        </is>
      </c>
      <c r="C207" s="8" t="n">
        <v>13.52</v>
      </c>
      <c r="D207" s="8" t="n">
        <v>17.91</v>
      </c>
      <c r="E207" s="8" t="n">
        <v>20.72</v>
      </c>
      <c r="F207" s="8" t="n">
        <v>17.58</v>
      </c>
      <c r="G207" s="8" t="n">
        <v>22.47</v>
      </c>
      <c r="H207" s="8" t="n">
        <v>16.51</v>
      </c>
      <c r="I207" s="8" t="n">
        <v>13.73</v>
      </c>
      <c r="J207" s="8" t="n">
        <v>14</v>
      </c>
      <c r="K207" s="8" t="n">
        <v>15.06</v>
      </c>
      <c r="L207" s="8" t="n">
        <v>14.42</v>
      </c>
      <c r="M207" s="8" t="n">
        <v>16.46</v>
      </c>
      <c r="N207" s="4" t="n">
        <v>14.87</v>
      </c>
    </row>
    <row r="208">
      <c r="A208" s="2" t="inlineStr">
        <is>
          <t>TWH0331</t>
        </is>
      </c>
      <c r="B208" s="8" t="inlineStr">
        <is>
          <t>2030-06-01 00:00:00</t>
        </is>
      </c>
      <c r="C208" s="8" t="n">
        <v>14.3</v>
      </c>
      <c r="D208" s="8" t="n">
        <v>18.17</v>
      </c>
      <c r="E208" s="8" t="n">
        <v>26.4</v>
      </c>
      <c r="F208" s="8" t="n">
        <v>18.12</v>
      </c>
      <c r="G208" s="8" t="n">
        <v>27.47</v>
      </c>
      <c r="H208" s="8" t="n">
        <v>17.68</v>
      </c>
      <c r="I208" s="8" t="n">
        <v>13.05</v>
      </c>
      <c r="J208" s="8" t="n">
        <v>12.45</v>
      </c>
      <c r="K208" s="8" t="n">
        <v>15.35</v>
      </c>
      <c r="L208" s="8" t="n">
        <v>14.57</v>
      </c>
      <c r="M208" s="8" t="n">
        <v>18.11</v>
      </c>
      <c r="N208" s="4" t="n">
        <v>16.65</v>
      </c>
    </row>
    <row r="209">
      <c r="A209" s="2" t="inlineStr">
        <is>
          <t>TWH0331</t>
        </is>
      </c>
      <c r="B209" s="8" t="inlineStr">
        <is>
          <t>2030-07-01 00:00:00</t>
        </is>
      </c>
      <c r="C209" s="8" t="n">
        <v>13.65</v>
      </c>
      <c r="D209" s="8" t="n">
        <v>16.59</v>
      </c>
      <c r="E209" s="8" t="n">
        <v>24.7</v>
      </c>
      <c r="F209" s="8" t="n">
        <v>18.26</v>
      </c>
      <c r="G209" s="8" t="n">
        <v>26.58</v>
      </c>
      <c r="H209" s="8" t="n">
        <v>17.41</v>
      </c>
      <c r="I209" s="8" t="n">
        <v>13.61</v>
      </c>
      <c r="J209" s="8" t="n">
        <v>13.08</v>
      </c>
      <c r="K209" s="8" t="n">
        <v>16.87</v>
      </c>
      <c r="L209" s="8" t="n">
        <v>14.51</v>
      </c>
      <c r="M209" s="8" t="n">
        <v>19.01</v>
      </c>
      <c r="N209" s="4" t="n">
        <v>16.28</v>
      </c>
    </row>
    <row r="210">
      <c r="A210" s="2" t="inlineStr">
        <is>
          <t>TWH0331</t>
        </is>
      </c>
      <c r="B210" s="8" t="inlineStr">
        <is>
          <t>2030-08-01 00:00:00</t>
        </is>
      </c>
      <c r="C210" s="8" t="n">
        <v>13.73</v>
      </c>
      <c r="D210" s="8" t="n">
        <v>17.19</v>
      </c>
      <c r="E210" s="8" t="n">
        <v>18.07</v>
      </c>
      <c r="F210" s="8" t="n">
        <v>16.67</v>
      </c>
      <c r="G210" s="8" t="n">
        <v>19.09</v>
      </c>
      <c r="H210" s="8" t="n">
        <v>17.26</v>
      </c>
      <c r="I210" s="8" t="n">
        <v>15.44</v>
      </c>
      <c r="J210" s="8" t="n">
        <v>15.08</v>
      </c>
      <c r="K210" s="8" t="n">
        <v>17.54</v>
      </c>
      <c r="L210" s="8" t="n">
        <v>16.31</v>
      </c>
      <c r="M210" s="8" t="n">
        <v>19.14</v>
      </c>
      <c r="N210" s="4" t="n">
        <v>16.92</v>
      </c>
    </row>
    <row r="211">
      <c r="A211" s="2" t="inlineStr">
        <is>
          <t>TWH0331</t>
        </is>
      </c>
      <c r="B211" s="8" t="inlineStr">
        <is>
          <t>2030-09-01 00:00:00</t>
        </is>
      </c>
      <c r="C211" s="8" t="n">
        <v>10.08</v>
      </c>
      <c r="D211" s="8" t="n">
        <v>17.38</v>
      </c>
      <c r="E211" s="8" t="n">
        <v>21.45</v>
      </c>
      <c r="F211" s="8" t="n">
        <v>18.55</v>
      </c>
      <c r="G211" s="8" t="n">
        <v>24.48</v>
      </c>
      <c r="H211" s="8" t="n">
        <v>18.07</v>
      </c>
      <c r="I211" s="8" t="n">
        <v>8.609999999999999</v>
      </c>
      <c r="J211" s="8" t="n">
        <v>9.49</v>
      </c>
      <c r="K211" s="8" t="n">
        <v>14.04</v>
      </c>
      <c r="L211" s="8" t="n">
        <v>12.45</v>
      </c>
      <c r="M211" s="8" t="n">
        <v>18.14</v>
      </c>
      <c r="N211" s="4" t="n">
        <v>14.75</v>
      </c>
    </row>
    <row r="212">
      <c r="A212" s="2" t="inlineStr">
        <is>
          <t>TWH0331</t>
        </is>
      </c>
      <c r="B212" s="8" t="inlineStr">
        <is>
          <t>2030-10-01 00:00:00</t>
        </is>
      </c>
      <c r="C212" s="8" t="n">
        <v>5.81</v>
      </c>
      <c r="D212" s="8" t="n">
        <v>7.82</v>
      </c>
      <c r="E212" s="8" t="n">
        <v>9.16</v>
      </c>
      <c r="F212" s="8" t="n">
        <v>7.85</v>
      </c>
      <c r="G212" s="8" t="n">
        <v>9.32</v>
      </c>
      <c r="H212" s="8" t="n">
        <v>9.24</v>
      </c>
      <c r="I212" s="8" t="n">
        <v>6.55</v>
      </c>
      <c r="J212" s="8" t="n">
        <v>6.47</v>
      </c>
      <c r="K212" s="8" t="n">
        <v>7.28</v>
      </c>
      <c r="L212" s="8" t="n">
        <v>6.28</v>
      </c>
      <c r="M212" s="8" t="n">
        <v>7.84</v>
      </c>
      <c r="N212" s="4" t="n">
        <v>7.58</v>
      </c>
    </row>
    <row r="213">
      <c r="A213" s="2" t="inlineStr">
        <is>
          <t>TWH0331</t>
        </is>
      </c>
      <c r="B213" s="8" t="inlineStr">
        <is>
          <t>2030-11-01 00:00:00</t>
        </is>
      </c>
      <c r="C213" s="8" t="n">
        <v>4.78</v>
      </c>
      <c r="D213" s="8" t="n">
        <v>7.33</v>
      </c>
      <c r="E213" s="8" t="n">
        <v>10.54</v>
      </c>
      <c r="F213" s="8" t="n">
        <v>9.85</v>
      </c>
      <c r="G213" s="8" t="n">
        <v>10.45</v>
      </c>
      <c r="H213" s="8" t="n">
        <v>8.5</v>
      </c>
      <c r="I213" s="8" t="n">
        <v>4.74</v>
      </c>
      <c r="J213" s="8" t="n">
        <v>4.25</v>
      </c>
      <c r="K213" s="8" t="n">
        <v>6.95</v>
      </c>
      <c r="L213" s="8" t="n">
        <v>6.05</v>
      </c>
      <c r="M213" s="8" t="n">
        <v>6.91</v>
      </c>
      <c r="N213" s="4" t="n">
        <v>6.56</v>
      </c>
    </row>
    <row r="214">
      <c r="A214" s="2" t="inlineStr">
        <is>
          <t>TWH0331</t>
        </is>
      </c>
      <c r="B214" s="8" t="inlineStr">
        <is>
          <t>2030-12-01 00:00:00</t>
        </is>
      </c>
      <c r="C214" s="8" t="n">
        <v>6.03</v>
      </c>
      <c r="D214" s="8" t="n">
        <v>6.63</v>
      </c>
      <c r="E214" s="8" t="n">
        <v>10.83</v>
      </c>
      <c r="F214" s="8" t="n">
        <v>10</v>
      </c>
      <c r="G214" s="8" t="n">
        <v>9.58</v>
      </c>
      <c r="H214" s="8" t="n">
        <v>7.88</v>
      </c>
      <c r="I214" s="8" t="n">
        <v>5.75</v>
      </c>
      <c r="J214" s="8" t="n">
        <v>5.38</v>
      </c>
      <c r="K214" s="8" t="n">
        <v>7.5</v>
      </c>
      <c r="L214" s="8" t="n">
        <v>7.33</v>
      </c>
      <c r="M214" s="8" t="n">
        <v>7.88</v>
      </c>
      <c r="N214" s="4" t="n">
        <v>6.97</v>
      </c>
    </row>
    <row r="215">
      <c r="A215" s="2" t="inlineStr">
        <is>
          <t>TWH0331</t>
        </is>
      </c>
      <c r="B215" s="8" t="inlineStr">
        <is>
          <t>2031-01-01 00:00:00</t>
        </is>
      </c>
      <c r="C215" s="8" t="n">
        <v>10.52</v>
      </c>
      <c r="D215" s="8" t="n">
        <v>11.1</v>
      </c>
      <c r="E215" s="8" t="n">
        <v>14.35</v>
      </c>
      <c r="F215" s="8" t="n">
        <v>15.44</v>
      </c>
      <c r="G215" s="8" t="n">
        <v>16.21</v>
      </c>
      <c r="H215" s="8" t="n">
        <v>14.01</v>
      </c>
      <c r="I215" s="8" t="n">
        <v>8.02</v>
      </c>
      <c r="J215" s="8" t="n">
        <v>7</v>
      </c>
      <c r="K215" s="8" t="n">
        <v>9.039999999999999</v>
      </c>
      <c r="L215" s="8" t="n">
        <v>9.44</v>
      </c>
      <c r="M215" s="8" t="n">
        <v>11.14</v>
      </c>
      <c r="N215" s="4" t="n">
        <v>10.06</v>
      </c>
    </row>
    <row r="216">
      <c r="A216" s="2" t="inlineStr">
        <is>
          <t>TWH0331</t>
        </is>
      </c>
      <c r="B216" s="8" t="inlineStr">
        <is>
          <t>2031-02-01 00:00:00</t>
        </is>
      </c>
      <c r="C216" s="8" t="n">
        <v>9.66</v>
      </c>
      <c r="D216" s="8" t="n">
        <v>11.64</v>
      </c>
      <c r="E216" s="8" t="n">
        <v>14.43</v>
      </c>
      <c r="F216" s="8" t="n">
        <v>13.95</v>
      </c>
      <c r="G216" s="8" t="n">
        <v>15.57</v>
      </c>
      <c r="H216" s="8" t="n">
        <v>13.56</v>
      </c>
      <c r="I216" s="8" t="n">
        <v>8.539999999999999</v>
      </c>
      <c r="J216" s="8" t="n">
        <v>7.17</v>
      </c>
      <c r="K216" s="8" t="n">
        <v>10.6</v>
      </c>
      <c r="L216" s="8" t="n">
        <v>10.81</v>
      </c>
      <c r="M216" s="8" t="n">
        <v>12.59</v>
      </c>
      <c r="N216" s="4" t="n">
        <v>11.2</v>
      </c>
    </row>
    <row r="217">
      <c r="A217" s="2" t="inlineStr">
        <is>
          <t>TWH0331</t>
        </is>
      </c>
      <c r="B217" s="8" t="inlineStr">
        <is>
          <t>2031-03-01 00:00:00</t>
        </is>
      </c>
      <c r="C217" s="8" t="n">
        <v>9.94</v>
      </c>
      <c r="D217" s="8" t="n">
        <v>12.15</v>
      </c>
      <c r="E217" s="8" t="n">
        <v>13.79</v>
      </c>
      <c r="F217" s="8" t="n">
        <v>13.09</v>
      </c>
      <c r="G217" s="8" t="n">
        <v>13.88</v>
      </c>
      <c r="H217" s="8" t="n">
        <v>12.64</v>
      </c>
      <c r="I217" s="8" t="n">
        <v>9.77</v>
      </c>
      <c r="J217" s="8" t="n">
        <v>9.539999999999999</v>
      </c>
      <c r="K217" s="8" t="n">
        <v>12.51</v>
      </c>
      <c r="L217" s="8" t="n">
        <v>11.54</v>
      </c>
      <c r="M217" s="8" t="n">
        <v>12.7</v>
      </c>
      <c r="N217" s="4" t="n">
        <v>11.72</v>
      </c>
    </row>
    <row r="218">
      <c r="A218" s="2" t="inlineStr">
        <is>
          <t>TWH0331</t>
        </is>
      </c>
      <c r="B218" s="8" t="inlineStr">
        <is>
          <t>2031-04-01 00:00:00</t>
        </is>
      </c>
      <c r="C218" s="8" t="n">
        <v>14.92</v>
      </c>
      <c r="D218" s="8" t="n">
        <v>17.34</v>
      </c>
      <c r="E218" s="8" t="n">
        <v>18.54</v>
      </c>
      <c r="F218" s="8" t="n">
        <v>18.67</v>
      </c>
      <c r="G218" s="8" t="n">
        <v>20.52</v>
      </c>
      <c r="H218" s="8" t="n">
        <v>17.62</v>
      </c>
      <c r="I218" s="8" t="n">
        <v>12.72</v>
      </c>
      <c r="J218" s="8" t="n">
        <v>13.07</v>
      </c>
      <c r="K218" s="8" t="n">
        <v>16.55</v>
      </c>
      <c r="L218" s="8" t="n">
        <v>14.92</v>
      </c>
      <c r="M218" s="8" t="n">
        <v>17.55</v>
      </c>
      <c r="N218" s="4" t="n">
        <v>15.39</v>
      </c>
    </row>
    <row r="219">
      <c r="A219" s="2" t="inlineStr">
        <is>
          <t>TWH0331</t>
        </is>
      </c>
      <c r="B219" s="8" t="inlineStr">
        <is>
          <t>2031-05-01 00:00:00</t>
        </is>
      </c>
      <c r="C219" s="8" t="n">
        <v>13.52</v>
      </c>
      <c r="D219" s="8" t="n">
        <v>17.91</v>
      </c>
      <c r="E219" s="8" t="n">
        <v>20.72</v>
      </c>
      <c r="F219" s="8" t="n">
        <v>17.58</v>
      </c>
      <c r="G219" s="8" t="n">
        <v>22.47</v>
      </c>
      <c r="H219" s="8" t="n">
        <v>16.51</v>
      </c>
      <c r="I219" s="8" t="n">
        <v>13.73</v>
      </c>
      <c r="J219" s="8" t="n">
        <v>14</v>
      </c>
      <c r="K219" s="8" t="n">
        <v>15.06</v>
      </c>
      <c r="L219" s="8" t="n">
        <v>14.42</v>
      </c>
      <c r="M219" s="8" t="n">
        <v>16.46</v>
      </c>
      <c r="N219" s="4" t="n">
        <v>14.87</v>
      </c>
    </row>
    <row r="220">
      <c r="A220" s="2" t="inlineStr">
        <is>
          <t>TWH0331</t>
        </is>
      </c>
      <c r="B220" s="8" t="inlineStr">
        <is>
          <t>2031-06-01 00:00:00</t>
        </is>
      </c>
      <c r="C220" s="8" t="n">
        <v>14.3</v>
      </c>
      <c r="D220" s="8" t="n">
        <v>18.17</v>
      </c>
      <c r="E220" s="8" t="n">
        <v>26.4</v>
      </c>
      <c r="F220" s="8" t="n">
        <v>18.12</v>
      </c>
      <c r="G220" s="8" t="n">
        <v>27.47</v>
      </c>
      <c r="H220" s="8" t="n">
        <v>17.68</v>
      </c>
      <c r="I220" s="8" t="n">
        <v>13.05</v>
      </c>
      <c r="J220" s="8" t="n">
        <v>12.45</v>
      </c>
      <c r="K220" s="8" t="n">
        <v>15.35</v>
      </c>
      <c r="L220" s="8" t="n">
        <v>14.57</v>
      </c>
      <c r="M220" s="8" t="n">
        <v>18.11</v>
      </c>
      <c r="N220" s="4" t="n">
        <v>16.65</v>
      </c>
    </row>
    <row r="221">
      <c r="A221" s="2" t="inlineStr">
        <is>
          <t>TKR0331</t>
        </is>
      </c>
      <c r="B221" s="8" t="inlineStr">
        <is>
          <t>2026-07-01 00:00:00</t>
        </is>
      </c>
      <c r="C221" s="8" t="n">
        <v>11.44</v>
      </c>
      <c r="D221" s="8" t="n">
        <v>13.87</v>
      </c>
      <c r="E221" s="8" t="n">
        <v>21.61</v>
      </c>
      <c r="F221" s="8" t="n">
        <v>15.26</v>
      </c>
      <c r="G221" s="8" t="n">
        <v>23.17</v>
      </c>
      <c r="H221" s="8" t="n">
        <v>14.55</v>
      </c>
      <c r="I221" s="8" t="n">
        <v>11.41</v>
      </c>
      <c r="J221" s="8" t="n">
        <v>10.98</v>
      </c>
      <c r="K221" s="8" t="n">
        <v>14.1</v>
      </c>
      <c r="L221" s="8" t="n">
        <v>12.16</v>
      </c>
      <c r="M221" s="8" t="n">
        <v>15.88</v>
      </c>
      <c r="N221" s="4" t="n">
        <v>13.62</v>
      </c>
    </row>
    <row r="222">
      <c r="A222" s="2" t="inlineStr">
        <is>
          <t>TKR0331</t>
        </is>
      </c>
      <c r="B222" s="8" t="inlineStr">
        <is>
          <t>2026-08-01 00:00:00</t>
        </is>
      </c>
      <c r="C222" s="8" t="n">
        <v>11.63</v>
      </c>
      <c r="D222" s="8" t="n">
        <v>14.52</v>
      </c>
      <c r="E222" s="8" t="n">
        <v>15.27</v>
      </c>
      <c r="F222" s="8" t="n">
        <v>14.1</v>
      </c>
      <c r="G222" s="8" t="n">
        <v>16.11</v>
      </c>
      <c r="H222" s="8" t="n">
        <v>14.59</v>
      </c>
      <c r="I222" s="8" t="n">
        <v>13.06</v>
      </c>
      <c r="J222" s="8" t="n">
        <v>12.77</v>
      </c>
      <c r="K222" s="8" t="n">
        <v>14.82</v>
      </c>
      <c r="L222" s="8" t="n">
        <v>13.8</v>
      </c>
      <c r="M222" s="8" t="n">
        <v>16.16</v>
      </c>
      <c r="N222" s="4" t="n">
        <v>14.3</v>
      </c>
    </row>
    <row r="223">
      <c r="A223" s="2" t="inlineStr">
        <is>
          <t>TKR0331</t>
        </is>
      </c>
      <c r="B223" s="8" t="inlineStr">
        <is>
          <t>2026-09-01 00:00:00</t>
        </is>
      </c>
      <c r="C223" s="8" t="n">
        <v>6.15</v>
      </c>
      <c r="D223" s="8" t="n">
        <v>10.47</v>
      </c>
      <c r="E223" s="8" t="n">
        <v>12.88</v>
      </c>
      <c r="F223" s="8" t="n">
        <v>11.16</v>
      </c>
      <c r="G223" s="8" t="n">
        <v>14.68</v>
      </c>
      <c r="H223" s="8" t="n">
        <v>10.88</v>
      </c>
      <c r="I223" s="8" t="n">
        <v>5.28</v>
      </c>
      <c r="J223" s="8" t="n">
        <v>5.8</v>
      </c>
      <c r="K223" s="8" t="n">
        <v>8.49</v>
      </c>
      <c r="L223" s="8" t="n">
        <v>7.55</v>
      </c>
      <c r="M223" s="8" t="n">
        <v>10.92</v>
      </c>
      <c r="N223" s="4" t="n">
        <v>8.92</v>
      </c>
    </row>
    <row r="224">
      <c r="A224" s="2" t="inlineStr">
        <is>
          <t>TKR0331</t>
        </is>
      </c>
      <c r="B224" s="8" t="inlineStr">
        <is>
          <t>2026-10-01 00:00:00</t>
        </is>
      </c>
      <c r="C224" s="8" t="n">
        <v>5.83</v>
      </c>
      <c r="D224" s="8" t="n">
        <v>7.85</v>
      </c>
      <c r="E224" s="8" t="n">
        <v>9.199999999999999</v>
      </c>
      <c r="F224" s="8" t="n">
        <v>7.88</v>
      </c>
      <c r="G224" s="8" t="n">
        <v>9.359999999999999</v>
      </c>
      <c r="H224" s="8" t="n">
        <v>9.279999999999999</v>
      </c>
      <c r="I224" s="8" t="n">
        <v>6.58</v>
      </c>
      <c r="J224" s="8" t="n">
        <v>6.49</v>
      </c>
      <c r="K224" s="8" t="n">
        <v>7.31</v>
      </c>
      <c r="L224" s="8" t="n">
        <v>6.3</v>
      </c>
      <c r="M224" s="8" t="n">
        <v>7.87</v>
      </c>
      <c r="N224" s="4" t="n">
        <v>7.61</v>
      </c>
    </row>
    <row r="225">
      <c r="A225" s="2" t="inlineStr">
        <is>
          <t>TKR0331</t>
        </is>
      </c>
      <c r="B225" s="8" t="inlineStr">
        <is>
          <t>2026-11-01 00:00:00</t>
        </is>
      </c>
      <c r="C225" s="8" t="n">
        <v>4.53</v>
      </c>
      <c r="D225" s="8" t="n">
        <v>6.95</v>
      </c>
      <c r="E225" s="8" t="n">
        <v>9.98</v>
      </c>
      <c r="F225" s="8" t="n">
        <v>9.33</v>
      </c>
      <c r="G225" s="8" t="n">
        <v>9.9</v>
      </c>
      <c r="H225" s="8" t="n">
        <v>8.06</v>
      </c>
      <c r="I225" s="8" t="n">
        <v>4.49</v>
      </c>
      <c r="J225" s="8" t="n">
        <v>4.03</v>
      </c>
      <c r="K225" s="8" t="n">
        <v>6.58</v>
      </c>
      <c r="L225" s="8" t="n">
        <v>5.74</v>
      </c>
      <c r="M225" s="8" t="n">
        <v>6.55</v>
      </c>
      <c r="N225" s="4" t="n">
        <v>6.21</v>
      </c>
    </row>
    <row r="226">
      <c r="A226" s="2" t="inlineStr">
        <is>
          <t>TKR0331</t>
        </is>
      </c>
      <c r="B226" s="8" t="inlineStr">
        <is>
          <t>2026-12-01 00:00:00</t>
        </is>
      </c>
      <c r="C226" s="8" t="n">
        <v>5.08</v>
      </c>
      <c r="D226" s="8" t="n">
        <v>5.57</v>
      </c>
      <c r="E226" s="8" t="n">
        <v>9.06</v>
      </c>
      <c r="F226" s="8" t="n">
        <v>8.380000000000001</v>
      </c>
      <c r="G226" s="8" t="n">
        <v>8.029999999999999</v>
      </c>
      <c r="H226" s="8" t="n">
        <v>6.62</v>
      </c>
      <c r="I226" s="8" t="n">
        <v>4.85</v>
      </c>
      <c r="J226" s="8" t="n">
        <v>4.54</v>
      </c>
      <c r="K226" s="8" t="n">
        <v>6.3</v>
      </c>
      <c r="L226" s="8" t="n">
        <v>6.16</v>
      </c>
      <c r="M226" s="8" t="n">
        <v>6.62</v>
      </c>
      <c r="N226" s="4" t="n">
        <v>5.86</v>
      </c>
    </row>
    <row r="227">
      <c r="A227" s="2" t="inlineStr">
        <is>
          <t>TKR0331</t>
        </is>
      </c>
      <c r="B227" s="8" t="inlineStr">
        <is>
          <t>2027-01-01 00:00:00</t>
        </is>
      </c>
      <c r="C227" s="8" t="n">
        <v>10.94</v>
      </c>
      <c r="D227" s="8" t="n">
        <v>11.55</v>
      </c>
      <c r="E227" s="8" t="n">
        <v>14.93</v>
      </c>
      <c r="F227" s="8" t="n">
        <v>16.07</v>
      </c>
      <c r="G227" s="8" t="n">
        <v>16.88</v>
      </c>
      <c r="H227" s="8" t="n">
        <v>14.58</v>
      </c>
      <c r="I227" s="8" t="n">
        <v>8.33</v>
      </c>
      <c r="J227" s="8" t="n">
        <v>7.27</v>
      </c>
      <c r="K227" s="8" t="n">
        <v>9.390000000000001</v>
      </c>
      <c r="L227" s="8" t="n">
        <v>9.81</v>
      </c>
      <c r="M227" s="8" t="n">
        <v>11.59</v>
      </c>
      <c r="N227" s="4" t="n">
        <v>10.45</v>
      </c>
    </row>
    <row r="228">
      <c r="A228" s="2" t="inlineStr">
        <is>
          <t>TKR0331</t>
        </is>
      </c>
      <c r="B228" s="8" t="inlineStr">
        <is>
          <t>2027-02-01 00:00:00</t>
        </is>
      </c>
      <c r="C228" s="8" t="n">
        <v>10.3</v>
      </c>
      <c r="D228" s="8" t="n">
        <v>12.43</v>
      </c>
      <c r="E228" s="8" t="n">
        <v>15.41</v>
      </c>
      <c r="F228" s="8" t="n">
        <v>14.9</v>
      </c>
      <c r="G228" s="8" t="n">
        <v>16.64</v>
      </c>
      <c r="H228" s="8" t="n">
        <v>14.49</v>
      </c>
      <c r="I228" s="8" t="n">
        <v>9.1</v>
      </c>
      <c r="J228" s="8" t="n">
        <v>7.63</v>
      </c>
      <c r="K228" s="8" t="n">
        <v>11.31</v>
      </c>
      <c r="L228" s="8" t="n">
        <v>11.53</v>
      </c>
      <c r="M228" s="8" t="n">
        <v>13.44</v>
      </c>
      <c r="N228" s="4" t="n">
        <v>11.96</v>
      </c>
    </row>
    <row r="229">
      <c r="A229" s="2" t="inlineStr">
        <is>
          <t>TKR0331</t>
        </is>
      </c>
      <c r="B229" s="8" t="inlineStr">
        <is>
          <t>2027-03-01 00:00:00</t>
        </is>
      </c>
      <c r="C229" s="8" t="n">
        <v>10.7</v>
      </c>
      <c r="D229" s="8" t="n">
        <v>13.09</v>
      </c>
      <c r="E229" s="8" t="n">
        <v>14.86</v>
      </c>
      <c r="F229" s="8" t="n">
        <v>14.1</v>
      </c>
      <c r="G229" s="8" t="n">
        <v>14.95</v>
      </c>
      <c r="H229" s="8" t="n">
        <v>13.61</v>
      </c>
      <c r="I229" s="8" t="n">
        <v>10.5</v>
      </c>
      <c r="J229" s="8" t="n">
        <v>10.26</v>
      </c>
      <c r="K229" s="8" t="n">
        <v>13.47</v>
      </c>
      <c r="L229" s="8" t="n">
        <v>12.42</v>
      </c>
      <c r="M229" s="8" t="n">
        <v>13.67</v>
      </c>
      <c r="N229" s="4" t="n">
        <v>12.62</v>
      </c>
    </row>
    <row r="230">
      <c r="A230" s="2" t="inlineStr">
        <is>
          <t>TKR0331</t>
        </is>
      </c>
      <c r="B230" s="8" t="inlineStr">
        <is>
          <t>2027-04-01 00:00:00</t>
        </is>
      </c>
      <c r="C230" s="8" t="n">
        <v>15.76</v>
      </c>
      <c r="D230" s="8" t="n">
        <v>18.32</v>
      </c>
      <c r="E230" s="8" t="n">
        <v>19.59</v>
      </c>
      <c r="F230" s="8" t="n">
        <v>19.73</v>
      </c>
      <c r="G230" s="8" t="n">
        <v>21.68</v>
      </c>
      <c r="H230" s="8" t="n">
        <v>18.62</v>
      </c>
      <c r="I230" s="8" t="n">
        <v>13.43</v>
      </c>
      <c r="J230" s="8" t="n">
        <v>13.8</v>
      </c>
      <c r="K230" s="8" t="n">
        <v>17.48</v>
      </c>
      <c r="L230" s="8" t="n">
        <v>15.75</v>
      </c>
      <c r="M230" s="8" t="n">
        <v>18.54</v>
      </c>
      <c r="N230" s="4" t="n">
        <v>16.25</v>
      </c>
    </row>
    <row r="231">
      <c r="A231" s="2" t="inlineStr">
        <is>
          <t>TKR0331</t>
        </is>
      </c>
      <c r="B231" s="8" t="inlineStr">
        <is>
          <t>2027-05-01 00:00:00</t>
        </is>
      </c>
      <c r="C231" s="8" t="n">
        <v>14.4</v>
      </c>
      <c r="D231" s="8" t="n">
        <v>19.1</v>
      </c>
      <c r="E231" s="8" t="n">
        <v>22.11</v>
      </c>
      <c r="F231" s="8" t="n">
        <v>18.75</v>
      </c>
      <c r="G231" s="8" t="n">
        <v>23.99</v>
      </c>
      <c r="H231" s="8" t="n">
        <v>17.61</v>
      </c>
      <c r="I231" s="8" t="n">
        <v>14.62</v>
      </c>
      <c r="J231" s="8" t="n">
        <v>14.91</v>
      </c>
      <c r="K231" s="8" t="n">
        <v>16.06</v>
      </c>
      <c r="L231" s="8" t="n">
        <v>15.37</v>
      </c>
      <c r="M231" s="8" t="n">
        <v>17.55</v>
      </c>
      <c r="N231" s="4" t="n">
        <v>15.85</v>
      </c>
    </row>
    <row r="232">
      <c r="A232" s="2" t="inlineStr">
        <is>
          <t>TKR0331</t>
        </is>
      </c>
      <c r="B232" s="8" t="inlineStr">
        <is>
          <t>2027-06-01 00:00:00</t>
        </is>
      </c>
      <c r="C232" s="8" t="n">
        <v>14.7</v>
      </c>
      <c r="D232" s="8" t="n">
        <v>18.69</v>
      </c>
      <c r="E232" s="8" t="n">
        <v>26.99</v>
      </c>
      <c r="F232" s="8" t="n">
        <v>18.64</v>
      </c>
      <c r="G232" s="8" t="n">
        <v>28.09</v>
      </c>
      <c r="H232" s="8" t="n">
        <v>18.19</v>
      </c>
      <c r="I232" s="8" t="n">
        <v>13.42</v>
      </c>
      <c r="J232" s="8" t="n">
        <v>12.8</v>
      </c>
      <c r="K232" s="8" t="n">
        <v>15.79</v>
      </c>
      <c r="L232" s="8" t="n">
        <v>14.98</v>
      </c>
      <c r="M232" s="8" t="n">
        <v>18.63</v>
      </c>
      <c r="N232" s="4" t="n">
        <v>17.13</v>
      </c>
    </row>
    <row r="233">
      <c r="A233" s="2" t="inlineStr">
        <is>
          <t>TKR0331</t>
        </is>
      </c>
      <c r="B233" s="8" t="inlineStr">
        <is>
          <t>2027-07-01 00:00:00</t>
        </is>
      </c>
      <c r="C233" s="8" t="n">
        <v>14.18</v>
      </c>
      <c r="D233" s="8" t="n">
        <v>17.25</v>
      </c>
      <c r="E233" s="8" t="n">
        <v>25.44</v>
      </c>
      <c r="F233" s="8" t="n">
        <v>18.99</v>
      </c>
      <c r="G233" s="8" t="n">
        <v>27.4</v>
      </c>
      <c r="H233" s="8" t="n">
        <v>18.1</v>
      </c>
      <c r="I233" s="8" t="n">
        <v>14.14</v>
      </c>
      <c r="J233" s="8" t="n">
        <v>13.59</v>
      </c>
      <c r="K233" s="8" t="n">
        <v>17.54</v>
      </c>
      <c r="L233" s="8" t="n">
        <v>15.08</v>
      </c>
      <c r="M233" s="8" t="n">
        <v>19.77</v>
      </c>
      <c r="N233" s="4" t="n">
        <v>16.92</v>
      </c>
    </row>
    <row r="234">
      <c r="A234" s="2" t="inlineStr">
        <is>
          <t>TKR0331</t>
        </is>
      </c>
      <c r="B234" s="8" t="inlineStr">
        <is>
          <t>2027-08-01 00:00:00</t>
        </is>
      </c>
      <c r="C234" s="8" t="n">
        <v>14.18</v>
      </c>
      <c r="D234" s="8" t="n">
        <v>17.77</v>
      </c>
      <c r="E234" s="8" t="n">
        <v>18.69</v>
      </c>
      <c r="F234" s="8" t="n">
        <v>17.23</v>
      </c>
      <c r="G234" s="8" t="n">
        <v>19.73</v>
      </c>
      <c r="H234" s="8" t="n">
        <v>17.85</v>
      </c>
      <c r="I234" s="8" t="n">
        <v>15.96</v>
      </c>
      <c r="J234" s="8" t="n">
        <v>15.59</v>
      </c>
      <c r="K234" s="8" t="n">
        <v>18.13</v>
      </c>
      <c r="L234" s="8" t="n">
        <v>16.87</v>
      </c>
      <c r="M234" s="8" t="n">
        <v>19.79</v>
      </c>
      <c r="N234" s="4" t="n">
        <v>17.49</v>
      </c>
    </row>
    <row r="235">
      <c r="A235" s="2" t="inlineStr">
        <is>
          <t>TKR0331</t>
        </is>
      </c>
      <c r="B235" s="8" t="inlineStr">
        <is>
          <t>2027-09-01 00:00:00</t>
        </is>
      </c>
      <c r="C235" s="8" t="n">
        <v>10.18</v>
      </c>
      <c r="D235" s="8" t="n">
        <v>17.57</v>
      </c>
      <c r="E235" s="8" t="n">
        <v>21.69</v>
      </c>
      <c r="F235" s="8" t="n">
        <v>18.75</v>
      </c>
      <c r="G235" s="8" t="n">
        <v>24.76</v>
      </c>
      <c r="H235" s="8" t="n">
        <v>18.27</v>
      </c>
      <c r="I235" s="8" t="n">
        <v>8.69</v>
      </c>
      <c r="J235" s="8" t="n">
        <v>9.58</v>
      </c>
      <c r="K235" s="8" t="n">
        <v>14.19</v>
      </c>
      <c r="L235" s="8" t="n">
        <v>12.58</v>
      </c>
      <c r="M235" s="8" t="n">
        <v>18.34</v>
      </c>
      <c r="N235" s="4" t="n">
        <v>14.91</v>
      </c>
    </row>
    <row r="236">
      <c r="A236" s="2" t="inlineStr">
        <is>
          <t>TKR0331</t>
        </is>
      </c>
      <c r="B236" s="8" t="inlineStr">
        <is>
          <t>2027-10-01 00:00:00</t>
        </is>
      </c>
      <c r="C236" s="8" t="n">
        <v>5.65</v>
      </c>
      <c r="D236" s="8" t="n">
        <v>7.59</v>
      </c>
      <c r="E236" s="8" t="n">
        <v>8.890000000000001</v>
      </c>
      <c r="F236" s="8" t="n">
        <v>7.62</v>
      </c>
      <c r="G236" s="8" t="n">
        <v>9.050000000000001</v>
      </c>
      <c r="H236" s="8" t="n">
        <v>8.970000000000001</v>
      </c>
      <c r="I236" s="8" t="n">
        <v>6.37</v>
      </c>
      <c r="J236" s="8" t="n">
        <v>6.28</v>
      </c>
      <c r="K236" s="8" t="n">
        <v>7.07</v>
      </c>
      <c r="L236" s="8" t="n">
        <v>6.1</v>
      </c>
      <c r="M236" s="8" t="n">
        <v>7.61</v>
      </c>
      <c r="N236" s="4" t="n">
        <v>7.36</v>
      </c>
    </row>
    <row r="237">
      <c r="A237" s="2" t="inlineStr">
        <is>
          <t>TKR0331</t>
        </is>
      </c>
      <c r="B237" s="8" t="inlineStr">
        <is>
          <t>2027-11-01 00:00:00</t>
        </is>
      </c>
      <c r="C237" s="8" t="n">
        <v>4.5</v>
      </c>
      <c r="D237" s="8" t="n">
        <v>6.89</v>
      </c>
      <c r="E237" s="8" t="n">
        <v>9.890000000000001</v>
      </c>
      <c r="F237" s="8" t="n">
        <v>9.25</v>
      </c>
      <c r="G237" s="8" t="n">
        <v>9.81</v>
      </c>
      <c r="H237" s="8" t="n">
        <v>7.98</v>
      </c>
      <c r="I237" s="8" t="n">
        <v>4.46</v>
      </c>
      <c r="J237" s="8" t="n">
        <v>4</v>
      </c>
      <c r="K237" s="8" t="n">
        <v>6.53</v>
      </c>
      <c r="L237" s="8" t="n">
        <v>5.69</v>
      </c>
      <c r="M237" s="8" t="n">
        <v>6.49</v>
      </c>
      <c r="N237" s="4" t="n">
        <v>6.16</v>
      </c>
    </row>
    <row r="238">
      <c r="A238" s="2" t="inlineStr">
        <is>
          <t>TKR0331</t>
        </is>
      </c>
      <c r="B238" s="8" t="inlineStr">
        <is>
          <t>2027-12-01 00:00:00</t>
        </is>
      </c>
      <c r="C238" s="8" t="n">
        <v>5.49</v>
      </c>
      <c r="D238" s="8" t="n">
        <v>6.03</v>
      </c>
      <c r="E238" s="8" t="n">
        <v>9.82</v>
      </c>
      <c r="F238" s="8" t="n">
        <v>9.08</v>
      </c>
      <c r="G238" s="8" t="n">
        <v>8.699999999999999</v>
      </c>
      <c r="H238" s="8" t="n">
        <v>7.16</v>
      </c>
      <c r="I238" s="8" t="n">
        <v>5.24</v>
      </c>
      <c r="J238" s="8" t="n">
        <v>4.9</v>
      </c>
      <c r="K238" s="8" t="n">
        <v>6.82</v>
      </c>
      <c r="L238" s="8" t="n">
        <v>6.67</v>
      </c>
      <c r="M238" s="8" t="n">
        <v>7.16</v>
      </c>
      <c r="N238" s="4" t="n">
        <v>6.34</v>
      </c>
    </row>
    <row r="239">
      <c r="A239" s="2" t="inlineStr">
        <is>
          <t>TKR0331</t>
        </is>
      </c>
      <c r="B239" s="8" t="inlineStr">
        <is>
          <t>2028-01-01 00:00:00</t>
        </is>
      </c>
      <c r="C239" s="8" t="n">
        <v>10.41</v>
      </c>
      <c r="D239" s="8" t="n">
        <v>10.99</v>
      </c>
      <c r="E239" s="8" t="n">
        <v>14.2</v>
      </c>
      <c r="F239" s="8" t="n">
        <v>15.28</v>
      </c>
      <c r="G239" s="8" t="n">
        <v>16.05</v>
      </c>
      <c r="H239" s="8" t="n">
        <v>13.87</v>
      </c>
      <c r="I239" s="8" t="n">
        <v>7.94</v>
      </c>
      <c r="J239" s="8" t="n">
        <v>6.93</v>
      </c>
      <c r="K239" s="8" t="n">
        <v>8.949999999999999</v>
      </c>
      <c r="L239" s="8" t="n">
        <v>9.34</v>
      </c>
      <c r="M239" s="8" t="n">
        <v>11.03</v>
      </c>
      <c r="N239" s="4" t="n">
        <v>9.949999999999999</v>
      </c>
    </row>
    <row r="240">
      <c r="A240" s="2" t="inlineStr">
        <is>
          <t>TKR0331</t>
        </is>
      </c>
      <c r="B240" s="8" t="inlineStr">
        <is>
          <t>2028-02-01 00:00:00</t>
        </is>
      </c>
      <c r="C240" s="8" t="n">
        <v>9.779999999999999</v>
      </c>
      <c r="D240" s="8" t="n">
        <v>11.79</v>
      </c>
      <c r="E240" s="8" t="n">
        <v>14.62</v>
      </c>
      <c r="F240" s="8" t="n">
        <v>14.14</v>
      </c>
      <c r="G240" s="8" t="n">
        <v>15.78</v>
      </c>
      <c r="H240" s="8" t="n">
        <v>13.74</v>
      </c>
      <c r="I240" s="8" t="n">
        <v>8.65</v>
      </c>
      <c r="J240" s="8" t="n">
        <v>7.26</v>
      </c>
      <c r="K240" s="8" t="n">
        <v>10.74</v>
      </c>
      <c r="L240" s="8" t="n">
        <v>10.95</v>
      </c>
      <c r="M240" s="8" t="n">
        <v>12.76</v>
      </c>
      <c r="N240" s="4" t="n">
        <v>11.35</v>
      </c>
    </row>
    <row r="241">
      <c r="A241" s="2" t="inlineStr">
        <is>
          <t>TKR0331</t>
        </is>
      </c>
      <c r="B241" s="8" t="inlineStr">
        <is>
          <t>2028-03-01 00:00:00</t>
        </is>
      </c>
      <c r="C241" s="8" t="n">
        <v>10.12</v>
      </c>
      <c r="D241" s="8" t="n">
        <v>12.37</v>
      </c>
      <c r="E241" s="8" t="n">
        <v>14.04</v>
      </c>
      <c r="F241" s="8" t="n">
        <v>13.32</v>
      </c>
      <c r="G241" s="8" t="n">
        <v>14.12</v>
      </c>
      <c r="H241" s="8" t="n">
        <v>12.86</v>
      </c>
      <c r="I241" s="8" t="n">
        <v>9.94</v>
      </c>
      <c r="J241" s="8" t="n">
        <v>9.710000000000001</v>
      </c>
      <c r="K241" s="8" t="n">
        <v>12.73</v>
      </c>
      <c r="L241" s="8" t="n">
        <v>11.74</v>
      </c>
      <c r="M241" s="8" t="n">
        <v>12.92</v>
      </c>
      <c r="N241" s="4" t="n">
        <v>11.93</v>
      </c>
    </row>
    <row r="242">
      <c r="A242" s="2" t="inlineStr">
        <is>
          <t>TKR0331</t>
        </is>
      </c>
      <c r="B242" s="8" t="inlineStr">
        <is>
          <t>2028-04-01 00:00:00</t>
        </is>
      </c>
      <c r="C242" s="8" t="n">
        <v>15.35</v>
      </c>
      <c r="D242" s="8" t="n">
        <v>17.85</v>
      </c>
      <c r="E242" s="8" t="n">
        <v>19.08</v>
      </c>
      <c r="F242" s="8" t="n">
        <v>19.21</v>
      </c>
      <c r="G242" s="8" t="n">
        <v>21.12</v>
      </c>
      <c r="H242" s="8" t="n">
        <v>18.14</v>
      </c>
      <c r="I242" s="8" t="n">
        <v>13.09</v>
      </c>
      <c r="J242" s="8" t="n">
        <v>13.45</v>
      </c>
      <c r="K242" s="8" t="n">
        <v>17.03</v>
      </c>
      <c r="L242" s="8" t="n">
        <v>15.35</v>
      </c>
      <c r="M242" s="8" t="n">
        <v>18.06</v>
      </c>
      <c r="N242" s="4" t="n">
        <v>15.83</v>
      </c>
    </row>
    <row r="243">
      <c r="A243" s="2" t="inlineStr">
        <is>
          <t>TKR0331</t>
        </is>
      </c>
      <c r="B243" s="8" t="inlineStr">
        <is>
          <t>2028-05-01 00:00:00</t>
        </is>
      </c>
      <c r="C243" s="8" t="n">
        <v>13.56</v>
      </c>
      <c r="D243" s="8" t="n">
        <v>17.96</v>
      </c>
      <c r="E243" s="8" t="n">
        <v>20.78</v>
      </c>
      <c r="F243" s="8" t="n">
        <v>17.63</v>
      </c>
      <c r="G243" s="8" t="n">
        <v>22.54</v>
      </c>
      <c r="H243" s="8" t="n">
        <v>16.56</v>
      </c>
      <c r="I243" s="8" t="n">
        <v>13.77</v>
      </c>
      <c r="J243" s="8" t="n">
        <v>14.04</v>
      </c>
      <c r="K243" s="8" t="n">
        <v>15.11</v>
      </c>
      <c r="L243" s="8" t="n">
        <v>14.46</v>
      </c>
      <c r="M243" s="8" t="n">
        <v>16.51</v>
      </c>
      <c r="N243" s="4" t="n">
        <v>14.91</v>
      </c>
    </row>
    <row r="244">
      <c r="A244" s="2" t="inlineStr">
        <is>
          <t>TKR0331</t>
        </is>
      </c>
      <c r="B244" s="8" t="inlineStr">
        <is>
          <t>2028-06-01 00:00:00</t>
        </is>
      </c>
      <c r="C244" s="8" t="n">
        <v>13.93</v>
      </c>
      <c r="D244" s="8" t="n">
        <v>17.69</v>
      </c>
      <c r="E244" s="8" t="n">
        <v>25.86</v>
      </c>
      <c r="F244" s="8" t="n">
        <v>17.64</v>
      </c>
      <c r="G244" s="8" t="n">
        <v>26.9</v>
      </c>
      <c r="H244" s="8" t="n">
        <v>17.22</v>
      </c>
      <c r="I244" s="8" t="n">
        <v>12.71</v>
      </c>
      <c r="J244" s="8" t="n">
        <v>12.13</v>
      </c>
      <c r="K244" s="8" t="n">
        <v>14.95</v>
      </c>
      <c r="L244" s="8" t="n">
        <v>14.19</v>
      </c>
      <c r="M244" s="8" t="n">
        <v>17.63</v>
      </c>
      <c r="N244" s="4" t="n">
        <v>16.21</v>
      </c>
    </row>
    <row r="245">
      <c r="A245" s="2" t="inlineStr">
        <is>
          <t>TKR0331</t>
        </is>
      </c>
      <c r="B245" s="8" t="inlineStr">
        <is>
          <t>2028-07-01 00:00:00</t>
        </is>
      </c>
      <c r="C245" s="8" t="n">
        <v>13.6</v>
      </c>
      <c r="D245" s="8" t="n">
        <v>16.53</v>
      </c>
      <c r="E245" s="8" t="n">
        <v>24.63</v>
      </c>
      <c r="F245" s="8" t="n">
        <v>18.2</v>
      </c>
      <c r="G245" s="8" t="n">
        <v>26.5</v>
      </c>
      <c r="H245" s="8" t="n">
        <v>17.35</v>
      </c>
      <c r="I245" s="8" t="n">
        <v>13.56</v>
      </c>
      <c r="J245" s="8" t="n">
        <v>13.04</v>
      </c>
      <c r="K245" s="8" t="n">
        <v>16.81</v>
      </c>
      <c r="L245" s="8" t="n">
        <v>14.46</v>
      </c>
      <c r="M245" s="8" t="n">
        <v>18.94</v>
      </c>
      <c r="N245" s="4" t="n">
        <v>16.22</v>
      </c>
    </row>
    <row r="246">
      <c r="A246" s="2" t="inlineStr">
        <is>
          <t>TKR0331</t>
        </is>
      </c>
      <c r="B246" s="8" t="inlineStr">
        <is>
          <t>2028-08-01 00:00:00</t>
        </is>
      </c>
      <c r="C246" s="8" t="n">
        <v>13.49</v>
      </c>
      <c r="D246" s="8" t="n">
        <v>16.89</v>
      </c>
      <c r="E246" s="8" t="n">
        <v>17.76</v>
      </c>
      <c r="F246" s="8" t="n">
        <v>16.38</v>
      </c>
      <c r="G246" s="8" t="n">
        <v>18.75</v>
      </c>
      <c r="H246" s="8" t="n">
        <v>16.97</v>
      </c>
      <c r="I246" s="8" t="n">
        <v>15.17</v>
      </c>
      <c r="J246" s="8" t="n">
        <v>14.82</v>
      </c>
      <c r="K246" s="8" t="n">
        <v>17.24</v>
      </c>
      <c r="L246" s="8" t="n">
        <v>16.03</v>
      </c>
      <c r="M246" s="8" t="n">
        <v>18.81</v>
      </c>
      <c r="N246" s="4" t="n">
        <v>16.63</v>
      </c>
    </row>
    <row r="247">
      <c r="A247" s="2" t="inlineStr">
        <is>
          <t>TKR0331</t>
        </is>
      </c>
      <c r="B247" s="8" t="inlineStr">
        <is>
          <t>2028-09-01 00:00:00</t>
        </is>
      </c>
      <c r="C247" s="8" t="n">
        <v>9.800000000000001</v>
      </c>
      <c r="D247" s="8" t="n">
        <v>16.88</v>
      </c>
      <c r="E247" s="8" t="n">
        <v>20.83</v>
      </c>
      <c r="F247" s="8" t="n">
        <v>18.01</v>
      </c>
      <c r="G247" s="8" t="n">
        <v>23.77</v>
      </c>
      <c r="H247" s="8" t="n">
        <v>17.55</v>
      </c>
      <c r="I247" s="8" t="n">
        <v>8.369999999999999</v>
      </c>
      <c r="J247" s="8" t="n">
        <v>9.220000000000001</v>
      </c>
      <c r="K247" s="8" t="n">
        <v>13.64</v>
      </c>
      <c r="L247" s="8" t="n">
        <v>12.1</v>
      </c>
      <c r="M247" s="8" t="n">
        <v>17.62</v>
      </c>
      <c r="N247" s="4" t="n">
        <v>14.33</v>
      </c>
    </row>
    <row r="248">
      <c r="A248" s="2" t="inlineStr">
        <is>
          <t>TKR0331</t>
        </is>
      </c>
      <c r="B248" s="8" t="inlineStr">
        <is>
          <t>2028-10-01 00:00:00</t>
        </is>
      </c>
      <c r="C248" s="8" t="n">
        <v>5.58</v>
      </c>
      <c r="D248" s="8" t="n">
        <v>7.5</v>
      </c>
      <c r="E248" s="8" t="n">
        <v>8.779999999999999</v>
      </c>
      <c r="F248" s="8" t="n">
        <v>7.53</v>
      </c>
      <c r="G248" s="8" t="n">
        <v>8.93</v>
      </c>
      <c r="H248" s="8" t="n">
        <v>8.85</v>
      </c>
      <c r="I248" s="8" t="n">
        <v>6.29</v>
      </c>
      <c r="J248" s="8" t="n">
        <v>6.21</v>
      </c>
      <c r="K248" s="8" t="n">
        <v>6.99</v>
      </c>
      <c r="L248" s="8" t="n">
        <v>6.03</v>
      </c>
      <c r="M248" s="8" t="n">
        <v>7.52</v>
      </c>
      <c r="N248" s="4" t="n">
        <v>7.27</v>
      </c>
    </row>
    <row r="249">
      <c r="A249" s="2" t="inlineStr">
        <is>
          <t>TKR0331</t>
        </is>
      </c>
      <c r="B249" s="8" t="inlineStr">
        <is>
          <t>2028-11-01 00:00:00</t>
        </is>
      </c>
      <c r="C249" s="8" t="n">
        <v>4.47</v>
      </c>
      <c r="D249" s="8" t="n">
        <v>6.84</v>
      </c>
      <c r="E249" s="8" t="n">
        <v>9.81</v>
      </c>
      <c r="F249" s="8" t="n">
        <v>9.18</v>
      </c>
      <c r="G249" s="8" t="n">
        <v>9.73</v>
      </c>
      <c r="H249" s="8" t="n">
        <v>7.92</v>
      </c>
      <c r="I249" s="8" t="n">
        <v>4.44</v>
      </c>
      <c r="J249" s="8" t="n">
        <v>3.98</v>
      </c>
      <c r="K249" s="8" t="n">
        <v>6.48</v>
      </c>
      <c r="L249" s="8" t="n">
        <v>5.65</v>
      </c>
      <c r="M249" s="8" t="n">
        <v>6.45</v>
      </c>
      <c r="N249" s="4" t="n">
        <v>6.12</v>
      </c>
    </row>
    <row r="250">
      <c r="A250" s="2" t="inlineStr">
        <is>
          <t>TKR0331</t>
        </is>
      </c>
      <c r="B250" s="8" t="inlineStr">
        <is>
          <t>2028-12-01 00:00:00</t>
        </is>
      </c>
      <c r="C250" s="8" t="n">
        <v>5.53</v>
      </c>
      <c r="D250" s="8" t="n">
        <v>6.07</v>
      </c>
      <c r="E250" s="8" t="n">
        <v>9.880000000000001</v>
      </c>
      <c r="F250" s="8" t="n">
        <v>9.140000000000001</v>
      </c>
      <c r="G250" s="8" t="n">
        <v>8.75</v>
      </c>
      <c r="H250" s="8" t="n">
        <v>7.21</v>
      </c>
      <c r="I250" s="8" t="n">
        <v>5.27</v>
      </c>
      <c r="J250" s="8" t="n">
        <v>4.93</v>
      </c>
      <c r="K250" s="8" t="n">
        <v>6.86</v>
      </c>
      <c r="L250" s="8" t="n">
        <v>6.71</v>
      </c>
      <c r="M250" s="8" t="n">
        <v>7.21</v>
      </c>
      <c r="N250" s="4" t="n">
        <v>6.38</v>
      </c>
    </row>
    <row r="251">
      <c r="A251" s="2" t="inlineStr">
        <is>
          <t>TKR0331</t>
        </is>
      </c>
      <c r="B251" s="8" t="inlineStr">
        <is>
          <t>2029-01-01 00:00:00</t>
        </is>
      </c>
      <c r="C251" s="8" t="n">
        <v>10.04</v>
      </c>
      <c r="D251" s="8" t="n">
        <v>10.59</v>
      </c>
      <c r="E251" s="8" t="n">
        <v>13.68</v>
      </c>
      <c r="F251" s="8" t="n">
        <v>14.72</v>
      </c>
      <c r="G251" s="8" t="n">
        <v>15.46</v>
      </c>
      <c r="H251" s="8" t="n">
        <v>13.36</v>
      </c>
      <c r="I251" s="8" t="n">
        <v>7.66</v>
      </c>
      <c r="J251" s="8" t="n">
        <v>6.69</v>
      </c>
      <c r="K251" s="8" t="n">
        <v>8.630000000000001</v>
      </c>
      <c r="L251" s="8" t="n">
        <v>9.01</v>
      </c>
      <c r="M251" s="8" t="n">
        <v>10.63</v>
      </c>
      <c r="N251" s="4" t="n">
        <v>9.59</v>
      </c>
    </row>
    <row r="252">
      <c r="A252" s="2" t="inlineStr">
        <is>
          <t>TKR0331</t>
        </is>
      </c>
      <c r="B252" s="8" t="inlineStr">
        <is>
          <t>2029-02-01 00:00:00</t>
        </is>
      </c>
      <c r="C252" s="8" t="n">
        <v>9.67</v>
      </c>
      <c r="D252" s="8" t="n">
        <v>11.66</v>
      </c>
      <c r="E252" s="8" t="n">
        <v>14.45</v>
      </c>
      <c r="F252" s="8" t="n">
        <v>13.98</v>
      </c>
      <c r="G252" s="8" t="n">
        <v>15.6</v>
      </c>
      <c r="H252" s="8" t="n">
        <v>13.59</v>
      </c>
      <c r="I252" s="8" t="n">
        <v>8.550000000000001</v>
      </c>
      <c r="J252" s="8" t="n">
        <v>7.18</v>
      </c>
      <c r="K252" s="8" t="n">
        <v>10.62</v>
      </c>
      <c r="L252" s="8" t="n">
        <v>10.83</v>
      </c>
      <c r="M252" s="8" t="n">
        <v>12.61</v>
      </c>
      <c r="N252" s="4" t="n">
        <v>11.23</v>
      </c>
    </row>
    <row r="253">
      <c r="A253" s="2" t="inlineStr">
        <is>
          <t>TKR0331</t>
        </is>
      </c>
      <c r="B253" s="8" t="inlineStr">
        <is>
          <t>2029-03-01 00:00:00</t>
        </is>
      </c>
      <c r="C253" s="8" t="n">
        <v>10.04</v>
      </c>
      <c r="D253" s="8" t="n">
        <v>12.28</v>
      </c>
      <c r="E253" s="8" t="n">
        <v>13.93</v>
      </c>
      <c r="F253" s="8" t="n">
        <v>13.22</v>
      </c>
      <c r="G253" s="8" t="n">
        <v>14.02</v>
      </c>
      <c r="H253" s="8" t="n">
        <v>12.77</v>
      </c>
      <c r="I253" s="8" t="n">
        <v>9.869999999999999</v>
      </c>
      <c r="J253" s="8" t="n">
        <v>9.640000000000001</v>
      </c>
      <c r="K253" s="8" t="n">
        <v>12.64</v>
      </c>
      <c r="L253" s="8" t="n">
        <v>11.66</v>
      </c>
      <c r="M253" s="8" t="n">
        <v>12.83</v>
      </c>
      <c r="N253" s="4" t="n">
        <v>11.84</v>
      </c>
    </row>
    <row r="254">
      <c r="A254" s="2" t="inlineStr">
        <is>
          <t>TKR0331</t>
        </is>
      </c>
      <c r="B254" s="8" t="inlineStr">
        <is>
          <t>2029-04-01 00:00:00</t>
        </is>
      </c>
      <c r="C254" s="8" t="n">
        <v>15.05</v>
      </c>
      <c r="D254" s="8" t="n">
        <v>17.5</v>
      </c>
      <c r="E254" s="8" t="n">
        <v>18.71</v>
      </c>
      <c r="F254" s="8" t="n">
        <v>18.84</v>
      </c>
      <c r="G254" s="8" t="n">
        <v>20.71</v>
      </c>
      <c r="H254" s="8" t="n">
        <v>17.78</v>
      </c>
      <c r="I254" s="8" t="n">
        <v>12.84</v>
      </c>
      <c r="J254" s="8" t="n">
        <v>13.19</v>
      </c>
      <c r="K254" s="8" t="n">
        <v>16.7</v>
      </c>
      <c r="L254" s="8" t="n">
        <v>15.05</v>
      </c>
      <c r="M254" s="8" t="n">
        <v>17.71</v>
      </c>
      <c r="N254" s="4" t="n">
        <v>15.53</v>
      </c>
    </row>
    <row r="255">
      <c r="A255" s="2" t="inlineStr">
        <is>
          <t>TKR0331</t>
        </is>
      </c>
      <c r="B255" s="8" t="inlineStr">
        <is>
          <t>2029-05-01 00:00:00</t>
        </is>
      </c>
      <c r="C255" s="8" t="n">
        <v>13.45</v>
      </c>
      <c r="D255" s="8" t="n">
        <v>17.82</v>
      </c>
      <c r="E255" s="8" t="n">
        <v>20.62</v>
      </c>
      <c r="F255" s="8" t="n">
        <v>17.49</v>
      </c>
      <c r="G255" s="8" t="n">
        <v>22.36</v>
      </c>
      <c r="H255" s="8" t="n">
        <v>16.43</v>
      </c>
      <c r="I255" s="8" t="n">
        <v>13.66</v>
      </c>
      <c r="J255" s="8" t="n">
        <v>13.93</v>
      </c>
      <c r="K255" s="8" t="n">
        <v>14.99</v>
      </c>
      <c r="L255" s="8" t="n">
        <v>14.35</v>
      </c>
      <c r="M255" s="8" t="n">
        <v>16.38</v>
      </c>
      <c r="N255" s="4" t="n">
        <v>14.8</v>
      </c>
    </row>
    <row r="256">
      <c r="A256" s="2" t="inlineStr">
        <is>
          <t>TKR0331</t>
        </is>
      </c>
      <c r="B256" s="8" t="inlineStr">
        <is>
          <t>2029-06-01 00:00:00</t>
        </is>
      </c>
      <c r="C256" s="8" t="n">
        <v>13.91</v>
      </c>
      <c r="D256" s="8" t="n">
        <v>17.67</v>
      </c>
      <c r="E256" s="8" t="n">
        <v>25.83</v>
      </c>
      <c r="F256" s="8" t="n">
        <v>17.61</v>
      </c>
      <c r="G256" s="8" t="n">
        <v>26.86</v>
      </c>
      <c r="H256" s="8" t="n">
        <v>17.19</v>
      </c>
      <c r="I256" s="8" t="n">
        <v>12.69</v>
      </c>
      <c r="J256" s="8" t="n">
        <v>12.11</v>
      </c>
      <c r="K256" s="8" t="n">
        <v>14.93</v>
      </c>
      <c r="L256" s="8" t="n">
        <v>14.17</v>
      </c>
      <c r="M256" s="8" t="n">
        <v>17.61</v>
      </c>
      <c r="N256" s="4" t="n">
        <v>16.19</v>
      </c>
    </row>
    <row r="257">
      <c r="A257" s="2" t="inlineStr">
        <is>
          <t>TKR0331</t>
        </is>
      </c>
      <c r="B257" s="8" t="inlineStr">
        <is>
          <t>2029-07-01 00:00:00</t>
        </is>
      </c>
      <c r="C257" s="8" t="n">
        <v>13.21</v>
      </c>
      <c r="D257" s="8" t="n">
        <v>16.05</v>
      </c>
      <c r="E257" s="8" t="n">
        <v>24.09</v>
      </c>
      <c r="F257" s="8" t="n">
        <v>17.67</v>
      </c>
      <c r="G257" s="8" t="n">
        <v>25.9</v>
      </c>
      <c r="H257" s="8" t="n">
        <v>16.84</v>
      </c>
      <c r="I257" s="8" t="n">
        <v>13.17</v>
      </c>
      <c r="J257" s="8" t="n">
        <v>12.67</v>
      </c>
      <c r="K257" s="8" t="n">
        <v>16.32</v>
      </c>
      <c r="L257" s="8" t="n">
        <v>14.05</v>
      </c>
      <c r="M257" s="8" t="n">
        <v>18.39</v>
      </c>
      <c r="N257" s="4" t="n">
        <v>15.75</v>
      </c>
    </row>
    <row r="258">
      <c r="A258" s="2" t="inlineStr">
        <is>
          <t>TKR0331</t>
        </is>
      </c>
      <c r="B258" s="8" t="inlineStr">
        <is>
          <t>2029-08-01 00:00:00</t>
        </is>
      </c>
      <c r="C258" s="8" t="n">
        <v>13.16</v>
      </c>
      <c r="D258" s="8" t="n">
        <v>16.46</v>
      </c>
      <c r="E258" s="8" t="n">
        <v>17.31</v>
      </c>
      <c r="F258" s="8" t="n">
        <v>15.97</v>
      </c>
      <c r="G258" s="8" t="n">
        <v>18.28</v>
      </c>
      <c r="H258" s="8" t="n">
        <v>16.54</v>
      </c>
      <c r="I258" s="8" t="n">
        <v>14.79</v>
      </c>
      <c r="J258" s="8" t="n">
        <v>14.45</v>
      </c>
      <c r="K258" s="8" t="n">
        <v>16.8</v>
      </c>
      <c r="L258" s="8" t="n">
        <v>15.63</v>
      </c>
      <c r="M258" s="8" t="n">
        <v>18.33</v>
      </c>
      <c r="N258" s="4" t="n">
        <v>16.21</v>
      </c>
    </row>
    <row r="259">
      <c r="A259" s="2" t="inlineStr">
        <is>
          <t>TKR0331</t>
        </is>
      </c>
      <c r="B259" s="8" t="inlineStr">
        <is>
          <t>2029-09-01 00:00:00</t>
        </is>
      </c>
      <c r="C259" s="8" t="n">
        <v>9.65</v>
      </c>
      <c r="D259" s="8" t="n">
        <v>16.63</v>
      </c>
      <c r="E259" s="8" t="n">
        <v>20.51</v>
      </c>
      <c r="F259" s="8" t="n">
        <v>17.74</v>
      </c>
      <c r="G259" s="8" t="n">
        <v>23.41</v>
      </c>
      <c r="H259" s="8" t="n">
        <v>17.28</v>
      </c>
      <c r="I259" s="8" t="n">
        <v>8.25</v>
      </c>
      <c r="J259" s="8" t="n">
        <v>9.09</v>
      </c>
      <c r="K259" s="8" t="n">
        <v>13.43</v>
      </c>
      <c r="L259" s="8" t="n">
        <v>11.91</v>
      </c>
      <c r="M259" s="8" t="n">
        <v>17.35</v>
      </c>
      <c r="N259" s="4" t="n">
        <v>14.12</v>
      </c>
    </row>
    <row r="260">
      <c r="A260" s="2" t="inlineStr">
        <is>
          <t>TKR0331</t>
        </is>
      </c>
      <c r="B260" s="8" t="inlineStr">
        <is>
          <t>2029-10-01 00:00:00</t>
        </is>
      </c>
      <c r="C260" s="8" t="n">
        <v>5.44</v>
      </c>
      <c r="D260" s="8" t="n">
        <v>7.3</v>
      </c>
      <c r="E260" s="8" t="n">
        <v>8.539999999999999</v>
      </c>
      <c r="F260" s="8" t="n">
        <v>7.33</v>
      </c>
      <c r="G260" s="8" t="n">
        <v>8.69</v>
      </c>
      <c r="H260" s="8" t="n">
        <v>8.619999999999999</v>
      </c>
      <c r="I260" s="8" t="n">
        <v>6.13</v>
      </c>
      <c r="J260" s="8" t="n">
        <v>6.05</v>
      </c>
      <c r="K260" s="8" t="n">
        <v>6.8</v>
      </c>
      <c r="L260" s="8" t="n">
        <v>5.87</v>
      </c>
      <c r="M260" s="8" t="n">
        <v>7.32</v>
      </c>
      <c r="N260" s="4" t="n">
        <v>7.08</v>
      </c>
    </row>
    <row r="261">
      <c r="A261" s="2" t="inlineStr">
        <is>
          <t>TKR0331</t>
        </is>
      </c>
      <c r="B261" s="8" t="inlineStr">
        <is>
          <t>2029-11-01 00:00:00</t>
        </is>
      </c>
      <c r="C261" s="8" t="n">
        <v>4.38</v>
      </c>
      <c r="D261" s="8" t="n">
        <v>6.69</v>
      </c>
      <c r="E261" s="8" t="n">
        <v>9.6</v>
      </c>
      <c r="F261" s="8" t="n">
        <v>8.98</v>
      </c>
      <c r="G261" s="8" t="n">
        <v>9.51</v>
      </c>
      <c r="H261" s="8" t="n">
        <v>7.75</v>
      </c>
      <c r="I261" s="8" t="n">
        <v>4.34</v>
      </c>
      <c r="J261" s="8" t="n">
        <v>3.9</v>
      </c>
      <c r="K261" s="8" t="n">
        <v>6.34</v>
      </c>
      <c r="L261" s="8" t="n">
        <v>5.53</v>
      </c>
      <c r="M261" s="8" t="n">
        <v>6.31</v>
      </c>
      <c r="N261" s="4" t="n">
        <v>5.99</v>
      </c>
    </row>
    <row r="262">
      <c r="A262" s="2" t="inlineStr">
        <is>
          <t>TKR0331</t>
        </is>
      </c>
      <c r="B262" s="8" t="inlineStr">
        <is>
          <t>2029-12-01 00:00:00</t>
        </is>
      </c>
      <c r="C262" s="8" t="n">
        <v>5.41</v>
      </c>
      <c r="D262" s="8" t="n">
        <v>5.94</v>
      </c>
      <c r="E262" s="8" t="n">
        <v>9.66</v>
      </c>
      <c r="F262" s="8" t="n">
        <v>8.93</v>
      </c>
      <c r="G262" s="8" t="n">
        <v>8.56</v>
      </c>
      <c r="H262" s="8" t="n">
        <v>7.05</v>
      </c>
      <c r="I262" s="8" t="n">
        <v>5.16</v>
      </c>
      <c r="J262" s="8" t="n">
        <v>4.83</v>
      </c>
      <c r="K262" s="8" t="n">
        <v>6.71</v>
      </c>
      <c r="L262" s="8" t="n">
        <v>6.56</v>
      </c>
      <c r="M262" s="8" t="n">
        <v>7.05</v>
      </c>
      <c r="N262" s="4" t="n">
        <v>6.25</v>
      </c>
    </row>
    <row r="263">
      <c r="A263" s="2" t="inlineStr">
        <is>
          <t>TKR0331</t>
        </is>
      </c>
      <c r="B263" s="8" t="inlineStr">
        <is>
          <t>2030-01-01 00:00:00</t>
        </is>
      </c>
      <c r="C263" s="8" t="n">
        <v>10.04</v>
      </c>
      <c r="D263" s="8" t="n">
        <v>10.59</v>
      </c>
      <c r="E263" s="8" t="n">
        <v>13.68</v>
      </c>
      <c r="F263" s="8" t="n">
        <v>14.72</v>
      </c>
      <c r="G263" s="8" t="n">
        <v>15.46</v>
      </c>
      <c r="H263" s="8" t="n">
        <v>13.36</v>
      </c>
      <c r="I263" s="8" t="n">
        <v>7.66</v>
      </c>
      <c r="J263" s="8" t="n">
        <v>6.69</v>
      </c>
      <c r="K263" s="8" t="n">
        <v>8.630000000000001</v>
      </c>
      <c r="L263" s="8" t="n">
        <v>9.01</v>
      </c>
      <c r="M263" s="8" t="n">
        <v>10.63</v>
      </c>
      <c r="N263" s="4" t="n">
        <v>9.59</v>
      </c>
    </row>
    <row r="264">
      <c r="A264" s="2" t="inlineStr">
        <is>
          <t>TKR0331</t>
        </is>
      </c>
      <c r="B264" s="8" t="inlineStr">
        <is>
          <t>2030-02-01 00:00:00</t>
        </is>
      </c>
      <c r="C264" s="8" t="n">
        <v>9.67</v>
      </c>
      <c r="D264" s="8" t="n">
        <v>11.66</v>
      </c>
      <c r="E264" s="8" t="n">
        <v>14.45</v>
      </c>
      <c r="F264" s="8" t="n">
        <v>13.98</v>
      </c>
      <c r="G264" s="8" t="n">
        <v>15.6</v>
      </c>
      <c r="H264" s="8" t="n">
        <v>13.59</v>
      </c>
      <c r="I264" s="8" t="n">
        <v>8.550000000000001</v>
      </c>
      <c r="J264" s="8" t="n">
        <v>7.18</v>
      </c>
      <c r="K264" s="8" t="n">
        <v>10.62</v>
      </c>
      <c r="L264" s="8" t="n">
        <v>10.83</v>
      </c>
      <c r="M264" s="8" t="n">
        <v>12.61</v>
      </c>
      <c r="N264" s="4" t="n">
        <v>11.23</v>
      </c>
    </row>
    <row r="265">
      <c r="A265" s="2" t="inlineStr">
        <is>
          <t>TKR0331</t>
        </is>
      </c>
      <c r="B265" s="8" t="inlineStr">
        <is>
          <t>2030-03-01 00:00:00</t>
        </is>
      </c>
      <c r="C265" s="8" t="n">
        <v>10.04</v>
      </c>
      <c r="D265" s="8" t="n">
        <v>12.28</v>
      </c>
      <c r="E265" s="8" t="n">
        <v>13.93</v>
      </c>
      <c r="F265" s="8" t="n">
        <v>13.22</v>
      </c>
      <c r="G265" s="8" t="n">
        <v>14.02</v>
      </c>
      <c r="H265" s="8" t="n">
        <v>12.77</v>
      </c>
      <c r="I265" s="8" t="n">
        <v>9.869999999999999</v>
      </c>
      <c r="J265" s="8" t="n">
        <v>9.640000000000001</v>
      </c>
      <c r="K265" s="8" t="n">
        <v>12.64</v>
      </c>
      <c r="L265" s="8" t="n">
        <v>11.66</v>
      </c>
      <c r="M265" s="8" t="n">
        <v>12.83</v>
      </c>
      <c r="N265" s="4" t="n">
        <v>11.84</v>
      </c>
    </row>
    <row r="266">
      <c r="A266" s="2" t="inlineStr">
        <is>
          <t>TKR0331</t>
        </is>
      </c>
      <c r="B266" s="8" t="inlineStr">
        <is>
          <t>2030-04-01 00:00:00</t>
        </is>
      </c>
      <c r="C266" s="8" t="n">
        <v>15.05</v>
      </c>
      <c r="D266" s="8" t="n">
        <v>17.5</v>
      </c>
      <c r="E266" s="8" t="n">
        <v>18.71</v>
      </c>
      <c r="F266" s="8" t="n">
        <v>18.84</v>
      </c>
      <c r="G266" s="8" t="n">
        <v>20.71</v>
      </c>
      <c r="H266" s="8" t="n">
        <v>17.78</v>
      </c>
      <c r="I266" s="8" t="n">
        <v>12.84</v>
      </c>
      <c r="J266" s="8" t="n">
        <v>13.19</v>
      </c>
      <c r="K266" s="8" t="n">
        <v>16.7</v>
      </c>
      <c r="L266" s="8" t="n">
        <v>15.05</v>
      </c>
      <c r="M266" s="8" t="n">
        <v>17.71</v>
      </c>
      <c r="N266" s="4" t="n">
        <v>15.53</v>
      </c>
    </row>
    <row r="267">
      <c r="A267" s="2" t="inlineStr">
        <is>
          <t>TKR0331</t>
        </is>
      </c>
      <c r="B267" s="8" t="inlineStr">
        <is>
          <t>2030-05-01 00:00:00</t>
        </is>
      </c>
      <c r="C267" s="8" t="n">
        <v>13.45</v>
      </c>
      <c r="D267" s="8" t="n">
        <v>17.82</v>
      </c>
      <c r="E267" s="8" t="n">
        <v>20.62</v>
      </c>
      <c r="F267" s="8" t="n">
        <v>17.49</v>
      </c>
      <c r="G267" s="8" t="n">
        <v>22.36</v>
      </c>
      <c r="H267" s="8" t="n">
        <v>16.43</v>
      </c>
      <c r="I267" s="8" t="n">
        <v>13.66</v>
      </c>
      <c r="J267" s="8" t="n">
        <v>13.93</v>
      </c>
      <c r="K267" s="8" t="n">
        <v>14.99</v>
      </c>
      <c r="L267" s="8" t="n">
        <v>14.35</v>
      </c>
      <c r="M267" s="8" t="n">
        <v>16.38</v>
      </c>
      <c r="N267" s="4" t="n">
        <v>14.8</v>
      </c>
    </row>
    <row r="268">
      <c r="A268" s="2" t="inlineStr">
        <is>
          <t>TKR0331</t>
        </is>
      </c>
      <c r="B268" s="8" t="inlineStr">
        <is>
          <t>2030-06-01 00:00:00</t>
        </is>
      </c>
      <c r="C268" s="8" t="n">
        <v>13.91</v>
      </c>
      <c r="D268" s="8" t="n">
        <v>17.67</v>
      </c>
      <c r="E268" s="8" t="n">
        <v>25.83</v>
      </c>
      <c r="F268" s="8" t="n">
        <v>17.61</v>
      </c>
      <c r="G268" s="8" t="n">
        <v>26.86</v>
      </c>
      <c r="H268" s="8" t="n">
        <v>17.19</v>
      </c>
      <c r="I268" s="8" t="n">
        <v>12.69</v>
      </c>
      <c r="J268" s="8" t="n">
        <v>12.11</v>
      </c>
      <c r="K268" s="8" t="n">
        <v>14.93</v>
      </c>
      <c r="L268" s="8" t="n">
        <v>14.17</v>
      </c>
      <c r="M268" s="8" t="n">
        <v>17.61</v>
      </c>
      <c r="N268" s="4" t="n">
        <v>16.19</v>
      </c>
    </row>
    <row r="269">
      <c r="A269" s="2" t="inlineStr">
        <is>
          <t>TKR0331</t>
        </is>
      </c>
      <c r="B269" s="8" t="inlineStr">
        <is>
          <t>2030-07-01 00:00:00</t>
        </is>
      </c>
      <c r="C269" s="8" t="n">
        <v>13.21</v>
      </c>
      <c r="D269" s="8" t="n">
        <v>16.05</v>
      </c>
      <c r="E269" s="8" t="n">
        <v>24.09</v>
      </c>
      <c r="F269" s="8" t="n">
        <v>17.67</v>
      </c>
      <c r="G269" s="8" t="n">
        <v>25.9</v>
      </c>
      <c r="H269" s="8" t="n">
        <v>16.84</v>
      </c>
      <c r="I269" s="8" t="n">
        <v>13.17</v>
      </c>
      <c r="J269" s="8" t="n">
        <v>12.67</v>
      </c>
      <c r="K269" s="8" t="n">
        <v>16.32</v>
      </c>
      <c r="L269" s="8" t="n">
        <v>14.05</v>
      </c>
      <c r="M269" s="8" t="n">
        <v>18.39</v>
      </c>
      <c r="N269" s="4" t="n">
        <v>15.75</v>
      </c>
    </row>
    <row r="270">
      <c r="A270" s="2" t="inlineStr">
        <is>
          <t>TKR0331</t>
        </is>
      </c>
      <c r="B270" s="8" t="inlineStr">
        <is>
          <t>2030-08-01 00:00:00</t>
        </is>
      </c>
      <c r="C270" s="8" t="n">
        <v>13.16</v>
      </c>
      <c r="D270" s="8" t="n">
        <v>16.46</v>
      </c>
      <c r="E270" s="8" t="n">
        <v>17.31</v>
      </c>
      <c r="F270" s="8" t="n">
        <v>15.97</v>
      </c>
      <c r="G270" s="8" t="n">
        <v>18.28</v>
      </c>
      <c r="H270" s="8" t="n">
        <v>16.54</v>
      </c>
      <c r="I270" s="8" t="n">
        <v>14.79</v>
      </c>
      <c r="J270" s="8" t="n">
        <v>14.45</v>
      </c>
      <c r="K270" s="8" t="n">
        <v>16.8</v>
      </c>
      <c r="L270" s="8" t="n">
        <v>15.63</v>
      </c>
      <c r="M270" s="8" t="n">
        <v>18.33</v>
      </c>
      <c r="N270" s="4" t="n">
        <v>16.21</v>
      </c>
    </row>
    <row r="271">
      <c r="A271" s="2" t="inlineStr">
        <is>
          <t>TKR0331</t>
        </is>
      </c>
      <c r="B271" s="8" t="inlineStr">
        <is>
          <t>2030-09-01 00:00:00</t>
        </is>
      </c>
      <c r="C271" s="8" t="n">
        <v>9.65</v>
      </c>
      <c r="D271" s="8" t="n">
        <v>16.63</v>
      </c>
      <c r="E271" s="8" t="n">
        <v>20.51</v>
      </c>
      <c r="F271" s="8" t="n">
        <v>17.74</v>
      </c>
      <c r="G271" s="8" t="n">
        <v>23.41</v>
      </c>
      <c r="H271" s="8" t="n">
        <v>17.28</v>
      </c>
      <c r="I271" s="8" t="n">
        <v>8.25</v>
      </c>
      <c r="J271" s="8" t="n">
        <v>9.09</v>
      </c>
      <c r="K271" s="8" t="n">
        <v>13.43</v>
      </c>
      <c r="L271" s="8" t="n">
        <v>11.91</v>
      </c>
      <c r="M271" s="8" t="n">
        <v>17.35</v>
      </c>
      <c r="N271" s="4" t="n">
        <v>14.12</v>
      </c>
    </row>
    <row r="272">
      <c r="A272" s="2" t="inlineStr">
        <is>
          <t>TKR0331</t>
        </is>
      </c>
      <c r="B272" s="8" t="inlineStr">
        <is>
          <t>2030-10-01 00:00:00</t>
        </is>
      </c>
      <c r="C272" s="8" t="n">
        <v>5.44</v>
      </c>
      <c r="D272" s="8" t="n">
        <v>7.3</v>
      </c>
      <c r="E272" s="8" t="n">
        <v>8.539999999999999</v>
      </c>
      <c r="F272" s="8" t="n">
        <v>7.33</v>
      </c>
      <c r="G272" s="8" t="n">
        <v>8.69</v>
      </c>
      <c r="H272" s="8" t="n">
        <v>8.619999999999999</v>
      </c>
      <c r="I272" s="8" t="n">
        <v>6.13</v>
      </c>
      <c r="J272" s="8" t="n">
        <v>6.05</v>
      </c>
      <c r="K272" s="8" t="n">
        <v>6.8</v>
      </c>
      <c r="L272" s="8" t="n">
        <v>5.87</v>
      </c>
      <c r="M272" s="8" t="n">
        <v>7.32</v>
      </c>
      <c r="N272" s="4" t="n">
        <v>7.08</v>
      </c>
    </row>
    <row r="273">
      <c r="A273" s="2" t="inlineStr">
        <is>
          <t>TKR0331</t>
        </is>
      </c>
      <c r="B273" s="8" t="inlineStr">
        <is>
          <t>2030-11-01 00:00:00</t>
        </is>
      </c>
      <c r="C273" s="8" t="n">
        <v>4.38</v>
      </c>
      <c r="D273" s="8" t="n">
        <v>6.69</v>
      </c>
      <c r="E273" s="8" t="n">
        <v>9.6</v>
      </c>
      <c r="F273" s="8" t="n">
        <v>8.98</v>
      </c>
      <c r="G273" s="8" t="n">
        <v>9.51</v>
      </c>
      <c r="H273" s="8" t="n">
        <v>7.75</v>
      </c>
      <c r="I273" s="8" t="n">
        <v>4.34</v>
      </c>
      <c r="J273" s="8" t="n">
        <v>3.9</v>
      </c>
      <c r="K273" s="8" t="n">
        <v>6.34</v>
      </c>
      <c r="L273" s="8" t="n">
        <v>5.53</v>
      </c>
      <c r="M273" s="8" t="n">
        <v>6.31</v>
      </c>
      <c r="N273" s="4" t="n">
        <v>5.99</v>
      </c>
    </row>
    <row r="274">
      <c r="A274" s="2" t="inlineStr">
        <is>
          <t>TKR0331</t>
        </is>
      </c>
      <c r="B274" s="8" t="inlineStr">
        <is>
          <t>2030-12-01 00:00:00</t>
        </is>
      </c>
      <c r="C274" s="8" t="n">
        <v>5.41</v>
      </c>
      <c r="D274" s="8" t="n">
        <v>5.94</v>
      </c>
      <c r="E274" s="8" t="n">
        <v>9.66</v>
      </c>
      <c r="F274" s="8" t="n">
        <v>8.93</v>
      </c>
      <c r="G274" s="8" t="n">
        <v>8.56</v>
      </c>
      <c r="H274" s="8" t="n">
        <v>7.05</v>
      </c>
      <c r="I274" s="8" t="n">
        <v>5.16</v>
      </c>
      <c r="J274" s="8" t="n">
        <v>4.83</v>
      </c>
      <c r="K274" s="8" t="n">
        <v>6.71</v>
      </c>
      <c r="L274" s="8" t="n">
        <v>6.56</v>
      </c>
      <c r="M274" s="8" t="n">
        <v>7.05</v>
      </c>
      <c r="N274" s="4" t="n">
        <v>6.25</v>
      </c>
    </row>
    <row r="275">
      <c r="A275" s="2" t="inlineStr">
        <is>
          <t>TKR0331</t>
        </is>
      </c>
      <c r="B275" s="8" t="inlineStr">
        <is>
          <t>2031-01-01 00:00:00</t>
        </is>
      </c>
      <c r="C275" s="8" t="n">
        <v>10.04</v>
      </c>
      <c r="D275" s="8" t="n">
        <v>10.59</v>
      </c>
      <c r="E275" s="8" t="n">
        <v>13.68</v>
      </c>
      <c r="F275" s="8" t="n">
        <v>14.72</v>
      </c>
      <c r="G275" s="8" t="n">
        <v>15.46</v>
      </c>
      <c r="H275" s="8" t="n">
        <v>13.36</v>
      </c>
      <c r="I275" s="8" t="n">
        <v>7.66</v>
      </c>
      <c r="J275" s="8" t="n">
        <v>6.69</v>
      </c>
      <c r="K275" s="8" t="n">
        <v>8.630000000000001</v>
      </c>
      <c r="L275" s="8" t="n">
        <v>9.01</v>
      </c>
      <c r="M275" s="8" t="n">
        <v>10.63</v>
      </c>
      <c r="N275" s="4" t="n">
        <v>9.59</v>
      </c>
    </row>
    <row r="276">
      <c r="A276" s="2" t="inlineStr">
        <is>
          <t>TKR0331</t>
        </is>
      </c>
      <c r="B276" s="8" t="inlineStr">
        <is>
          <t>2031-02-01 00:00:00</t>
        </is>
      </c>
      <c r="C276" s="8" t="n">
        <v>9.67</v>
      </c>
      <c r="D276" s="8" t="n">
        <v>11.66</v>
      </c>
      <c r="E276" s="8" t="n">
        <v>14.45</v>
      </c>
      <c r="F276" s="8" t="n">
        <v>13.98</v>
      </c>
      <c r="G276" s="8" t="n">
        <v>15.6</v>
      </c>
      <c r="H276" s="8" t="n">
        <v>13.59</v>
      </c>
      <c r="I276" s="8" t="n">
        <v>8.550000000000001</v>
      </c>
      <c r="J276" s="8" t="n">
        <v>7.18</v>
      </c>
      <c r="K276" s="8" t="n">
        <v>10.62</v>
      </c>
      <c r="L276" s="8" t="n">
        <v>10.83</v>
      </c>
      <c r="M276" s="8" t="n">
        <v>12.61</v>
      </c>
      <c r="N276" s="4" t="n">
        <v>11.23</v>
      </c>
    </row>
    <row r="277">
      <c r="A277" s="2" t="inlineStr">
        <is>
          <t>TKR0331</t>
        </is>
      </c>
      <c r="B277" s="8" t="inlineStr">
        <is>
          <t>2031-03-01 00:00:00</t>
        </is>
      </c>
      <c r="C277" s="8" t="n">
        <v>10.04</v>
      </c>
      <c r="D277" s="8" t="n">
        <v>12.28</v>
      </c>
      <c r="E277" s="8" t="n">
        <v>13.93</v>
      </c>
      <c r="F277" s="8" t="n">
        <v>13.22</v>
      </c>
      <c r="G277" s="8" t="n">
        <v>14.02</v>
      </c>
      <c r="H277" s="8" t="n">
        <v>12.77</v>
      </c>
      <c r="I277" s="8" t="n">
        <v>9.869999999999999</v>
      </c>
      <c r="J277" s="8" t="n">
        <v>9.640000000000001</v>
      </c>
      <c r="K277" s="8" t="n">
        <v>12.64</v>
      </c>
      <c r="L277" s="8" t="n">
        <v>11.66</v>
      </c>
      <c r="M277" s="8" t="n">
        <v>12.83</v>
      </c>
      <c r="N277" s="4" t="n">
        <v>11.84</v>
      </c>
    </row>
    <row r="278">
      <c r="A278" s="2" t="inlineStr">
        <is>
          <t>TKR0331</t>
        </is>
      </c>
      <c r="B278" s="8" t="inlineStr">
        <is>
          <t>2031-04-01 00:00:00</t>
        </is>
      </c>
      <c r="C278" s="8" t="n">
        <v>15.05</v>
      </c>
      <c r="D278" s="8" t="n">
        <v>17.5</v>
      </c>
      <c r="E278" s="8" t="n">
        <v>18.71</v>
      </c>
      <c r="F278" s="8" t="n">
        <v>18.84</v>
      </c>
      <c r="G278" s="8" t="n">
        <v>20.71</v>
      </c>
      <c r="H278" s="8" t="n">
        <v>17.78</v>
      </c>
      <c r="I278" s="8" t="n">
        <v>12.84</v>
      </c>
      <c r="J278" s="8" t="n">
        <v>13.19</v>
      </c>
      <c r="K278" s="8" t="n">
        <v>16.7</v>
      </c>
      <c r="L278" s="8" t="n">
        <v>15.05</v>
      </c>
      <c r="M278" s="8" t="n">
        <v>17.71</v>
      </c>
      <c r="N278" s="4" t="n">
        <v>15.53</v>
      </c>
    </row>
    <row r="279">
      <c r="A279" s="2" t="inlineStr">
        <is>
          <t>TKR0331</t>
        </is>
      </c>
      <c r="B279" s="8" t="inlineStr">
        <is>
          <t>2031-05-01 00:00:00</t>
        </is>
      </c>
      <c r="C279" s="8" t="n">
        <v>13.45</v>
      </c>
      <c r="D279" s="8" t="n">
        <v>17.82</v>
      </c>
      <c r="E279" s="8" t="n">
        <v>20.62</v>
      </c>
      <c r="F279" s="8" t="n">
        <v>17.49</v>
      </c>
      <c r="G279" s="8" t="n">
        <v>22.36</v>
      </c>
      <c r="H279" s="8" t="n">
        <v>16.43</v>
      </c>
      <c r="I279" s="8" t="n">
        <v>13.66</v>
      </c>
      <c r="J279" s="8" t="n">
        <v>13.93</v>
      </c>
      <c r="K279" s="8" t="n">
        <v>14.99</v>
      </c>
      <c r="L279" s="8" t="n">
        <v>14.35</v>
      </c>
      <c r="M279" s="8" t="n">
        <v>16.38</v>
      </c>
      <c r="N279" s="4" t="n">
        <v>14.8</v>
      </c>
    </row>
    <row r="280">
      <c r="A280" s="2" t="inlineStr">
        <is>
          <t>TKR0331</t>
        </is>
      </c>
      <c r="B280" s="8" t="inlineStr">
        <is>
          <t>2031-06-01 00:00:00</t>
        </is>
      </c>
      <c r="C280" s="8" t="n">
        <v>13.91</v>
      </c>
      <c r="D280" s="8" t="n">
        <v>17.67</v>
      </c>
      <c r="E280" s="8" t="n">
        <v>25.83</v>
      </c>
      <c r="F280" s="8" t="n">
        <v>17.61</v>
      </c>
      <c r="G280" s="8" t="n">
        <v>26.86</v>
      </c>
      <c r="H280" s="8" t="n">
        <v>17.19</v>
      </c>
      <c r="I280" s="8" t="n">
        <v>12.69</v>
      </c>
      <c r="J280" s="8" t="n">
        <v>12.11</v>
      </c>
      <c r="K280" s="8" t="n">
        <v>14.93</v>
      </c>
      <c r="L280" s="8" t="n">
        <v>14.17</v>
      </c>
      <c r="M280" s="8" t="n">
        <v>17.61</v>
      </c>
      <c r="N280" s="4" t="n">
        <v>16.19</v>
      </c>
    </row>
    <row r="281">
      <c r="A281" s="2" t="inlineStr">
        <is>
          <t>MPE1101</t>
        </is>
      </c>
      <c r="B281" s="8" t="inlineStr">
        <is>
          <t>2026-07-01 00:00:00</t>
        </is>
      </c>
      <c r="C281" s="8" t="n">
        <v>12.56</v>
      </c>
      <c r="D281" s="8" t="n">
        <v>15.25</v>
      </c>
      <c r="E281" s="8" t="n">
        <v>23.18</v>
      </c>
      <c r="F281" s="8" t="n">
        <v>16.78</v>
      </c>
      <c r="G281" s="8" t="n">
        <v>24.9</v>
      </c>
      <c r="H281" s="8" t="n">
        <v>16</v>
      </c>
      <c r="I281" s="8" t="n">
        <v>12.53</v>
      </c>
      <c r="J281" s="8" t="n">
        <v>12.05</v>
      </c>
      <c r="K281" s="8" t="n">
        <v>15.51</v>
      </c>
      <c r="L281" s="8" t="n">
        <v>13.35</v>
      </c>
      <c r="M281" s="8" t="n">
        <v>17.47</v>
      </c>
      <c r="N281" s="4" t="n">
        <v>14.97</v>
      </c>
    </row>
    <row r="282">
      <c r="A282" s="2" t="inlineStr">
        <is>
          <t>MPE1101</t>
        </is>
      </c>
      <c r="B282" s="8" t="inlineStr">
        <is>
          <t>2026-08-01 00:00:00</t>
        </is>
      </c>
      <c r="C282" s="8" t="n">
        <v>12.92</v>
      </c>
      <c r="D282" s="8" t="n">
        <v>16.16</v>
      </c>
      <c r="E282" s="8" t="n">
        <v>17</v>
      </c>
      <c r="F282" s="8" t="n">
        <v>15.68</v>
      </c>
      <c r="G282" s="8" t="n">
        <v>17.95</v>
      </c>
      <c r="H282" s="8" t="n">
        <v>16.24</v>
      </c>
      <c r="I282" s="8" t="n">
        <v>14.53</v>
      </c>
      <c r="J282" s="8" t="n">
        <v>14.19</v>
      </c>
      <c r="K282" s="8" t="n">
        <v>16.49</v>
      </c>
      <c r="L282" s="8" t="n">
        <v>15.35</v>
      </c>
      <c r="M282" s="8" t="n">
        <v>18</v>
      </c>
      <c r="N282" s="4" t="n">
        <v>15.91</v>
      </c>
    </row>
    <row r="283">
      <c r="A283" s="2" t="inlineStr">
        <is>
          <t>MPE1101</t>
        </is>
      </c>
      <c r="B283" s="8" t="inlineStr">
        <is>
          <t>2026-09-01 00:00:00</t>
        </is>
      </c>
      <c r="C283" s="8" t="n">
        <v>6.8</v>
      </c>
      <c r="D283" s="8" t="n">
        <v>11.62</v>
      </c>
      <c r="E283" s="8" t="n">
        <v>14.31</v>
      </c>
      <c r="F283" s="8" t="n">
        <v>12.39</v>
      </c>
      <c r="G283" s="8" t="n">
        <v>16.31</v>
      </c>
      <c r="H283" s="8" t="n">
        <v>12.08</v>
      </c>
      <c r="I283" s="8" t="n">
        <v>5.83</v>
      </c>
      <c r="J283" s="8" t="n">
        <v>6.41</v>
      </c>
      <c r="K283" s="8" t="n">
        <v>9.41</v>
      </c>
      <c r="L283" s="8" t="n">
        <v>8.369999999999999</v>
      </c>
      <c r="M283" s="8" t="n">
        <v>12.12</v>
      </c>
      <c r="N283" s="4" t="n">
        <v>9.890000000000001</v>
      </c>
    </row>
    <row r="284">
      <c r="A284" s="2" t="inlineStr">
        <is>
          <t>MPE1101</t>
        </is>
      </c>
      <c r="B284" s="8" t="inlineStr">
        <is>
          <t>2026-10-01 00:00:00</t>
        </is>
      </c>
      <c r="C284" s="8" t="n">
        <v>6.61</v>
      </c>
      <c r="D284" s="8" t="n">
        <v>8.93</v>
      </c>
      <c r="E284" s="8" t="n">
        <v>10.47</v>
      </c>
      <c r="F284" s="8" t="n">
        <v>8.960000000000001</v>
      </c>
      <c r="G284" s="8" t="n">
        <v>10.66</v>
      </c>
      <c r="H284" s="8" t="n">
        <v>10.56</v>
      </c>
      <c r="I284" s="8" t="n">
        <v>7.47</v>
      </c>
      <c r="J284" s="8" t="n">
        <v>7.37</v>
      </c>
      <c r="K284" s="8" t="n">
        <v>8.31</v>
      </c>
      <c r="L284" s="8" t="n">
        <v>7.15</v>
      </c>
      <c r="M284" s="8" t="n">
        <v>8.949999999999999</v>
      </c>
      <c r="N284" s="4" t="n">
        <v>8.65</v>
      </c>
    </row>
    <row r="285">
      <c r="A285" s="2" t="inlineStr">
        <is>
          <t>MPE1101</t>
        </is>
      </c>
      <c r="B285" s="8" t="inlineStr">
        <is>
          <t>2026-11-01 00:00:00</t>
        </is>
      </c>
      <c r="C285" s="8" t="n">
        <v>5.25</v>
      </c>
      <c r="D285" s="8" t="n">
        <v>8.09</v>
      </c>
      <c r="E285" s="8" t="n">
        <v>11.66</v>
      </c>
      <c r="F285" s="8" t="n">
        <v>10.9</v>
      </c>
      <c r="G285" s="8" t="n">
        <v>11.56</v>
      </c>
      <c r="H285" s="8" t="n">
        <v>9.390000000000001</v>
      </c>
      <c r="I285" s="8" t="n">
        <v>5.2</v>
      </c>
      <c r="J285" s="8" t="n">
        <v>4.65</v>
      </c>
      <c r="K285" s="8" t="n">
        <v>7.66</v>
      </c>
      <c r="L285" s="8" t="n">
        <v>6.67</v>
      </c>
      <c r="M285" s="8" t="n">
        <v>7.62</v>
      </c>
      <c r="N285" s="4" t="n">
        <v>7.22</v>
      </c>
    </row>
    <row r="286">
      <c r="A286" s="2" t="inlineStr">
        <is>
          <t>MPE1101</t>
        </is>
      </c>
      <c r="B286" s="8" t="inlineStr">
        <is>
          <t>2026-12-01 00:00:00</t>
        </is>
      </c>
      <c r="C286" s="8" t="n">
        <v>6.02</v>
      </c>
      <c r="D286" s="8" t="n">
        <v>6.61</v>
      </c>
      <c r="E286" s="8" t="n">
        <v>10.82</v>
      </c>
      <c r="F286" s="8" t="n">
        <v>9.99</v>
      </c>
      <c r="G286" s="8" t="n">
        <v>9.57</v>
      </c>
      <c r="H286" s="8" t="n">
        <v>7.87</v>
      </c>
      <c r="I286" s="8" t="n">
        <v>5.74</v>
      </c>
      <c r="J286" s="8" t="n">
        <v>5.36</v>
      </c>
      <c r="K286" s="8" t="n">
        <v>7.49</v>
      </c>
      <c r="L286" s="8" t="n">
        <v>7.32</v>
      </c>
      <c r="M286" s="8" t="n">
        <v>7.87</v>
      </c>
      <c r="N286" s="4" t="n">
        <v>6.96</v>
      </c>
    </row>
    <row r="287">
      <c r="A287" s="2" t="inlineStr">
        <is>
          <t>MPE1101</t>
        </is>
      </c>
      <c r="B287" s="8" t="inlineStr">
        <is>
          <t>2027-01-01 00:00:00</t>
        </is>
      </c>
      <c r="C287" s="8" t="n">
        <v>12.06</v>
      </c>
      <c r="D287" s="8" t="n">
        <v>12.72</v>
      </c>
      <c r="E287" s="8" t="n">
        <v>16.47</v>
      </c>
      <c r="F287" s="8" t="n">
        <v>17.73</v>
      </c>
      <c r="G287" s="8" t="n">
        <v>18.63</v>
      </c>
      <c r="H287" s="8" t="n">
        <v>16.09</v>
      </c>
      <c r="I287" s="8" t="n">
        <v>9.16</v>
      </c>
      <c r="J287" s="8" t="n">
        <v>7.99</v>
      </c>
      <c r="K287" s="8" t="n">
        <v>10.34</v>
      </c>
      <c r="L287" s="8" t="n">
        <v>10.8</v>
      </c>
      <c r="M287" s="8" t="n">
        <v>12.77</v>
      </c>
      <c r="N287" s="4" t="n">
        <v>11.52</v>
      </c>
    </row>
    <row r="288">
      <c r="A288" s="2" t="inlineStr">
        <is>
          <t>MPE1101</t>
        </is>
      </c>
      <c r="B288" s="8" t="inlineStr">
        <is>
          <t>2027-02-01 00:00:00</t>
        </is>
      </c>
      <c r="C288" s="8" t="n">
        <v>10.77</v>
      </c>
      <c r="D288" s="8" t="n">
        <v>13</v>
      </c>
      <c r="E288" s="8" t="n">
        <v>16.13</v>
      </c>
      <c r="F288" s="8" t="n">
        <v>15.6</v>
      </c>
      <c r="G288" s="8" t="n">
        <v>17.42</v>
      </c>
      <c r="H288" s="8" t="n">
        <v>15.16</v>
      </c>
      <c r="I288" s="8" t="n">
        <v>9.52</v>
      </c>
      <c r="J288" s="8" t="n">
        <v>7.98</v>
      </c>
      <c r="K288" s="8" t="n">
        <v>11.83</v>
      </c>
      <c r="L288" s="8" t="n">
        <v>12.07</v>
      </c>
      <c r="M288" s="8" t="n">
        <v>14.07</v>
      </c>
      <c r="N288" s="4" t="n">
        <v>12.51</v>
      </c>
    </row>
    <row r="289">
      <c r="A289" s="2" t="inlineStr">
        <is>
          <t>MPE1101</t>
        </is>
      </c>
      <c r="B289" s="8" t="inlineStr">
        <is>
          <t>2027-03-01 00:00:00</t>
        </is>
      </c>
      <c r="C289" s="8" t="n">
        <v>11.09</v>
      </c>
      <c r="D289" s="8" t="n">
        <v>13.57</v>
      </c>
      <c r="E289" s="8" t="n">
        <v>15.41</v>
      </c>
      <c r="F289" s="8" t="n">
        <v>14.62</v>
      </c>
      <c r="G289" s="8" t="n">
        <v>15.51</v>
      </c>
      <c r="H289" s="8" t="n">
        <v>14.12</v>
      </c>
      <c r="I289" s="8" t="n">
        <v>10.89</v>
      </c>
      <c r="J289" s="8" t="n">
        <v>10.64</v>
      </c>
      <c r="K289" s="8" t="n">
        <v>13.98</v>
      </c>
      <c r="L289" s="8" t="n">
        <v>12.89</v>
      </c>
      <c r="M289" s="8" t="n">
        <v>14.18</v>
      </c>
      <c r="N289" s="4" t="n">
        <v>13.09</v>
      </c>
    </row>
    <row r="290">
      <c r="A290" s="2" t="inlineStr">
        <is>
          <t>MPE1101</t>
        </is>
      </c>
      <c r="B290" s="8" t="inlineStr">
        <is>
          <t>2027-04-01 00:00:00</t>
        </is>
      </c>
      <c r="C290" s="8" t="n">
        <v>16.36</v>
      </c>
      <c r="D290" s="8" t="n">
        <v>19.03</v>
      </c>
      <c r="E290" s="8" t="n">
        <v>20.35</v>
      </c>
      <c r="F290" s="8" t="n">
        <v>20.49</v>
      </c>
      <c r="G290" s="8" t="n">
        <v>22.53</v>
      </c>
      <c r="H290" s="8" t="n">
        <v>19.34</v>
      </c>
      <c r="I290" s="8" t="n">
        <v>13.94</v>
      </c>
      <c r="J290" s="8" t="n">
        <v>14.33</v>
      </c>
      <c r="K290" s="8" t="n">
        <v>18.15</v>
      </c>
      <c r="L290" s="8" t="n">
        <v>16.36</v>
      </c>
      <c r="M290" s="8" t="n">
        <v>19.26</v>
      </c>
      <c r="N290" s="4" t="n">
        <v>16.88</v>
      </c>
    </row>
    <row r="291">
      <c r="A291" s="2" t="inlineStr">
        <is>
          <t>MPE1101</t>
        </is>
      </c>
      <c r="B291" s="8" t="inlineStr">
        <is>
          <t>2027-05-01 00:00:00</t>
        </is>
      </c>
      <c r="C291" s="8" t="n">
        <v>15.28</v>
      </c>
      <c r="D291" s="8" t="n">
        <v>20.29</v>
      </c>
      <c r="E291" s="8" t="n">
        <v>23.49</v>
      </c>
      <c r="F291" s="8" t="n">
        <v>19.91</v>
      </c>
      <c r="G291" s="8" t="n">
        <v>25.49</v>
      </c>
      <c r="H291" s="8" t="n">
        <v>18.69</v>
      </c>
      <c r="I291" s="8" t="n">
        <v>15.52</v>
      </c>
      <c r="J291" s="8" t="n">
        <v>15.83</v>
      </c>
      <c r="K291" s="8" t="n">
        <v>17.04</v>
      </c>
      <c r="L291" s="8" t="n">
        <v>16.31</v>
      </c>
      <c r="M291" s="8" t="n">
        <v>18.63</v>
      </c>
      <c r="N291" s="4" t="n">
        <v>16.82</v>
      </c>
    </row>
    <row r="292">
      <c r="A292" s="2" t="inlineStr">
        <is>
          <t>MPE1101</t>
        </is>
      </c>
      <c r="B292" s="8" t="inlineStr">
        <is>
          <t>2027-06-01 00:00:00</t>
        </is>
      </c>
      <c r="C292" s="8" t="n">
        <v>16.09</v>
      </c>
      <c r="D292" s="8" t="n">
        <v>20.48</v>
      </c>
      <c r="E292" s="8" t="n">
        <v>29</v>
      </c>
      <c r="F292" s="8" t="n">
        <v>20.41</v>
      </c>
      <c r="G292" s="8" t="n">
        <v>30.21</v>
      </c>
      <c r="H292" s="8" t="n">
        <v>19.92</v>
      </c>
      <c r="I292" s="8" t="n">
        <v>14.67</v>
      </c>
      <c r="J292" s="8" t="n">
        <v>13.99</v>
      </c>
      <c r="K292" s="8" t="n">
        <v>17.28</v>
      </c>
      <c r="L292" s="8" t="n">
        <v>16.39</v>
      </c>
      <c r="M292" s="8" t="n">
        <v>20.4</v>
      </c>
      <c r="N292" s="4" t="n">
        <v>18.75</v>
      </c>
    </row>
    <row r="293">
      <c r="A293" s="2" t="inlineStr">
        <is>
          <t>MPE1101</t>
        </is>
      </c>
      <c r="B293" s="8" t="inlineStr">
        <is>
          <t>2027-07-01 00:00:00</t>
        </is>
      </c>
      <c r="C293" s="8" t="n">
        <v>15.59</v>
      </c>
      <c r="D293" s="8" t="n">
        <v>18.99</v>
      </c>
      <c r="E293" s="8" t="n">
        <v>27.41</v>
      </c>
      <c r="F293" s="8" t="n">
        <v>20.91</v>
      </c>
      <c r="G293" s="8" t="n">
        <v>29.58</v>
      </c>
      <c r="H293" s="8" t="n">
        <v>19.93</v>
      </c>
      <c r="I293" s="8" t="n">
        <v>15.55</v>
      </c>
      <c r="J293" s="8" t="n">
        <v>14.94</v>
      </c>
      <c r="K293" s="8" t="n">
        <v>19.31</v>
      </c>
      <c r="L293" s="8" t="n">
        <v>16.59</v>
      </c>
      <c r="M293" s="8" t="n">
        <v>21.78</v>
      </c>
      <c r="N293" s="4" t="n">
        <v>18.63</v>
      </c>
    </row>
    <row r="294">
      <c r="A294" s="2" t="inlineStr">
        <is>
          <t>MPE1101</t>
        </is>
      </c>
      <c r="B294" s="8" t="inlineStr">
        <is>
          <t>2027-08-01 00:00:00</t>
        </is>
      </c>
      <c r="C294" s="8" t="n">
        <v>15.78</v>
      </c>
      <c r="D294" s="8" t="n">
        <v>19.8</v>
      </c>
      <c r="E294" s="8" t="n">
        <v>20.83</v>
      </c>
      <c r="F294" s="8" t="n">
        <v>19.2</v>
      </c>
      <c r="G294" s="8" t="n">
        <v>22</v>
      </c>
      <c r="H294" s="8" t="n">
        <v>19.89</v>
      </c>
      <c r="I294" s="8" t="n">
        <v>17.77</v>
      </c>
      <c r="J294" s="8" t="n">
        <v>17.36</v>
      </c>
      <c r="K294" s="8" t="n">
        <v>20.21</v>
      </c>
      <c r="L294" s="8" t="n">
        <v>18.79</v>
      </c>
      <c r="M294" s="8" t="n">
        <v>22.07</v>
      </c>
      <c r="N294" s="4" t="n">
        <v>19.49</v>
      </c>
    </row>
    <row r="295">
      <c r="A295" s="2" t="inlineStr">
        <is>
          <t>MPE1101</t>
        </is>
      </c>
      <c r="B295" s="8" t="inlineStr">
        <is>
          <t>2027-09-01 00:00:00</t>
        </is>
      </c>
      <c r="C295" s="8" t="n">
        <v>11.29</v>
      </c>
      <c r="D295" s="8" t="n">
        <v>19.54</v>
      </c>
      <c r="E295" s="8" t="n">
        <v>24.13</v>
      </c>
      <c r="F295" s="8" t="n">
        <v>20.85</v>
      </c>
      <c r="G295" s="8" t="n">
        <v>27.55</v>
      </c>
      <c r="H295" s="8" t="n">
        <v>20.31</v>
      </c>
      <c r="I295" s="8" t="n">
        <v>9.640000000000001</v>
      </c>
      <c r="J295" s="8" t="n">
        <v>10.63</v>
      </c>
      <c r="K295" s="8" t="n">
        <v>15.76</v>
      </c>
      <c r="L295" s="8" t="n">
        <v>13.97</v>
      </c>
      <c r="M295" s="8" t="n">
        <v>20.39</v>
      </c>
      <c r="N295" s="4" t="n">
        <v>16.57</v>
      </c>
    </row>
    <row r="296">
      <c r="A296" s="2" t="inlineStr">
        <is>
          <t>MPE1101</t>
        </is>
      </c>
      <c r="B296" s="8" t="inlineStr">
        <is>
          <t>2027-10-01 00:00:00</t>
        </is>
      </c>
      <c r="C296" s="8" t="n">
        <v>6.4</v>
      </c>
      <c r="D296" s="8" t="n">
        <v>8.630000000000001</v>
      </c>
      <c r="E296" s="8" t="n">
        <v>10.12</v>
      </c>
      <c r="F296" s="8" t="n">
        <v>8.66</v>
      </c>
      <c r="G296" s="8" t="n">
        <v>10.3</v>
      </c>
      <c r="H296" s="8" t="n">
        <v>10.21</v>
      </c>
      <c r="I296" s="8" t="n">
        <v>7.22</v>
      </c>
      <c r="J296" s="8" t="n">
        <v>7.13</v>
      </c>
      <c r="K296" s="8" t="n">
        <v>8.029999999999999</v>
      </c>
      <c r="L296" s="8" t="n">
        <v>6.91</v>
      </c>
      <c r="M296" s="8" t="n">
        <v>8.65</v>
      </c>
      <c r="N296" s="4" t="n">
        <v>8.359999999999999</v>
      </c>
    </row>
    <row r="297">
      <c r="A297" s="2" t="inlineStr">
        <is>
          <t>MPE1101</t>
        </is>
      </c>
      <c r="B297" s="8" t="inlineStr">
        <is>
          <t>2027-11-01 00:00:00</t>
        </is>
      </c>
      <c r="C297" s="8" t="n">
        <v>5.2</v>
      </c>
      <c r="D297" s="8" t="n">
        <v>8.02</v>
      </c>
      <c r="E297" s="8" t="n">
        <v>11.55</v>
      </c>
      <c r="F297" s="8" t="n">
        <v>10.8</v>
      </c>
      <c r="G297" s="8" t="n">
        <v>11.45</v>
      </c>
      <c r="H297" s="8" t="n">
        <v>9.31</v>
      </c>
      <c r="I297" s="8" t="n">
        <v>5.16</v>
      </c>
      <c r="J297" s="8" t="n">
        <v>4.62</v>
      </c>
      <c r="K297" s="8" t="n">
        <v>7.59</v>
      </c>
      <c r="L297" s="8" t="n">
        <v>6.61</v>
      </c>
      <c r="M297" s="8" t="n">
        <v>7.55</v>
      </c>
      <c r="N297" s="4" t="n">
        <v>7.16</v>
      </c>
    </row>
    <row r="298">
      <c r="A298" s="2" t="inlineStr">
        <is>
          <t>MPE1101</t>
        </is>
      </c>
      <c r="B298" s="8" t="inlineStr">
        <is>
          <t>2027-12-01 00:00:00</t>
        </is>
      </c>
      <c r="C298" s="8" t="n">
        <v>6.51</v>
      </c>
      <c r="D298" s="8" t="n">
        <v>7.16</v>
      </c>
      <c r="E298" s="8" t="n">
        <v>11.73</v>
      </c>
      <c r="F298" s="8" t="n">
        <v>10.83</v>
      </c>
      <c r="G298" s="8" t="n">
        <v>10.38</v>
      </c>
      <c r="H298" s="8" t="n">
        <v>8.52</v>
      </c>
      <c r="I298" s="8" t="n">
        <v>6.2</v>
      </c>
      <c r="J298" s="8" t="n">
        <v>5.8</v>
      </c>
      <c r="K298" s="8" t="n">
        <v>8.109999999999999</v>
      </c>
      <c r="L298" s="8" t="n">
        <v>7.93</v>
      </c>
      <c r="M298" s="8" t="n">
        <v>8.52</v>
      </c>
      <c r="N298" s="4" t="n">
        <v>7.53</v>
      </c>
    </row>
    <row r="299">
      <c r="A299" s="2" t="inlineStr">
        <is>
          <t>MPE1101</t>
        </is>
      </c>
      <c r="B299" s="8" t="inlineStr">
        <is>
          <t>2028-01-01 00:00:00</t>
        </is>
      </c>
      <c r="C299" s="8" t="n">
        <v>11.47</v>
      </c>
      <c r="D299" s="8" t="n">
        <v>12.11</v>
      </c>
      <c r="E299" s="8" t="n">
        <v>15.66</v>
      </c>
      <c r="F299" s="8" t="n">
        <v>16.86</v>
      </c>
      <c r="G299" s="8" t="n">
        <v>17.71</v>
      </c>
      <c r="H299" s="8" t="n">
        <v>15.3</v>
      </c>
      <c r="I299" s="8" t="n">
        <v>8.73</v>
      </c>
      <c r="J299" s="8" t="n">
        <v>7.62</v>
      </c>
      <c r="K299" s="8" t="n">
        <v>9.85</v>
      </c>
      <c r="L299" s="8" t="n">
        <v>10.28</v>
      </c>
      <c r="M299" s="8" t="n">
        <v>12.15</v>
      </c>
      <c r="N299" s="4" t="n">
        <v>10.96</v>
      </c>
    </row>
    <row r="300">
      <c r="A300" s="2" t="inlineStr">
        <is>
          <t>MPE1101</t>
        </is>
      </c>
      <c r="B300" s="8" t="inlineStr">
        <is>
          <t>2028-02-01 00:00:00</t>
        </is>
      </c>
      <c r="C300" s="8" t="n">
        <v>10.23</v>
      </c>
      <c r="D300" s="8" t="n">
        <v>12.34</v>
      </c>
      <c r="E300" s="8" t="n">
        <v>15.3</v>
      </c>
      <c r="F300" s="8" t="n">
        <v>14.8</v>
      </c>
      <c r="G300" s="8" t="n">
        <v>16.51</v>
      </c>
      <c r="H300" s="8" t="n">
        <v>14.38</v>
      </c>
      <c r="I300" s="8" t="n">
        <v>9.039999999999999</v>
      </c>
      <c r="J300" s="8" t="n">
        <v>7.59</v>
      </c>
      <c r="K300" s="8" t="n">
        <v>11.23</v>
      </c>
      <c r="L300" s="8" t="n">
        <v>11.45</v>
      </c>
      <c r="M300" s="8" t="n">
        <v>13.35</v>
      </c>
      <c r="N300" s="4" t="n">
        <v>11.88</v>
      </c>
    </row>
    <row r="301">
      <c r="A301" s="2" t="inlineStr">
        <is>
          <t>MPE1101</t>
        </is>
      </c>
      <c r="B301" s="8" t="inlineStr">
        <is>
          <t>2028-03-01 00:00:00</t>
        </is>
      </c>
      <c r="C301" s="8" t="n">
        <v>10.49</v>
      </c>
      <c r="D301" s="8" t="n">
        <v>12.83</v>
      </c>
      <c r="E301" s="8" t="n">
        <v>14.56</v>
      </c>
      <c r="F301" s="8" t="n">
        <v>13.81</v>
      </c>
      <c r="G301" s="8" t="n">
        <v>14.65</v>
      </c>
      <c r="H301" s="8" t="n">
        <v>13.34</v>
      </c>
      <c r="I301" s="8" t="n">
        <v>10.3</v>
      </c>
      <c r="J301" s="8" t="n">
        <v>10.06</v>
      </c>
      <c r="K301" s="8" t="n">
        <v>13.21</v>
      </c>
      <c r="L301" s="8" t="n">
        <v>12.18</v>
      </c>
      <c r="M301" s="8" t="n">
        <v>13.4</v>
      </c>
      <c r="N301" s="4" t="n">
        <v>12.37</v>
      </c>
    </row>
    <row r="302">
      <c r="A302" s="2" t="inlineStr">
        <is>
          <t>MPE1101</t>
        </is>
      </c>
      <c r="B302" s="8" t="inlineStr">
        <is>
          <t>2028-04-01 00:00:00</t>
        </is>
      </c>
      <c r="C302" s="8" t="n">
        <v>15.94</v>
      </c>
      <c r="D302" s="8" t="n">
        <v>18.53</v>
      </c>
      <c r="E302" s="8" t="n">
        <v>19.82</v>
      </c>
      <c r="F302" s="8" t="n">
        <v>19.96</v>
      </c>
      <c r="G302" s="8" t="n">
        <v>21.94</v>
      </c>
      <c r="H302" s="8" t="n">
        <v>18.84</v>
      </c>
      <c r="I302" s="8" t="n">
        <v>13.59</v>
      </c>
      <c r="J302" s="8" t="n">
        <v>13.96</v>
      </c>
      <c r="K302" s="8" t="n">
        <v>17.68</v>
      </c>
      <c r="L302" s="8" t="n">
        <v>15.94</v>
      </c>
      <c r="M302" s="8" t="n">
        <v>18.76</v>
      </c>
      <c r="N302" s="4" t="n">
        <v>16.44</v>
      </c>
    </row>
    <row r="303">
      <c r="A303" s="2" t="inlineStr">
        <is>
          <t>MPE1101</t>
        </is>
      </c>
      <c r="B303" s="8" t="inlineStr">
        <is>
          <t>2028-05-01 00:00:00</t>
        </is>
      </c>
      <c r="C303" s="8" t="n">
        <v>14.38</v>
      </c>
      <c r="D303" s="8" t="n">
        <v>19.07</v>
      </c>
      <c r="E303" s="8" t="n">
        <v>22.07</v>
      </c>
      <c r="F303" s="8" t="n">
        <v>18.72</v>
      </c>
      <c r="G303" s="8" t="n">
        <v>23.95</v>
      </c>
      <c r="H303" s="8" t="n">
        <v>17.58</v>
      </c>
      <c r="I303" s="8" t="n">
        <v>14.6</v>
      </c>
      <c r="J303" s="8" t="n">
        <v>14.89</v>
      </c>
      <c r="K303" s="8" t="n">
        <v>16.03</v>
      </c>
      <c r="L303" s="8" t="n">
        <v>15.34</v>
      </c>
      <c r="M303" s="8" t="n">
        <v>17.52</v>
      </c>
      <c r="N303" s="4" t="n">
        <v>15.82</v>
      </c>
    </row>
    <row r="304">
      <c r="A304" s="2" t="inlineStr">
        <is>
          <t>MPE1101</t>
        </is>
      </c>
      <c r="B304" s="8" t="inlineStr">
        <is>
          <t>2028-06-01 00:00:00</t>
        </is>
      </c>
      <c r="C304" s="8" t="n">
        <v>15.23</v>
      </c>
      <c r="D304" s="8" t="n">
        <v>19.37</v>
      </c>
      <c r="E304" s="8" t="n">
        <v>27.76</v>
      </c>
      <c r="F304" s="8" t="n">
        <v>19.31</v>
      </c>
      <c r="G304" s="8" t="n">
        <v>28.9</v>
      </c>
      <c r="H304" s="8" t="n">
        <v>18.85</v>
      </c>
      <c r="I304" s="8" t="n">
        <v>13.89</v>
      </c>
      <c r="J304" s="8" t="n">
        <v>13.25</v>
      </c>
      <c r="K304" s="8" t="n">
        <v>16.35</v>
      </c>
      <c r="L304" s="8" t="n">
        <v>15.52</v>
      </c>
      <c r="M304" s="8" t="n">
        <v>19.31</v>
      </c>
      <c r="N304" s="4" t="n">
        <v>17.74</v>
      </c>
    </row>
    <row r="305">
      <c r="A305" s="2" t="inlineStr">
        <is>
          <t>MPE1101</t>
        </is>
      </c>
      <c r="B305" s="8" t="inlineStr">
        <is>
          <t>2028-07-01 00:00:00</t>
        </is>
      </c>
      <c r="C305" s="8" t="n">
        <v>14.95</v>
      </c>
      <c r="D305" s="8" t="n">
        <v>18.19</v>
      </c>
      <c r="E305" s="8" t="n">
        <v>26.51</v>
      </c>
      <c r="F305" s="8" t="n">
        <v>20.03</v>
      </c>
      <c r="G305" s="8" t="n">
        <v>28.58</v>
      </c>
      <c r="H305" s="8" t="n">
        <v>19.09</v>
      </c>
      <c r="I305" s="8" t="n">
        <v>14.9</v>
      </c>
      <c r="J305" s="8" t="n">
        <v>14.33</v>
      </c>
      <c r="K305" s="8" t="n">
        <v>18.5</v>
      </c>
      <c r="L305" s="8" t="n">
        <v>15.9</v>
      </c>
      <c r="M305" s="8" t="n">
        <v>20.86</v>
      </c>
      <c r="N305" s="4" t="n">
        <v>17.85</v>
      </c>
    </row>
    <row r="306">
      <c r="A306" s="2" t="inlineStr">
        <is>
          <t>MPE1101</t>
        </is>
      </c>
      <c r="B306" s="8" t="inlineStr">
        <is>
          <t>2028-08-01 00:00:00</t>
        </is>
      </c>
      <c r="C306" s="8" t="n">
        <v>15.01</v>
      </c>
      <c r="D306" s="8" t="n">
        <v>18.81</v>
      </c>
      <c r="E306" s="8" t="n">
        <v>19.79</v>
      </c>
      <c r="F306" s="8" t="n">
        <v>18.25</v>
      </c>
      <c r="G306" s="8" t="n">
        <v>20.9</v>
      </c>
      <c r="H306" s="8" t="n">
        <v>18.9</v>
      </c>
      <c r="I306" s="8" t="n">
        <v>16.89</v>
      </c>
      <c r="J306" s="8" t="n">
        <v>16.5</v>
      </c>
      <c r="K306" s="8" t="n">
        <v>19.2</v>
      </c>
      <c r="L306" s="8" t="n">
        <v>17.86</v>
      </c>
      <c r="M306" s="8" t="n">
        <v>20.97</v>
      </c>
      <c r="N306" s="4" t="n">
        <v>18.52</v>
      </c>
    </row>
    <row r="307">
      <c r="A307" s="2" t="inlineStr">
        <is>
          <t>MPE1101</t>
        </is>
      </c>
      <c r="B307" s="8" t="inlineStr">
        <is>
          <t>2028-09-01 00:00:00</t>
        </is>
      </c>
      <c r="C307" s="8" t="n">
        <v>10.86</v>
      </c>
      <c r="D307" s="8" t="n">
        <v>18.77</v>
      </c>
      <c r="E307" s="8" t="n">
        <v>23.17</v>
      </c>
      <c r="F307" s="8" t="n">
        <v>20.03</v>
      </c>
      <c r="G307" s="8" t="n">
        <v>26.45</v>
      </c>
      <c r="H307" s="8" t="n">
        <v>19.51</v>
      </c>
      <c r="I307" s="8" t="n">
        <v>9.27</v>
      </c>
      <c r="J307" s="8" t="n">
        <v>10.22</v>
      </c>
      <c r="K307" s="8" t="n">
        <v>15.15</v>
      </c>
      <c r="L307" s="8" t="n">
        <v>13.43</v>
      </c>
      <c r="M307" s="8" t="n">
        <v>19.58</v>
      </c>
      <c r="N307" s="4" t="n">
        <v>15.92</v>
      </c>
    </row>
    <row r="308">
      <c r="A308" s="2" t="inlineStr">
        <is>
          <t>MPE1101</t>
        </is>
      </c>
      <c r="B308" s="8" t="inlineStr">
        <is>
          <t>2028-10-01 00:00:00</t>
        </is>
      </c>
      <c r="C308" s="8" t="n">
        <v>6.32</v>
      </c>
      <c r="D308" s="8" t="n">
        <v>8.52</v>
      </c>
      <c r="E308" s="8" t="n">
        <v>9.98</v>
      </c>
      <c r="F308" s="8" t="n">
        <v>8.56</v>
      </c>
      <c r="G308" s="8" t="n">
        <v>10.16</v>
      </c>
      <c r="H308" s="8" t="n">
        <v>10.07</v>
      </c>
      <c r="I308" s="8" t="n">
        <v>7.13</v>
      </c>
      <c r="J308" s="8" t="n">
        <v>7.04</v>
      </c>
      <c r="K308" s="8" t="n">
        <v>7.93</v>
      </c>
      <c r="L308" s="8" t="n">
        <v>6.83</v>
      </c>
      <c r="M308" s="8" t="n">
        <v>8.539999999999999</v>
      </c>
      <c r="N308" s="4" t="n">
        <v>8.26</v>
      </c>
    </row>
    <row r="309">
      <c r="A309" s="2" t="inlineStr">
        <is>
          <t>MPE1101</t>
        </is>
      </c>
      <c r="B309" s="8" t="inlineStr">
        <is>
          <t>2028-11-01 00:00:00</t>
        </is>
      </c>
      <c r="C309" s="8" t="n">
        <v>5.17</v>
      </c>
      <c r="D309" s="8" t="n">
        <v>7.96</v>
      </c>
      <c r="E309" s="8" t="n">
        <v>11.46</v>
      </c>
      <c r="F309" s="8" t="n">
        <v>10.71</v>
      </c>
      <c r="G309" s="8" t="n">
        <v>11.36</v>
      </c>
      <c r="H309" s="8" t="n">
        <v>9.24</v>
      </c>
      <c r="I309" s="8" t="n">
        <v>5.13</v>
      </c>
      <c r="J309" s="8" t="n">
        <v>4.59</v>
      </c>
      <c r="K309" s="8" t="n">
        <v>7.54</v>
      </c>
      <c r="L309" s="8" t="n">
        <v>6.56</v>
      </c>
      <c r="M309" s="8" t="n">
        <v>7.5</v>
      </c>
      <c r="N309" s="4" t="n">
        <v>7.11</v>
      </c>
    </row>
    <row r="310">
      <c r="A310" s="2" t="inlineStr">
        <is>
          <t>MPE1101</t>
        </is>
      </c>
      <c r="B310" s="8" t="inlineStr">
        <is>
          <t>2028-12-01 00:00:00</t>
        </is>
      </c>
      <c r="C310" s="8" t="n">
        <v>6.55</v>
      </c>
      <c r="D310" s="8" t="n">
        <v>7.2</v>
      </c>
      <c r="E310" s="8" t="n">
        <v>11.8</v>
      </c>
      <c r="F310" s="8" t="n">
        <v>10.9</v>
      </c>
      <c r="G310" s="8" t="n">
        <v>10.44</v>
      </c>
      <c r="H310" s="8" t="n">
        <v>8.57</v>
      </c>
      <c r="I310" s="8" t="n">
        <v>6.25</v>
      </c>
      <c r="J310" s="8" t="n">
        <v>5.84</v>
      </c>
      <c r="K310" s="8" t="n">
        <v>8.16</v>
      </c>
      <c r="L310" s="8" t="n">
        <v>7.98</v>
      </c>
      <c r="M310" s="8" t="n">
        <v>8.58</v>
      </c>
      <c r="N310" s="4" t="n">
        <v>7.58</v>
      </c>
    </row>
    <row r="311">
      <c r="A311" s="2" t="inlineStr">
        <is>
          <t>MPE1101</t>
        </is>
      </c>
      <c r="B311" s="8" t="inlineStr">
        <is>
          <t>2029-01-01 00:00:00</t>
        </is>
      </c>
      <c r="C311" s="8" t="n">
        <v>11.06</v>
      </c>
      <c r="D311" s="8" t="n">
        <v>11.67</v>
      </c>
      <c r="E311" s="8" t="n">
        <v>15.08</v>
      </c>
      <c r="F311" s="8" t="n">
        <v>16.23</v>
      </c>
      <c r="G311" s="8" t="n">
        <v>17.05</v>
      </c>
      <c r="H311" s="8" t="n">
        <v>14.73</v>
      </c>
      <c r="I311" s="8" t="n">
        <v>8.42</v>
      </c>
      <c r="J311" s="8" t="n">
        <v>7.35</v>
      </c>
      <c r="K311" s="8" t="n">
        <v>9.5</v>
      </c>
      <c r="L311" s="8" t="n">
        <v>9.91</v>
      </c>
      <c r="M311" s="8" t="n">
        <v>11.71</v>
      </c>
      <c r="N311" s="4" t="n">
        <v>10.56</v>
      </c>
    </row>
    <row r="312">
      <c r="A312" s="2" t="inlineStr">
        <is>
          <t>MPE1101</t>
        </is>
      </c>
      <c r="B312" s="8" t="inlineStr">
        <is>
          <t>2029-02-01 00:00:00</t>
        </is>
      </c>
      <c r="C312" s="8" t="n">
        <v>10.12</v>
      </c>
      <c r="D312" s="8" t="n">
        <v>12.2</v>
      </c>
      <c r="E312" s="8" t="n">
        <v>15.13</v>
      </c>
      <c r="F312" s="8" t="n">
        <v>14.63</v>
      </c>
      <c r="G312" s="8" t="n">
        <v>16.33</v>
      </c>
      <c r="H312" s="8" t="n">
        <v>14.22</v>
      </c>
      <c r="I312" s="8" t="n">
        <v>8.94</v>
      </c>
      <c r="J312" s="8" t="n">
        <v>7.5</v>
      </c>
      <c r="K312" s="8" t="n">
        <v>11.11</v>
      </c>
      <c r="L312" s="8" t="n">
        <v>11.33</v>
      </c>
      <c r="M312" s="8" t="n">
        <v>13.2</v>
      </c>
      <c r="N312" s="4" t="n">
        <v>11.74</v>
      </c>
    </row>
    <row r="313">
      <c r="A313" s="2" t="inlineStr">
        <is>
          <t>MPE1101</t>
        </is>
      </c>
      <c r="B313" s="8" t="inlineStr">
        <is>
          <t>2029-03-01 00:00:00</t>
        </is>
      </c>
      <c r="C313" s="8" t="n">
        <v>10.41</v>
      </c>
      <c r="D313" s="8" t="n">
        <v>12.74</v>
      </c>
      <c r="E313" s="8" t="n">
        <v>14.45</v>
      </c>
      <c r="F313" s="8" t="n">
        <v>13.72</v>
      </c>
      <c r="G313" s="8" t="n">
        <v>14.54</v>
      </c>
      <c r="H313" s="8" t="n">
        <v>13.25</v>
      </c>
      <c r="I313" s="8" t="n">
        <v>10.23</v>
      </c>
      <c r="J313" s="8" t="n">
        <v>9.99</v>
      </c>
      <c r="K313" s="8" t="n">
        <v>13.11</v>
      </c>
      <c r="L313" s="8" t="n">
        <v>12.09</v>
      </c>
      <c r="M313" s="8" t="n">
        <v>13.3</v>
      </c>
      <c r="N313" s="4" t="n">
        <v>12.28</v>
      </c>
    </row>
    <row r="314">
      <c r="A314" s="2" t="inlineStr">
        <is>
          <t>MPE1101</t>
        </is>
      </c>
      <c r="B314" s="8" t="inlineStr">
        <is>
          <t>2029-04-01 00:00:00</t>
        </is>
      </c>
      <c r="C314" s="8" t="n">
        <v>15.63</v>
      </c>
      <c r="D314" s="8" t="n">
        <v>18.17</v>
      </c>
      <c r="E314" s="8" t="n">
        <v>19.43</v>
      </c>
      <c r="F314" s="8" t="n">
        <v>19.57</v>
      </c>
      <c r="G314" s="8" t="n">
        <v>21.51</v>
      </c>
      <c r="H314" s="8" t="n">
        <v>18.47</v>
      </c>
      <c r="I314" s="8" t="n">
        <v>13.33</v>
      </c>
      <c r="J314" s="8" t="n">
        <v>13.7</v>
      </c>
      <c r="K314" s="8" t="n">
        <v>17.34</v>
      </c>
      <c r="L314" s="8" t="n">
        <v>15.63</v>
      </c>
      <c r="M314" s="8" t="n">
        <v>18.39</v>
      </c>
      <c r="N314" s="4" t="n">
        <v>16.12</v>
      </c>
    </row>
    <row r="315">
      <c r="A315" s="2" t="inlineStr">
        <is>
          <t>MPE1101</t>
        </is>
      </c>
      <c r="B315" s="8" t="inlineStr">
        <is>
          <t>2029-05-01 00:00:00</t>
        </is>
      </c>
      <c r="C315" s="8" t="n">
        <v>14.27</v>
      </c>
      <c r="D315" s="8" t="n">
        <v>18.92</v>
      </c>
      <c r="E315" s="8" t="n">
        <v>21.9</v>
      </c>
      <c r="F315" s="8" t="n">
        <v>18.57</v>
      </c>
      <c r="G315" s="8" t="n">
        <v>23.76</v>
      </c>
      <c r="H315" s="8" t="n">
        <v>17.44</v>
      </c>
      <c r="I315" s="8" t="n">
        <v>14.49</v>
      </c>
      <c r="J315" s="8" t="n">
        <v>14.78</v>
      </c>
      <c r="K315" s="8" t="n">
        <v>15.91</v>
      </c>
      <c r="L315" s="8" t="n">
        <v>15.22</v>
      </c>
      <c r="M315" s="8" t="n">
        <v>17.38</v>
      </c>
      <c r="N315" s="4" t="n">
        <v>15.7</v>
      </c>
    </row>
    <row r="316">
      <c r="A316" s="2" t="inlineStr">
        <is>
          <t>MPE1101</t>
        </is>
      </c>
      <c r="B316" s="8" t="inlineStr">
        <is>
          <t>2029-06-01 00:00:00</t>
        </is>
      </c>
      <c r="C316" s="8" t="n">
        <v>15.21</v>
      </c>
      <c r="D316" s="8" t="n">
        <v>19.34</v>
      </c>
      <c r="E316" s="8" t="n">
        <v>27.72</v>
      </c>
      <c r="F316" s="8" t="n">
        <v>19.28</v>
      </c>
      <c r="G316" s="8" t="n">
        <v>28.86</v>
      </c>
      <c r="H316" s="8" t="n">
        <v>18.82</v>
      </c>
      <c r="I316" s="8" t="n">
        <v>13.87</v>
      </c>
      <c r="J316" s="8" t="n">
        <v>13.23</v>
      </c>
      <c r="K316" s="8" t="n">
        <v>16.33</v>
      </c>
      <c r="L316" s="8" t="n">
        <v>15.5</v>
      </c>
      <c r="M316" s="8" t="n">
        <v>19.28</v>
      </c>
      <c r="N316" s="4" t="n">
        <v>17.72</v>
      </c>
    </row>
    <row r="317">
      <c r="A317" s="2" t="inlineStr">
        <is>
          <t>MPE1101</t>
        </is>
      </c>
      <c r="B317" s="8" t="inlineStr">
        <is>
          <t>2029-07-01 00:00:00</t>
        </is>
      </c>
      <c r="C317" s="8" t="n">
        <v>14.52</v>
      </c>
      <c r="D317" s="8" t="n">
        <v>17.66</v>
      </c>
      <c r="E317" s="8" t="n">
        <v>25.91</v>
      </c>
      <c r="F317" s="8" t="n">
        <v>19.45</v>
      </c>
      <c r="G317" s="8" t="n">
        <v>27.92</v>
      </c>
      <c r="H317" s="8" t="n">
        <v>18.54</v>
      </c>
      <c r="I317" s="8" t="n">
        <v>14.48</v>
      </c>
      <c r="J317" s="8" t="n">
        <v>13.92</v>
      </c>
      <c r="K317" s="8" t="n">
        <v>17.96</v>
      </c>
      <c r="L317" s="8" t="n">
        <v>15.44</v>
      </c>
      <c r="M317" s="8" t="n">
        <v>20.25</v>
      </c>
      <c r="N317" s="4" t="n">
        <v>17.33</v>
      </c>
    </row>
    <row r="318">
      <c r="A318" s="2" t="inlineStr">
        <is>
          <t>MPE1101</t>
        </is>
      </c>
      <c r="B318" s="8" t="inlineStr">
        <is>
          <t>2029-08-01 00:00:00</t>
        </is>
      </c>
      <c r="C318" s="8" t="n">
        <v>14.63</v>
      </c>
      <c r="D318" s="8" t="n">
        <v>18.34</v>
      </c>
      <c r="E318" s="8" t="n">
        <v>19.29</v>
      </c>
      <c r="F318" s="8" t="n">
        <v>17.79</v>
      </c>
      <c r="G318" s="8" t="n">
        <v>20.37</v>
      </c>
      <c r="H318" s="8" t="n">
        <v>18.42</v>
      </c>
      <c r="I318" s="8" t="n">
        <v>16.47</v>
      </c>
      <c r="J318" s="8" t="n">
        <v>16.09</v>
      </c>
      <c r="K318" s="8" t="n">
        <v>18.72</v>
      </c>
      <c r="L318" s="8" t="n">
        <v>17.41</v>
      </c>
      <c r="M318" s="8" t="n">
        <v>20.43</v>
      </c>
      <c r="N318" s="4" t="n">
        <v>18.05</v>
      </c>
    </row>
    <row r="319">
      <c r="A319" s="2" t="inlineStr">
        <is>
          <t>MPE1101</t>
        </is>
      </c>
      <c r="B319" s="8" t="inlineStr">
        <is>
          <t>2029-09-01 00:00:00</t>
        </is>
      </c>
      <c r="C319" s="8" t="n">
        <v>10.7</v>
      </c>
      <c r="D319" s="8" t="n">
        <v>18.48</v>
      </c>
      <c r="E319" s="8" t="n">
        <v>22.81</v>
      </c>
      <c r="F319" s="8" t="n">
        <v>19.72</v>
      </c>
      <c r="G319" s="8" t="n">
        <v>26.05</v>
      </c>
      <c r="H319" s="8" t="n">
        <v>19.21</v>
      </c>
      <c r="I319" s="8" t="n">
        <v>9.140000000000001</v>
      </c>
      <c r="J319" s="8" t="n">
        <v>10.07</v>
      </c>
      <c r="K319" s="8" t="n">
        <v>14.92</v>
      </c>
      <c r="L319" s="8" t="n">
        <v>13.23</v>
      </c>
      <c r="M319" s="8" t="n">
        <v>19.29</v>
      </c>
      <c r="N319" s="4" t="n">
        <v>15.68</v>
      </c>
    </row>
    <row r="320">
      <c r="A320" s="2" t="inlineStr">
        <is>
          <t>MPE1101</t>
        </is>
      </c>
      <c r="B320" s="8" t="inlineStr">
        <is>
          <t>2029-10-01 00:00:00</t>
        </is>
      </c>
      <c r="C320" s="8" t="n">
        <v>6.16</v>
      </c>
      <c r="D320" s="8" t="n">
        <v>8.289999999999999</v>
      </c>
      <c r="E320" s="8" t="n">
        <v>9.710000000000001</v>
      </c>
      <c r="F320" s="8" t="n">
        <v>8.33</v>
      </c>
      <c r="G320" s="8" t="n">
        <v>9.890000000000001</v>
      </c>
      <c r="H320" s="8" t="n">
        <v>9.800000000000001</v>
      </c>
      <c r="I320" s="8" t="n">
        <v>6.95</v>
      </c>
      <c r="J320" s="8" t="n">
        <v>6.85</v>
      </c>
      <c r="K320" s="8" t="n">
        <v>7.72</v>
      </c>
      <c r="L320" s="8" t="n">
        <v>6.65</v>
      </c>
      <c r="M320" s="8" t="n">
        <v>8.32</v>
      </c>
      <c r="N320" s="4" t="n">
        <v>8.039999999999999</v>
      </c>
    </row>
    <row r="321">
      <c r="A321" s="2" t="inlineStr">
        <is>
          <t>MPE1101</t>
        </is>
      </c>
      <c r="B321" s="8" t="inlineStr">
        <is>
          <t>2029-11-01 00:00:00</t>
        </is>
      </c>
      <c r="C321" s="8" t="n">
        <v>5.06</v>
      </c>
      <c r="D321" s="8" t="n">
        <v>7.78</v>
      </c>
      <c r="E321" s="8" t="n">
        <v>11.2</v>
      </c>
      <c r="F321" s="8" t="n">
        <v>10.47</v>
      </c>
      <c r="G321" s="8" t="n">
        <v>11.1</v>
      </c>
      <c r="H321" s="8" t="n">
        <v>9.029999999999999</v>
      </c>
      <c r="I321" s="8" t="n">
        <v>5.02</v>
      </c>
      <c r="J321" s="8" t="n">
        <v>4.49</v>
      </c>
      <c r="K321" s="8" t="n">
        <v>7.37</v>
      </c>
      <c r="L321" s="8" t="n">
        <v>6.42</v>
      </c>
      <c r="M321" s="8" t="n">
        <v>7.34</v>
      </c>
      <c r="N321" s="4" t="n">
        <v>6.96</v>
      </c>
    </row>
    <row r="322">
      <c r="A322" s="2" t="inlineStr">
        <is>
          <t>MPE1101</t>
        </is>
      </c>
      <c r="B322" s="8" t="inlineStr">
        <is>
          <t>2029-12-01 00:00:00</t>
        </is>
      </c>
      <c r="C322" s="8" t="n">
        <v>6.41</v>
      </c>
      <c r="D322" s="8" t="n">
        <v>7.05</v>
      </c>
      <c r="E322" s="8" t="n">
        <v>11.53</v>
      </c>
      <c r="F322" s="8" t="n">
        <v>10.66</v>
      </c>
      <c r="G322" s="8" t="n">
        <v>10.21</v>
      </c>
      <c r="H322" s="8" t="n">
        <v>8.390000000000001</v>
      </c>
      <c r="I322" s="8" t="n">
        <v>6.11</v>
      </c>
      <c r="J322" s="8" t="n">
        <v>5.71</v>
      </c>
      <c r="K322" s="8" t="n">
        <v>7.98</v>
      </c>
      <c r="L322" s="8" t="n">
        <v>7.8</v>
      </c>
      <c r="M322" s="8" t="n">
        <v>8.390000000000001</v>
      </c>
      <c r="N322" s="4" t="n">
        <v>7.42</v>
      </c>
    </row>
    <row r="323">
      <c r="A323" s="2" t="inlineStr">
        <is>
          <t>MPE1101</t>
        </is>
      </c>
      <c r="B323" s="8" t="inlineStr">
        <is>
          <t>2030-01-01 00:00:00</t>
        </is>
      </c>
      <c r="C323" s="8" t="n">
        <v>11.06</v>
      </c>
      <c r="D323" s="8" t="n">
        <v>11.67</v>
      </c>
      <c r="E323" s="8" t="n">
        <v>15.08</v>
      </c>
      <c r="F323" s="8" t="n">
        <v>16.23</v>
      </c>
      <c r="G323" s="8" t="n">
        <v>17.05</v>
      </c>
      <c r="H323" s="8" t="n">
        <v>14.73</v>
      </c>
      <c r="I323" s="8" t="n">
        <v>8.42</v>
      </c>
      <c r="J323" s="8" t="n">
        <v>7.35</v>
      </c>
      <c r="K323" s="8" t="n">
        <v>9.5</v>
      </c>
      <c r="L323" s="8" t="n">
        <v>9.91</v>
      </c>
      <c r="M323" s="8" t="n">
        <v>11.71</v>
      </c>
      <c r="N323" s="4" t="n">
        <v>10.56</v>
      </c>
    </row>
    <row r="324">
      <c r="A324" s="2" t="inlineStr">
        <is>
          <t>MPE1101</t>
        </is>
      </c>
      <c r="B324" s="8" t="inlineStr">
        <is>
          <t>2030-02-01 00:00:00</t>
        </is>
      </c>
      <c r="C324" s="8" t="n">
        <v>10.12</v>
      </c>
      <c r="D324" s="8" t="n">
        <v>12.2</v>
      </c>
      <c r="E324" s="8" t="n">
        <v>15.13</v>
      </c>
      <c r="F324" s="8" t="n">
        <v>14.63</v>
      </c>
      <c r="G324" s="8" t="n">
        <v>16.33</v>
      </c>
      <c r="H324" s="8" t="n">
        <v>14.22</v>
      </c>
      <c r="I324" s="8" t="n">
        <v>8.94</v>
      </c>
      <c r="J324" s="8" t="n">
        <v>7.5</v>
      </c>
      <c r="K324" s="8" t="n">
        <v>11.11</v>
      </c>
      <c r="L324" s="8" t="n">
        <v>11.33</v>
      </c>
      <c r="M324" s="8" t="n">
        <v>13.2</v>
      </c>
      <c r="N324" s="4" t="n">
        <v>11.74</v>
      </c>
    </row>
    <row r="325">
      <c r="A325" s="2" t="inlineStr">
        <is>
          <t>MPE1101</t>
        </is>
      </c>
      <c r="B325" s="8" t="inlineStr">
        <is>
          <t>2030-03-01 00:00:00</t>
        </is>
      </c>
      <c r="C325" s="8" t="n">
        <v>10.41</v>
      </c>
      <c r="D325" s="8" t="n">
        <v>12.74</v>
      </c>
      <c r="E325" s="8" t="n">
        <v>14.45</v>
      </c>
      <c r="F325" s="8" t="n">
        <v>13.72</v>
      </c>
      <c r="G325" s="8" t="n">
        <v>14.54</v>
      </c>
      <c r="H325" s="8" t="n">
        <v>13.25</v>
      </c>
      <c r="I325" s="8" t="n">
        <v>10.23</v>
      </c>
      <c r="J325" s="8" t="n">
        <v>9.99</v>
      </c>
      <c r="K325" s="8" t="n">
        <v>13.11</v>
      </c>
      <c r="L325" s="8" t="n">
        <v>12.09</v>
      </c>
      <c r="M325" s="8" t="n">
        <v>13.3</v>
      </c>
      <c r="N325" s="4" t="n">
        <v>12.28</v>
      </c>
    </row>
    <row r="326">
      <c r="A326" s="2" t="inlineStr">
        <is>
          <t>MPE1101</t>
        </is>
      </c>
      <c r="B326" s="8" t="inlineStr">
        <is>
          <t>2030-04-01 00:00:00</t>
        </is>
      </c>
      <c r="C326" s="8" t="n">
        <v>15.63</v>
      </c>
      <c r="D326" s="8" t="n">
        <v>18.17</v>
      </c>
      <c r="E326" s="8" t="n">
        <v>19.43</v>
      </c>
      <c r="F326" s="8" t="n">
        <v>19.57</v>
      </c>
      <c r="G326" s="8" t="n">
        <v>21.51</v>
      </c>
      <c r="H326" s="8" t="n">
        <v>18.47</v>
      </c>
      <c r="I326" s="8" t="n">
        <v>13.33</v>
      </c>
      <c r="J326" s="8" t="n">
        <v>13.7</v>
      </c>
      <c r="K326" s="8" t="n">
        <v>17.34</v>
      </c>
      <c r="L326" s="8" t="n">
        <v>15.63</v>
      </c>
      <c r="M326" s="8" t="n">
        <v>18.39</v>
      </c>
      <c r="N326" s="4" t="n">
        <v>16.12</v>
      </c>
    </row>
    <row r="327">
      <c r="A327" s="2" t="inlineStr">
        <is>
          <t>MPE1101</t>
        </is>
      </c>
      <c r="B327" s="8" t="inlineStr">
        <is>
          <t>2030-05-01 00:00:00</t>
        </is>
      </c>
      <c r="C327" s="8" t="n">
        <v>14.27</v>
      </c>
      <c r="D327" s="8" t="n">
        <v>18.92</v>
      </c>
      <c r="E327" s="8" t="n">
        <v>21.9</v>
      </c>
      <c r="F327" s="8" t="n">
        <v>18.57</v>
      </c>
      <c r="G327" s="8" t="n">
        <v>23.76</v>
      </c>
      <c r="H327" s="8" t="n">
        <v>17.44</v>
      </c>
      <c r="I327" s="8" t="n">
        <v>14.49</v>
      </c>
      <c r="J327" s="8" t="n">
        <v>14.78</v>
      </c>
      <c r="K327" s="8" t="n">
        <v>15.91</v>
      </c>
      <c r="L327" s="8" t="n">
        <v>15.22</v>
      </c>
      <c r="M327" s="8" t="n">
        <v>17.38</v>
      </c>
      <c r="N327" s="4" t="n">
        <v>15.7</v>
      </c>
    </row>
    <row r="328">
      <c r="A328" s="2" t="inlineStr">
        <is>
          <t>MPE1101</t>
        </is>
      </c>
      <c r="B328" s="8" t="inlineStr">
        <is>
          <t>2030-06-01 00:00:00</t>
        </is>
      </c>
      <c r="C328" s="8" t="n">
        <v>15.21</v>
      </c>
      <c r="D328" s="8" t="n">
        <v>19.34</v>
      </c>
      <c r="E328" s="8" t="n">
        <v>27.72</v>
      </c>
      <c r="F328" s="8" t="n">
        <v>19.28</v>
      </c>
      <c r="G328" s="8" t="n">
        <v>28.86</v>
      </c>
      <c r="H328" s="8" t="n">
        <v>18.82</v>
      </c>
      <c r="I328" s="8" t="n">
        <v>13.87</v>
      </c>
      <c r="J328" s="8" t="n">
        <v>13.23</v>
      </c>
      <c r="K328" s="8" t="n">
        <v>16.33</v>
      </c>
      <c r="L328" s="8" t="n">
        <v>15.5</v>
      </c>
      <c r="M328" s="8" t="n">
        <v>19.28</v>
      </c>
      <c r="N328" s="4" t="n">
        <v>17.72</v>
      </c>
    </row>
    <row r="329">
      <c r="A329" s="2" t="inlineStr">
        <is>
          <t>MPE1101</t>
        </is>
      </c>
      <c r="B329" s="8" t="inlineStr">
        <is>
          <t>2030-07-01 00:00:00</t>
        </is>
      </c>
      <c r="C329" s="8" t="n">
        <v>14.52</v>
      </c>
      <c r="D329" s="8" t="n">
        <v>17.66</v>
      </c>
      <c r="E329" s="8" t="n">
        <v>25.91</v>
      </c>
      <c r="F329" s="8" t="n">
        <v>19.45</v>
      </c>
      <c r="G329" s="8" t="n">
        <v>27.92</v>
      </c>
      <c r="H329" s="8" t="n">
        <v>18.54</v>
      </c>
      <c r="I329" s="8" t="n">
        <v>14.48</v>
      </c>
      <c r="J329" s="8" t="n">
        <v>13.92</v>
      </c>
      <c r="K329" s="8" t="n">
        <v>17.96</v>
      </c>
      <c r="L329" s="8" t="n">
        <v>15.44</v>
      </c>
      <c r="M329" s="8" t="n">
        <v>20.25</v>
      </c>
      <c r="N329" s="4" t="n">
        <v>17.33</v>
      </c>
    </row>
    <row r="330">
      <c r="A330" s="2" t="inlineStr">
        <is>
          <t>MPE1101</t>
        </is>
      </c>
      <c r="B330" s="8" t="inlineStr">
        <is>
          <t>2030-08-01 00:00:00</t>
        </is>
      </c>
      <c r="C330" s="8" t="n">
        <v>14.63</v>
      </c>
      <c r="D330" s="8" t="n">
        <v>18.34</v>
      </c>
      <c r="E330" s="8" t="n">
        <v>19.29</v>
      </c>
      <c r="F330" s="8" t="n">
        <v>17.79</v>
      </c>
      <c r="G330" s="8" t="n">
        <v>20.37</v>
      </c>
      <c r="H330" s="8" t="n">
        <v>18.42</v>
      </c>
      <c r="I330" s="8" t="n">
        <v>16.47</v>
      </c>
      <c r="J330" s="8" t="n">
        <v>16.09</v>
      </c>
      <c r="K330" s="8" t="n">
        <v>18.72</v>
      </c>
      <c r="L330" s="8" t="n">
        <v>17.41</v>
      </c>
      <c r="M330" s="8" t="n">
        <v>20.43</v>
      </c>
      <c r="N330" s="4" t="n">
        <v>18.05</v>
      </c>
    </row>
    <row r="331">
      <c r="A331" s="2" t="inlineStr">
        <is>
          <t>MPE1101</t>
        </is>
      </c>
      <c r="B331" s="8" t="inlineStr">
        <is>
          <t>2030-09-01 00:00:00</t>
        </is>
      </c>
      <c r="C331" s="8" t="n">
        <v>10.7</v>
      </c>
      <c r="D331" s="8" t="n">
        <v>18.48</v>
      </c>
      <c r="E331" s="8" t="n">
        <v>22.81</v>
      </c>
      <c r="F331" s="8" t="n">
        <v>19.72</v>
      </c>
      <c r="G331" s="8" t="n">
        <v>26.05</v>
      </c>
      <c r="H331" s="8" t="n">
        <v>19.21</v>
      </c>
      <c r="I331" s="8" t="n">
        <v>9.140000000000001</v>
      </c>
      <c r="J331" s="8" t="n">
        <v>10.07</v>
      </c>
      <c r="K331" s="8" t="n">
        <v>14.92</v>
      </c>
      <c r="L331" s="8" t="n">
        <v>13.23</v>
      </c>
      <c r="M331" s="8" t="n">
        <v>19.29</v>
      </c>
      <c r="N331" s="4" t="n">
        <v>15.68</v>
      </c>
    </row>
    <row r="332">
      <c r="A332" s="2" t="inlineStr">
        <is>
          <t>MPE1101</t>
        </is>
      </c>
      <c r="B332" s="8" t="inlineStr">
        <is>
          <t>2030-10-01 00:00:00</t>
        </is>
      </c>
      <c r="C332" s="8" t="n">
        <v>6.16</v>
      </c>
      <c r="D332" s="8" t="n">
        <v>8.289999999999999</v>
      </c>
      <c r="E332" s="8" t="n">
        <v>9.710000000000001</v>
      </c>
      <c r="F332" s="8" t="n">
        <v>8.33</v>
      </c>
      <c r="G332" s="8" t="n">
        <v>9.890000000000001</v>
      </c>
      <c r="H332" s="8" t="n">
        <v>9.800000000000001</v>
      </c>
      <c r="I332" s="8" t="n">
        <v>6.95</v>
      </c>
      <c r="J332" s="8" t="n">
        <v>6.85</v>
      </c>
      <c r="K332" s="8" t="n">
        <v>7.72</v>
      </c>
      <c r="L332" s="8" t="n">
        <v>6.65</v>
      </c>
      <c r="M332" s="8" t="n">
        <v>8.32</v>
      </c>
      <c r="N332" s="4" t="n">
        <v>8.039999999999999</v>
      </c>
    </row>
    <row r="333">
      <c r="A333" s="2" t="inlineStr">
        <is>
          <t>MPE1101</t>
        </is>
      </c>
      <c r="B333" s="8" t="inlineStr">
        <is>
          <t>2030-11-01 00:00:00</t>
        </is>
      </c>
      <c r="C333" s="8" t="n">
        <v>5.06</v>
      </c>
      <c r="D333" s="8" t="n">
        <v>7.78</v>
      </c>
      <c r="E333" s="8" t="n">
        <v>11.2</v>
      </c>
      <c r="F333" s="8" t="n">
        <v>10.47</v>
      </c>
      <c r="G333" s="8" t="n">
        <v>11.1</v>
      </c>
      <c r="H333" s="8" t="n">
        <v>9.029999999999999</v>
      </c>
      <c r="I333" s="8" t="n">
        <v>5.02</v>
      </c>
      <c r="J333" s="8" t="n">
        <v>4.49</v>
      </c>
      <c r="K333" s="8" t="n">
        <v>7.37</v>
      </c>
      <c r="L333" s="8" t="n">
        <v>6.42</v>
      </c>
      <c r="M333" s="8" t="n">
        <v>7.34</v>
      </c>
      <c r="N333" s="4" t="n">
        <v>6.96</v>
      </c>
    </row>
    <row r="334">
      <c r="A334" s="2" t="inlineStr">
        <is>
          <t>MPE1101</t>
        </is>
      </c>
      <c r="B334" s="8" t="inlineStr">
        <is>
          <t>2030-12-01 00:00:00</t>
        </is>
      </c>
      <c r="C334" s="8" t="n">
        <v>6.41</v>
      </c>
      <c r="D334" s="8" t="n">
        <v>7.05</v>
      </c>
      <c r="E334" s="8" t="n">
        <v>11.53</v>
      </c>
      <c r="F334" s="8" t="n">
        <v>10.66</v>
      </c>
      <c r="G334" s="8" t="n">
        <v>10.21</v>
      </c>
      <c r="H334" s="8" t="n">
        <v>8.390000000000001</v>
      </c>
      <c r="I334" s="8" t="n">
        <v>6.11</v>
      </c>
      <c r="J334" s="8" t="n">
        <v>5.71</v>
      </c>
      <c r="K334" s="8" t="n">
        <v>7.98</v>
      </c>
      <c r="L334" s="8" t="n">
        <v>7.8</v>
      </c>
      <c r="M334" s="8" t="n">
        <v>8.390000000000001</v>
      </c>
      <c r="N334" s="4" t="n">
        <v>7.42</v>
      </c>
    </row>
    <row r="335">
      <c r="A335" s="2" t="inlineStr">
        <is>
          <t>MPE1101</t>
        </is>
      </c>
      <c r="B335" s="8" t="inlineStr">
        <is>
          <t>2031-01-01 00:00:00</t>
        </is>
      </c>
      <c r="C335" s="8" t="n">
        <v>11.06</v>
      </c>
      <c r="D335" s="8" t="n">
        <v>11.67</v>
      </c>
      <c r="E335" s="8" t="n">
        <v>15.08</v>
      </c>
      <c r="F335" s="8" t="n">
        <v>16.23</v>
      </c>
      <c r="G335" s="8" t="n">
        <v>17.05</v>
      </c>
      <c r="H335" s="8" t="n">
        <v>14.73</v>
      </c>
      <c r="I335" s="8" t="n">
        <v>8.42</v>
      </c>
      <c r="J335" s="8" t="n">
        <v>7.35</v>
      </c>
      <c r="K335" s="8" t="n">
        <v>9.5</v>
      </c>
      <c r="L335" s="8" t="n">
        <v>9.91</v>
      </c>
      <c r="M335" s="8" t="n">
        <v>11.71</v>
      </c>
      <c r="N335" s="4" t="n">
        <v>10.56</v>
      </c>
    </row>
    <row r="336">
      <c r="A336" s="2" t="inlineStr">
        <is>
          <t>MPE1101</t>
        </is>
      </c>
      <c r="B336" s="8" t="inlineStr">
        <is>
          <t>2031-02-01 00:00:00</t>
        </is>
      </c>
      <c r="C336" s="8" t="n">
        <v>10.12</v>
      </c>
      <c r="D336" s="8" t="n">
        <v>12.2</v>
      </c>
      <c r="E336" s="8" t="n">
        <v>15.13</v>
      </c>
      <c r="F336" s="8" t="n">
        <v>14.63</v>
      </c>
      <c r="G336" s="8" t="n">
        <v>16.33</v>
      </c>
      <c r="H336" s="8" t="n">
        <v>14.22</v>
      </c>
      <c r="I336" s="8" t="n">
        <v>8.94</v>
      </c>
      <c r="J336" s="8" t="n">
        <v>7.5</v>
      </c>
      <c r="K336" s="8" t="n">
        <v>11.11</v>
      </c>
      <c r="L336" s="8" t="n">
        <v>11.33</v>
      </c>
      <c r="M336" s="8" t="n">
        <v>13.2</v>
      </c>
      <c r="N336" s="4" t="n">
        <v>11.74</v>
      </c>
    </row>
    <row r="337">
      <c r="A337" s="2" t="inlineStr">
        <is>
          <t>MPE1101</t>
        </is>
      </c>
      <c r="B337" s="8" t="inlineStr">
        <is>
          <t>2031-03-01 00:00:00</t>
        </is>
      </c>
      <c r="C337" s="8" t="n">
        <v>10.41</v>
      </c>
      <c r="D337" s="8" t="n">
        <v>12.74</v>
      </c>
      <c r="E337" s="8" t="n">
        <v>14.45</v>
      </c>
      <c r="F337" s="8" t="n">
        <v>13.72</v>
      </c>
      <c r="G337" s="8" t="n">
        <v>14.54</v>
      </c>
      <c r="H337" s="8" t="n">
        <v>13.25</v>
      </c>
      <c r="I337" s="8" t="n">
        <v>10.23</v>
      </c>
      <c r="J337" s="8" t="n">
        <v>9.99</v>
      </c>
      <c r="K337" s="8" t="n">
        <v>13.11</v>
      </c>
      <c r="L337" s="8" t="n">
        <v>12.09</v>
      </c>
      <c r="M337" s="8" t="n">
        <v>13.3</v>
      </c>
      <c r="N337" s="4" t="n">
        <v>12.28</v>
      </c>
    </row>
    <row r="338">
      <c r="A338" s="2" t="inlineStr">
        <is>
          <t>MPE1101</t>
        </is>
      </c>
      <c r="B338" s="8" t="inlineStr">
        <is>
          <t>2031-04-01 00:00:00</t>
        </is>
      </c>
      <c r="C338" s="8" t="n">
        <v>15.63</v>
      </c>
      <c r="D338" s="8" t="n">
        <v>18.17</v>
      </c>
      <c r="E338" s="8" t="n">
        <v>19.43</v>
      </c>
      <c r="F338" s="8" t="n">
        <v>19.57</v>
      </c>
      <c r="G338" s="8" t="n">
        <v>21.51</v>
      </c>
      <c r="H338" s="8" t="n">
        <v>18.47</v>
      </c>
      <c r="I338" s="8" t="n">
        <v>13.33</v>
      </c>
      <c r="J338" s="8" t="n">
        <v>13.7</v>
      </c>
      <c r="K338" s="8" t="n">
        <v>17.34</v>
      </c>
      <c r="L338" s="8" t="n">
        <v>15.63</v>
      </c>
      <c r="M338" s="8" t="n">
        <v>18.39</v>
      </c>
      <c r="N338" s="4" t="n">
        <v>16.12</v>
      </c>
    </row>
    <row r="339">
      <c r="A339" s="2" t="inlineStr">
        <is>
          <t>MPE1101</t>
        </is>
      </c>
      <c r="B339" s="8" t="inlineStr">
        <is>
          <t>2031-05-01 00:00:00</t>
        </is>
      </c>
      <c r="C339" s="8" t="n">
        <v>14.27</v>
      </c>
      <c r="D339" s="8" t="n">
        <v>18.92</v>
      </c>
      <c r="E339" s="8" t="n">
        <v>21.9</v>
      </c>
      <c r="F339" s="8" t="n">
        <v>18.57</v>
      </c>
      <c r="G339" s="8" t="n">
        <v>23.76</v>
      </c>
      <c r="H339" s="8" t="n">
        <v>17.44</v>
      </c>
      <c r="I339" s="8" t="n">
        <v>14.49</v>
      </c>
      <c r="J339" s="8" t="n">
        <v>14.78</v>
      </c>
      <c r="K339" s="8" t="n">
        <v>15.91</v>
      </c>
      <c r="L339" s="8" t="n">
        <v>15.22</v>
      </c>
      <c r="M339" s="8" t="n">
        <v>17.38</v>
      </c>
      <c r="N339" s="4" t="n">
        <v>15.7</v>
      </c>
    </row>
    <row r="340">
      <c r="A340" s="2" t="inlineStr">
        <is>
          <t>MPE1101</t>
        </is>
      </c>
      <c r="B340" s="8" t="inlineStr">
        <is>
          <t>2031-06-01 00:00:00</t>
        </is>
      </c>
      <c r="C340" s="8" t="n">
        <v>15.21</v>
      </c>
      <c r="D340" s="8" t="n">
        <v>19.34</v>
      </c>
      <c r="E340" s="8" t="n">
        <v>27.72</v>
      </c>
      <c r="F340" s="8" t="n">
        <v>19.28</v>
      </c>
      <c r="G340" s="8" t="n">
        <v>28.86</v>
      </c>
      <c r="H340" s="8" t="n">
        <v>18.82</v>
      </c>
      <c r="I340" s="8" t="n">
        <v>13.87</v>
      </c>
      <c r="J340" s="8" t="n">
        <v>13.23</v>
      </c>
      <c r="K340" s="8" t="n">
        <v>16.33</v>
      </c>
      <c r="L340" s="8" t="n">
        <v>15.5</v>
      </c>
      <c r="M340" s="8" t="n">
        <v>19.28</v>
      </c>
      <c r="N340" s="4" t="n">
        <v>17.72</v>
      </c>
    </row>
    <row r="341">
      <c r="A341" s="2" t="inlineStr">
        <is>
          <t>CST0331</t>
        </is>
      </c>
      <c r="B341" s="8" t="inlineStr">
        <is>
          <t>2026-07-01 00:00:00</t>
        </is>
      </c>
      <c r="C341" s="8" t="n">
        <v>11</v>
      </c>
      <c r="D341" s="8" t="n">
        <v>13.33</v>
      </c>
      <c r="E341" s="8" t="n">
        <v>21</v>
      </c>
      <c r="F341" s="8" t="n">
        <v>14.66</v>
      </c>
      <c r="G341" s="8" t="n">
        <v>22.49</v>
      </c>
      <c r="H341" s="8" t="n">
        <v>13.98</v>
      </c>
      <c r="I341" s="8" t="n">
        <v>10.97</v>
      </c>
      <c r="J341" s="8" t="n">
        <v>10.56</v>
      </c>
      <c r="K341" s="8" t="n">
        <v>13.56</v>
      </c>
      <c r="L341" s="8" t="n">
        <v>11.69</v>
      </c>
      <c r="M341" s="8" t="n">
        <v>15.25</v>
      </c>
      <c r="N341" s="4" t="n">
        <v>13.09</v>
      </c>
    </row>
    <row r="342">
      <c r="A342" s="2" t="inlineStr">
        <is>
          <t>CST0331</t>
        </is>
      </c>
      <c r="B342" s="8" t="inlineStr">
        <is>
          <t>2026-08-01 00:00:00</t>
        </is>
      </c>
      <c r="C342" s="8" t="n">
        <v>11.53</v>
      </c>
      <c r="D342" s="8" t="n">
        <v>14.4</v>
      </c>
      <c r="E342" s="8" t="n">
        <v>15.13</v>
      </c>
      <c r="F342" s="8" t="n">
        <v>13.97</v>
      </c>
      <c r="G342" s="8" t="n">
        <v>15.97</v>
      </c>
      <c r="H342" s="8" t="n">
        <v>14.46</v>
      </c>
      <c r="I342" s="8" t="n">
        <v>12.95</v>
      </c>
      <c r="J342" s="8" t="n">
        <v>12.65</v>
      </c>
      <c r="K342" s="8" t="n">
        <v>14.69</v>
      </c>
      <c r="L342" s="8" t="n">
        <v>13.67</v>
      </c>
      <c r="M342" s="8" t="n">
        <v>16.02</v>
      </c>
      <c r="N342" s="4" t="n">
        <v>14.17</v>
      </c>
    </row>
    <row r="343">
      <c r="A343" s="2" t="inlineStr">
        <is>
          <t>CST0331</t>
        </is>
      </c>
      <c r="B343" s="8" t="inlineStr">
        <is>
          <t>2026-09-01 00:00:00</t>
        </is>
      </c>
      <c r="C343" s="8" t="n">
        <v>6.12</v>
      </c>
      <c r="D343" s="8" t="n">
        <v>10.43</v>
      </c>
      <c r="E343" s="8" t="n">
        <v>12.82</v>
      </c>
      <c r="F343" s="8" t="n">
        <v>11.11</v>
      </c>
      <c r="G343" s="8" t="n">
        <v>14.61</v>
      </c>
      <c r="H343" s="8" t="n">
        <v>10.83</v>
      </c>
      <c r="I343" s="8" t="n">
        <v>5.26</v>
      </c>
      <c r="J343" s="8" t="n">
        <v>5.78</v>
      </c>
      <c r="K343" s="8" t="n">
        <v>8.460000000000001</v>
      </c>
      <c r="L343" s="8" t="n">
        <v>7.52</v>
      </c>
      <c r="M343" s="8" t="n">
        <v>10.87</v>
      </c>
      <c r="N343" s="4" t="n">
        <v>8.880000000000001</v>
      </c>
    </row>
    <row r="344">
      <c r="A344" s="2" t="inlineStr">
        <is>
          <t>CST0331</t>
        </is>
      </c>
      <c r="B344" s="8" t="inlineStr">
        <is>
          <t>2026-10-01 00:00:00</t>
        </is>
      </c>
      <c r="C344" s="8" t="n">
        <v>5.99</v>
      </c>
      <c r="D344" s="8" t="n">
        <v>8.07</v>
      </c>
      <c r="E344" s="8" t="n">
        <v>9.449999999999999</v>
      </c>
      <c r="F344" s="8" t="n">
        <v>8.1</v>
      </c>
      <c r="G344" s="8" t="n">
        <v>9.619999999999999</v>
      </c>
      <c r="H344" s="8" t="n">
        <v>9.539999999999999</v>
      </c>
      <c r="I344" s="8" t="n">
        <v>6.76</v>
      </c>
      <c r="J344" s="8" t="n">
        <v>6.67</v>
      </c>
      <c r="K344" s="8" t="n">
        <v>7.51</v>
      </c>
      <c r="L344" s="8" t="n">
        <v>6.47</v>
      </c>
      <c r="M344" s="8" t="n">
        <v>8.09</v>
      </c>
      <c r="N344" s="4" t="n">
        <v>7.82</v>
      </c>
    </row>
    <row r="345">
      <c r="A345" s="2" t="inlineStr">
        <is>
          <t>CST0331</t>
        </is>
      </c>
      <c r="B345" s="8" t="inlineStr">
        <is>
          <t>2026-11-01 00:00:00</t>
        </is>
      </c>
      <c r="C345" s="8" t="n">
        <v>4.7</v>
      </c>
      <c r="D345" s="8" t="n">
        <v>7.22</v>
      </c>
      <c r="E345" s="8" t="n">
        <v>10.38</v>
      </c>
      <c r="F345" s="8" t="n">
        <v>9.710000000000001</v>
      </c>
      <c r="G345" s="8" t="n">
        <v>10.29</v>
      </c>
      <c r="H345" s="8" t="n">
        <v>8.380000000000001</v>
      </c>
      <c r="I345" s="8" t="n">
        <v>4.66</v>
      </c>
      <c r="J345" s="8" t="n">
        <v>4.18</v>
      </c>
      <c r="K345" s="8" t="n">
        <v>6.84</v>
      </c>
      <c r="L345" s="8" t="n">
        <v>5.96</v>
      </c>
      <c r="M345" s="8" t="n">
        <v>6.81</v>
      </c>
      <c r="N345" s="4" t="n">
        <v>6.45</v>
      </c>
    </row>
    <row r="346">
      <c r="A346" s="2" t="inlineStr">
        <is>
          <t>CST0331</t>
        </is>
      </c>
      <c r="B346" s="8" t="inlineStr">
        <is>
          <t>2026-12-01 00:00:00</t>
        </is>
      </c>
      <c r="C346" s="8" t="n">
        <v>5.42</v>
      </c>
      <c r="D346" s="8" t="n">
        <v>5.95</v>
      </c>
      <c r="E346" s="8" t="n">
        <v>9.699999999999999</v>
      </c>
      <c r="F346" s="8" t="n">
        <v>8.970000000000001</v>
      </c>
      <c r="G346" s="8" t="n">
        <v>8.59</v>
      </c>
      <c r="H346" s="8" t="n">
        <v>7.07</v>
      </c>
      <c r="I346" s="8" t="n">
        <v>5.17</v>
      </c>
      <c r="J346" s="8" t="n">
        <v>4.84</v>
      </c>
      <c r="K346" s="8" t="n">
        <v>6.73</v>
      </c>
      <c r="L346" s="8" t="n">
        <v>6.58</v>
      </c>
      <c r="M346" s="8" t="n">
        <v>7.07</v>
      </c>
      <c r="N346" s="4" t="n">
        <v>6.26</v>
      </c>
    </row>
    <row r="347">
      <c r="A347" s="2" t="inlineStr">
        <is>
          <t>CST0331</t>
        </is>
      </c>
      <c r="B347" s="8" t="inlineStr">
        <is>
          <t>2027-01-01 00:00:00</t>
        </is>
      </c>
      <c r="C347" s="8" t="n">
        <v>10.95</v>
      </c>
      <c r="D347" s="8" t="n">
        <v>11.55</v>
      </c>
      <c r="E347" s="8" t="n">
        <v>14.94</v>
      </c>
      <c r="F347" s="8" t="n">
        <v>16.08</v>
      </c>
      <c r="G347" s="8" t="n">
        <v>16.89</v>
      </c>
      <c r="H347" s="8" t="n">
        <v>14.59</v>
      </c>
      <c r="I347" s="8" t="n">
        <v>8.33</v>
      </c>
      <c r="J347" s="8" t="n">
        <v>7.27</v>
      </c>
      <c r="K347" s="8" t="n">
        <v>9.4</v>
      </c>
      <c r="L347" s="8" t="n">
        <v>9.81</v>
      </c>
      <c r="M347" s="8" t="n">
        <v>11.59</v>
      </c>
      <c r="N347" s="4" t="n">
        <v>10.46</v>
      </c>
    </row>
    <row r="348">
      <c r="A348" s="2" t="inlineStr">
        <is>
          <t>CST0331</t>
        </is>
      </c>
      <c r="B348" s="8" t="inlineStr">
        <is>
          <t>2027-02-01 00:00:00</t>
        </is>
      </c>
      <c r="C348" s="8" t="n">
        <v>9.949999999999999</v>
      </c>
      <c r="D348" s="8" t="n">
        <v>12</v>
      </c>
      <c r="E348" s="8" t="n">
        <v>14.88</v>
      </c>
      <c r="F348" s="8" t="n">
        <v>14.39</v>
      </c>
      <c r="G348" s="8" t="n">
        <v>16.06</v>
      </c>
      <c r="H348" s="8" t="n">
        <v>13.99</v>
      </c>
      <c r="I348" s="8" t="n">
        <v>8.800000000000001</v>
      </c>
      <c r="J348" s="8" t="n">
        <v>7.38</v>
      </c>
      <c r="K348" s="8" t="n">
        <v>10.92</v>
      </c>
      <c r="L348" s="8" t="n">
        <v>11.14</v>
      </c>
      <c r="M348" s="8" t="n">
        <v>12.98</v>
      </c>
      <c r="N348" s="4" t="n">
        <v>11.55</v>
      </c>
    </row>
    <row r="349">
      <c r="A349" s="2" t="inlineStr">
        <is>
          <t>CST0331</t>
        </is>
      </c>
      <c r="B349" s="8" t="inlineStr">
        <is>
          <t>2027-03-01 00:00:00</t>
        </is>
      </c>
      <c r="C349" s="8" t="n">
        <v>10.17</v>
      </c>
      <c r="D349" s="8" t="n">
        <v>12.43</v>
      </c>
      <c r="E349" s="8" t="n">
        <v>14.11</v>
      </c>
      <c r="F349" s="8" t="n">
        <v>13.39</v>
      </c>
      <c r="G349" s="8" t="n">
        <v>14.2</v>
      </c>
      <c r="H349" s="8" t="n">
        <v>12.93</v>
      </c>
      <c r="I349" s="8" t="n">
        <v>9.98</v>
      </c>
      <c r="J349" s="8" t="n">
        <v>9.75</v>
      </c>
      <c r="K349" s="8" t="n">
        <v>12.8</v>
      </c>
      <c r="L349" s="8" t="n">
        <v>11.8</v>
      </c>
      <c r="M349" s="8" t="n">
        <v>12.99</v>
      </c>
      <c r="N349" s="4" t="n">
        <v>11.99</v>
      </c>
    </row>
    <row r="350">
      <c r="A350" s="2" t="inlineStr">
        <is>
          <t>CST0331</t>
        </is>
      </c>
      <c r="B350" s="8" t="inlineStr">
        <is>
          <t>2027-04-01 00:00:00</t>
        </is>
      </c>
      <c r="C350" s="8" t="n">
        <v>15.22</v>
      </c>
      <c r="D350" s="8" t="n">
        <v>17.69</v>
      </c>
      <c r="E350" s="8" t="n">
        <v>18.92</v>
      </c>
      <c r="F350" s="8" t="n">
        <v>19.05</v>
      </c>
      <c r="G350" s="8" t="n">
        <v>20.94</v>
      </c>
      <c r="H350" s="8" t="n">
        <v>17.98</v>
      </c>
      <c r="I350" s="8" t="n">
        <v>12.98</v>
      </c>
      <c r="J350" s="8" t="n">
        <v>13.34</v>
      </c>
      <c r="K350" s="8" t="n">
        <v>16.88</v>
      </c>
      <c r="L350" s="8" t="n">
        <v>15.22</v>
      </c>
      <c r="M350" s="8" t="n">
        <v>17.91</v>
      </c>
      <c r="N350" s="4" t="n">
        <v>15.7</v>
      </c>
    </row>
    <row r="351">
      <c r="A351" s="2" t="inlineStr">
        <is>
          <t>CST0331</t>
        </is>
      </c>
      <c r="B351" s="8" t="inlineStr">
        <is>
          <t>2027-05-01 00:00:00</t>
        </is>
      </c>
      <c r="C351" s="8" t="n">
        <v>13.97</v>
      </c>
      <c r="D351" s="8" t="n">
        <v>18.51</v>
      </c>
      <c r="E351" s="8" t="n">
        <v>21.42</v>
      </c>
      <c r="F351" s="8" t="n">
        <v>18.17</v>
      </c>
      <c r="G351" s="8" t="n">
        <v>23.24</v>
      </c>
      <c r="H351" s="8" t="n">
        <v>17.07</v>
      </c>
      <c r="I351" s="8" t="n">
        <v>14.18</v>
      </c>
      <c r="J351" s="8" t="n">
        <v>14.46</v>
      </c>
      <c r="K351" s="8" t="n">
        <v>15.57</v>
      </c>
      <c r="L351" s="8" t="n">
        <v>14.9</v>
      </c>
      <c r="M351" s="8" t="n">
        <v>17.01</v>
      </c>
      <c r="N351" s="4" t="n">
        <v>15.37</v>
      </c>
    </row>
    <row r="352">
      <c r="A352" s="2" t="inlineStr">
        <is>
          <t>CST0331</t>
        </is>
      </c>
      <c r="B352" s="8" t="inlineStr">
        <is>
          <t>2027-06-01 00:00:00</t>
        </is>
      </c>
      <c r="C352" s="8" t="n">
        <v>14.46</v>
      </c>
      <c r="D352" s="8" t="n">
        <v>18.38</v>
      </c>
      <c r="E352" s="8" t="n">
        <v>26.63</v>
      </c>
      <c r="F352" s="8" t="n">
        <v>18.32</v>
      </c>
      <c r="G352" s="8" t="n">
        <v>27.71</v>
      </c>
      <c r="H352" s="8" t="n">
        <v>17.88</v>
      </c>
      <c r="I352" s="8" t="n">
        <v>13.19</v>
      </c>
      <c r="J352" s="8" t="n">
        <v>12.59</v>
      </c>
      <c r="K352" s="8" t="n">
        <v>15.52</v>
      </c>
      <c r="L352" s="8" t="n">
        <v>14.73</v>
      </c>
      <c r="M352" s="8" t="n">
        <v>18.31</v>
      </c>
      <c r="N352" s="4" t="n">
        <v>16.84</v>
      </c>
    </row>
    <row r="353">
      <c r="A353" s="2" t="inlineStr">
        <is>
          <t>CST0331</t>
        </is>
      </c>
      <c r="B353" s="8" t="inlineStr">
        <is>
          <t>2027-07-01 00:00:00</t>
        </is>
      </c>
      <c r="C353" s="8" t="n">
        <v>13.63</v>
      </c>
      <c r="D353" s="8" t="n">
        <v>16.57</v>
      </c>
      <c r="E353" s="8" t="n">
        <v>24.67</v>
      </c>
      <c r="F353" s="8" t="n">
        <v>18.24</v>
      </c>
      <c r="G353" s="8" t="n">
        <v>26.55</v>
      </c>
      <c r="H353" s="8" t="n">
        <v>17.39</v>
      </c>
      <c r="I353" s="8" t="n">
        <v>13.59</v>
      </c>
      <c r="J353" s="8" t="n">
        <v>13.07</v>
      </c>
      <c r="K353" s="8" t="n">
        <v>16.85</v>
      </c>
      <c r="L353" s="8" t="n">
        <v>14.49</v>
      </c>
      <c r="M353" s="8" t="n">
        <v>18.99</v>
      </c>
      <c r="N353" s="4" t="n">
        <v>16.26</v>
      </c>
    </row>
    <row r="354">
      <c r="A354" s="2" t="inlineStr">
        <is>
          <t>CST0331</t>
        </is>
      </c>
      <c r="B354" s="8" t="inlineStr">
        <is>
          <t>2027-08-01 00:00:00</t>
        </is>
      </c>
      <c r="C354" s="8" t="n">
        <v>14.06</v>
      </c>
      <c r="D354" s="8" t="n">
        <v>17.61</v>
      </c>
      <c r="E354" s="8" t="n">
        <v>18.52</v>
      </c>
      <c r="F354" s="8" t="n">
        <v>17.08</v>
      </c>
      <c r="G354" s="8" t="n">
        <v>19.56</v>
      </c>
      <c r="H354" s="8" t="n">
        <v>17.69</v>
      </c>
      <c r="I354" s="8" t="n">
        <v>15.81</v>
      </c>
      <c r="J354" s="8" t="n">
        <v>15.45</v>
      </c>
      <c r="K354" s="8" t="n">
        <v>17.97</v>
      </c>
      <c r="L354" s="8" t="n">
        <v>16.71</v>
      </c>
      <c r="M354" s="8" t="n">
        <v>19.61</v>
      </c>
      <c r="N354" s="4" t="n">
        <v>17.33</v>
      </c>
    </row>
    <row r="355">
      <c r="A355" s="2" t="inlineStr">
        <is>
          <t>CST0331</t>
        </is>
      </c>
      <c r="B355" s="8" t="inlineStr">
        <is>
          <t>2027-09-01 00:00:00</t>
        </is>
      </c>
      <c r="C355" s="8" t="n">
        <v>10.13</v>
      </c>
      <c r="D355" s="8" t="n">
        <v>17.49</v>
      </c>
      <c r="E355" s="8" t="n">
        <v>21.59</v>
      </c>
      <c r="F355" s="8" t="n">
        <v>18.66</v>
      </c>
      <c r="G355" s="8" t="n">
        <v>24.64</v>
      </c>
      <c r="H355" s="8" t="n">
        <v>18.18</v>
      </c>
      <c r="I355" s="8" t="n">
        <v>8.65</v>
      </c>
      <c r="J355" s="8" t="n">
        <v>9.539999999999999</v>
      </c>
      <c r="K355" s="8" t="n">
        <v>14.12</v>
      </c>
      <c r="L355" s="8" t="n">
        <v>12.52</v>
      </c>
      <c r="M355" s="8" t="n">
        <v>18.25</v>
      </c>
      <c r="N355" s="4" t="n">
        <v>14.84</v>
      </c>
    </row>
    <row r="356">
      <c r="A356" s="2" t="inlineStr">
        <is>
          <t>CST0331</t>
        </is>
      </c>
      <c r="B356" s="8" t="inlineStr">
        <is>
          <t>2027-10-01 00:00:00</t>
        </is>
      </c>
      <c r="C356" s="8" t="n">
        <v>5.8</v>
      </c>
      <c r="D356" s="8" t="n">
        <v>7.8</v>
      </c>
      <c r="E356" s="8" t="n">
        <v>9.130000000000001</v>
      </c>
      <c r="F356" s="8" t="n">
        <v>7.83</v>
      </c>
      <c r="G356" s="8" t="n">
        <v>9.300000000000001</v>
      </c>
      <c r="H356" s="8" t="n">
        <v>9.220000000000001</v>
      </c>
      <c r="I356" s="8" t="n">
        <v>6.54</v>
      </c>
      <c r="J356" s="8" t="n">
        <v>6.45</v>
      </c>
      <c r="K356" s="8" t="n">
        <v>7.26</v>
      </c>
      <c r="L356" s="8" t="n">
        <v>6.26</v>
      </c>
      <c r="M356" s="8" t="n">
        <v>7.82</v>
      </c>
      <c r="N356" s="4" t="n">
        <v>7.56</v>
      </c>
    </row>
    <row r="357">
      <c r="A357" s="2" t="inlineStr">
        <is>
          <t>CST0331</t>
        </is>
      </c>
      <c r="B357" s="8" t="inlineStr">
        <is>
          <t>2027-11-01 00:00:00</t>
        </is>
      </c>
      <c r="C357" s="8" t="n">
        <v>4.67</v>
      </c>
      <c r="D357" s="8" t="n">
        <v>7.16</v>
      </c>
      <c r="E357" s="8" t="n">
        <v>10.29</v>
      </c>
      <c r="F357" s="8" t="n">
        <v>9.619999999999999</v>
      </c>
      <c r="G357" s="8" t="n">
        <v>10.2</v>
      </c>
      <c r="H357" s="8" t="n">
        <v>8.300000000000001</v>
      </c>
      <c r="I357" s="8" t="n">
        <v>4.63</v>
      </c>
      <c r="J357" s="8" t="n">
        <v>4.15</v>
      </c>
      <c r="K357" s="8" t="n">
        <v>6.78</v>
      </c>
      <c r="L357" s="8" t="n">
        <v>5.91</v>
      </c>
      <c r="M357" s="8" t="n">
        <v>6.75</v>
      </c>
      <c r="N357" s="4" t="n">
        <v>6.4</v>
      </c>
    </row>
    <row r="358">
      <c r="A358" s="2" t="inlineStr">
        <is>
          <t>CST0331</t>
        </is>
      </c>
      <c r="B358" s="8" t="inlineStr">
        <is>
          <t>2027-12-01 00:00:00</t>
        </is>
      </c>
      <c r="C358" s="8" t="n">
        <v>5.86</v>
      </c>
      <c r="D358" s="8" t="n">
        <v>6.44</v>
      </c>
      <c r="E358" s="8" t="n">
        <v>10.51</v>
      </c>
      <c r="F358" s="8" t="n">
        <v>9.720000000000001</v>
      </c>
      <c r="G358" s="8" t="n">
        <v>9.31</v>
      </c>
      <c r="H358" s="8" t="n">
        <v>7.65</v>
      </c>
      <c r="I358" s="8" t="n">
        <v>5.59</v>
      </c>
      <c r="J358" s="8" t="n">
        <v>5.23</v>
      </c>
      <c r="K358" s="8" t="n">
        <v>7.28</v>
      </c>
      <c r="L358" s="8" t="n">
        <v>7.12</v>
      </c>
      <c r="M358" s="8" t="n">
        <v>7.66</v>
      </c>
      <c r="N358" s="4" t="n">
        <v>6.77</v>
      </c>
    </row>
    <row r="359">
      <c r="A359" s="2" t="inlineStr">
        <is>
          <t>CST0331</t>
        </is>
      </c>
      <c r="B359" s="8" t="inlineStr">
        <is>
          <t>2028-01-01 00:00:00</t>
        </is>
      </c>
      <c r="C359" s="8" t="n">
        <v>10.42</v>
      </c>
      <c r="D359" s="8" t="n">
        <v>10.99</v>
      </c>
      <c r="E359" s="8" t="n">
        <v>14.21</v>
      </c>
      <c r="F359" s="8" t="n">
        <v>15.29</v>
      </c>
      <c r="G359" s="8" t="n">
        <v>16.06</v>
      </c>
      <c r="H359" s="8" t="n">
        <v>13.88</v>
      </c>
      <c r="I359" s="8" t="n">
        <v>7.94</v>
      </c>
      <c r="J359" s="8" t="n">
        <v>6.93</v>
      </c>
      <c r="K359" s="8" t="n">
        <v>8.949999999999999</v>
      </c>
      <c r="L359" s="8" t="n">
        <v>9.34</v>
      </c>
      <c r="M359" s="8" t="n">
        <v>11.03</v>
      </c>
      <c r="N359" s="4" t="n">
        <v>9.960000000000001</v>
      </c>
    </row>
    <row r="360">
      <c r="A360" s="2" t="inlineStr">
        <is>
          <t>CST0331</t>
        </is>
      </c>
      <c r="B360" s="8" t="inlineStr">
        <is>
          <t>2028-02-01 00:00:00</t>
        </is>
      </c>
      <c r="C360" s="8" t="n">
        <v>9.449999999999999</v>
      </c>
      <c r="D360" s="8" t="n">
        <v>11.39</v>
      </c>
      <c r="E360" s="8" t="n">
        <v>14.12</v>
      </c>
      <c r="F360" s="8" t="n">
        <v>13.65</v>
      </c>
      <c r="G360" s="8" t="n">
        <v>15.23</v>
      </c>
      <c r="H360" s="8" t="n">
        <v>13.27</v>
      </c>
      <c r="I360" s="8" t="n">
        <v>8.359999999999999</v>
      </c>
      <c r="J360" s="8" t="n">
        <v>7.02</v>
      </c>
      <c r="K360" s="8" t="n">
        <v>10.37</v>
      </c>
      <c r="L360" s="8" t="n">
        <v>10.58</v>
      </c>
      <c r="M360" s="8" t="n">
        <v>12.32</v>
      </c>
      <c r="N360" s="4" t="n">
        <v>10.97</v>
      </c>
    </row>
    <row r="361">
      <c r="A361" s="2" t="inlineStr">
        <is>
          <t>CST0331</t>
        </is>
      </c>
      <c r="B361" s="8" t="inlineStr">
        <is>
          <t>2028-03-01 00:00:00</t>
        </is>
      </c>
      <c r="C361" s="8" t="n">
        <v>9.619999999999999</v>
      </c>
      <c r="D361" s="8" t="n">
        <v>11.75</v>
      </c>
      <c r="E361" s="8" t="n">
        <v>13.33</v>
      </c>
      <c r="F361" s="8" t="n">
        <v>12.65</v>
      </c>
      <c r="G361" s="8" t="n">
        <v>13.41</v>
      </c>
      <c r="H361" s="8" t="n">
        <v>12.22</v>
      </c>
      <c r="I361" s="8" t="n">
        <v>9.449999999999999</v>
      </c>
      <c r="J361" s="8" t="n">
        <v>9.23</v>
      </c>
      <c r="K361" s="8" t="n">
        <v>12.1</v>
      </c>
      <c r="L361" s="8" t="n">
        <v>11.16</v>
      </c>
      <c r="M361" s="8" t="n">
        <v>12.28</v>
      </c>
      <c r="N361" s="4" t="n">
        <v>11.34</v>
      </c>
    </row>
    <row r="362">
      <c r="A362" s="2" t="inlineStr">
        <is>
          <t>CST0331</t>
        </is>
      </c>
      <c r="B362" s="8" t="inlineStr">
        <is>
          <t>2028-04-01 00:00:00</t>
        </is>
      </c>
      <c r="C362" s="8" t="n">
        <v>14.83</v>
      </c>
      <c r="D362" s="8" t="n">
        <v>17.24</v>
      </c>
      <c r="E362" s="8" t="n">
        <v>18.43</v>
      </c>
      <c r="F362" s="8" t="n">
        <v>18.56</v>
      </c>
      <c r="G362" s="8" t="n">
        <v>20.39</v>
      </c>
      <c r="H362" s="8" t="n">
        <v>17.52</v>
      </c>
      <c r="I362" s="8" t="n">
        <v>12.65</v>
      </c>
      <c r="J362" s="8" t="n">
        <v>13</v>
      </c>
      <c r="K362" s="8" t="n">
        <v>16.45</v>
      </c>
      <c r="L362" s="8" t="n">
        <v>14.83</v>
      </c>
      <c r="M362" s="8" t="n">
        <v>17.44</v>
      </c>
      <c r="N362" s="4" t="n">
        <v>15.3</v>
      </c>
    </row>
    <row r="363">
      <c r="A363" s="2" t="inlineStr">
        <is>
          <t>CST0331</t>
        </is>
      </c>
      <c r="B363" s="8" t="inlineStr">
        <is>
          <t>2028-05-01 00:00:00</t>
        </is>
      </c>
      <c r="C363" s="8" t="n">
        <v>13.15</v>
      </c>
      <c r="D363" s="8" t="n">
        <v>17.41</v>
      </c>
      <c r="E363" s="8" t="n">
        <v>20.14</v>
      </c>
      <c r="F363" s="8" t="n">
        <v>17.09</v>
      </c>
      <c r="G363" s="8" t="n">
        <v>21.84</v>
      </c>
      <c r="H363" s="8" t="n">
        <v>16.06</v>
      </c>
      <c r="I363" s="8" t="n">
        <v>13.35</v>
      </c>
      <c r="J363" s="8" t="n">
        <v>13.61</v>
      </c>
      <c r="K363" s="8" t="n">
        <v>14.65</v>
      </c>
      <c r="L363" s="8" t="n">
        <v>14.02</v>
      </c>
      <c r="M363" s="8" t="n">
        <v>16</v>
      </c>
      <c r="N363" s="4" t="n">
        <v>14.46</v>
      </c>
    </row>
    <row r="364">
      <c r="A364" s="2" t="inlineStr">
        <is>
          <t>CST0331</t>
        </is>
      </c>
      <c r="B364" s="8" t="inlineStr">
        <is>
          <t>2028-06-01 00:00:00</t>
        </is>
      </c>
      <c r="C364" s="8" t="n">
        <v>13.69</v>
      </c>
      <c r="D364" s="8" t="n">
        <v>17.39</v>
      </c>
      <c r="E364" s="8" t="n">
        <v>25.52</v>
      </c>
      <c r="F364" s="8" t="n">
        <v>17.34</v>
      </c>
      <c r="G364" s="8" t="n">
        <v>26.54</v>
      </c>
      <c r="H364" s="8" t="n">
        <v>16.92</v>
      </c>
      <c r="I364" s="8" t="n">
        <v>12.5</v>
      </c>
      <c r="J364" s="8" t="n">
        <v>11.93</v>
      </c>
      <c r="K364" s="8" t="n">
        <v>14.7</v>
      </c>
      <c r="L364" s="8" t="n">
        <v>13.95</v>
      </c>
      <c r="M364" s="8" t="n">
        <v>17.33</v>
      </c>
      <c r="N364" s="4" t="n">
        <v>15.94</v>
      </c>
    </row>
    <row r="365">
      <c r="A365" s="2" t="inlineStr">
        <is>
          <t>CST0331</t>
        </is>
      </c>
      <c r="B365" s="8" t="inlineStr">
        <is>
          <t>2028-07-01 00:00:00</t>
        </is>
      </c>
      <c r="C365" s="8" t="n">
        <v>13.07</v>
      </c>
      <c r="D365" s="8" t="n">
        <v>15.88</v>
      </c>
      <c r="E365" s="8" t="n">
        <v>23.89</v>
      </c>
      <c r="F365" s="8" t="n">
        <v>17.48</v>
      </c>
      <c r="G365" s="8" t="n">
        <v>25.68</v>
      </c>
      <c r="H365" s="8" t="n">
        <v>16.66</v>
      </c>
      <c r="I365" s="8" t="n">
        <v>13.03</v>
      </c>
      <c r="J365" s="8" t="n">
        <v>12.53</v>
      </c>
      <c r="K365" s="8" t="n">
        <v>16.14</v>
      </c>
      <c r="L365" s="8" t="n">
        <v>13.9</v>
      </c>
      <c r="M365" s="8" t="n">
        <v>18.19</v>
      </c>
      <c r="N365" s="4" t="n">
        <v>15.58</v>
      </c>
    </row>
    <row r="366">
      <c r="A366" s="2" t="inlineStr">
        <is>
          <t>CST0331</t>
        </is>
      </c>
      <c r="B366" s="8" t="inlineStr">
        <is>
          <t>2028-08-01 00:00:00</t>
        </is>
      </c>
      <c r="C366" s="8" t="n">
        <v>13.37</v>
      </c>
      <c r="D366" s="8" t="n">
        <v>16.74</v>
      </c>
      <c r="E366" s="8" t="n">
        <v>17.6</v>
      </c>
      <c r="F366" s="8" t="n">
        <v>16.24</v>
      </c>
      <c r="G366" s="8" t="n">
        <v>18.59</v>
      </c>
      <c r="H366" s="8" t="n">
        <v>16.81</v>
      </c>
      <c r="I366" s="8" t="n">
        <v>15.04</v>
      </c>
      <c r="J366" s="8" t="n">
        <v>14.69</v>
      </c>
      <c r="K366" s="8" t="n">
        <v>17.08</v>
      </c>
      <c r="L366" s="8" t="n">
        <v>15.89</v>
      </c>
      <c r="M366" s="8" t="n">
        <v>18.64</v>
      </c>
      <c r="N366" s="4" t="n">
        <v>16.48</v>
      </c>
    </row>
    <row r="367">
      <c r="A367" s="2" t="inlineStr">
        <is>
          <t>CST0331</t>
        </is>
      </c>
      <c r="B367" s="8" t="inlineStr">
        <is>
          <t>2028-09-01 00:00:00</t>
        </is>
      </c>
      <c r="C367" s="8" t="n">
        <v>9.75</v>
      </c>
      <c r="D367" s="8" t="n">
        <v>16.81</v>
      </c>
      <c r="E367" s="8" t="n">
        <v>20.73</v>
      </c>
      <c r="F367" s="8" t="n">
        <v>17.93</v>
      </c>
      <c r="G367" s="8" t="n">
        <v>23.66</v>
      </c>
      <c r="H367" s="8" t="n">
        <v>17.47</v>
      </c>
      <c r="I367" s="8" t="n">
        <v>8.33</v>
      </c>
      <c r="J367" s="8" t="n">
        <v>9.18</v>
      </c>
      <c r="K367" s="8" t="n">
        <v>13.57</v>
      </c>
      <c r="L367" s="8" t="n">
        <v>12.04</v>
      </c>
      <c r="M367" s="8" t="n">
        <v>17.53</v>
      </c>
      <c r="N367" s="4" t="n">
        <v>14.27</v>
      </c>
    </row>
    <row r="368">
      <c r="A368" s="2" t="inlineStr">
        <is>
          <t>CST0331</t>
        </is>
      </c>
      <c r="B368" s="8" t="inlineStr">
        <is>
          <t>2028-10-01 00:00:00</t>
        </is>
      </c>
      <c r="C368" s="8" t="n">
        <v>5.73</v>
      </c>
      <c r="D368" s="8" t="n">
        <v>7.7</v>
      </c>
      <c r="E368" s="8" t="n">
        <v>9.02</v>
      </c>
      <c r="F368" s="8" t="n">
        <v>7.73</v>
      </c>
      <c r="G368" s="8" t="n">
        <v>9.18</v>
      </c>
      <c r="H368" s="8" t="n">
        <v>9.1</v>
      </c>
      <c r="I368" s="8" t="n">
        <v>6.46</v>
      </c>
      <c r="J368" s="8" t="n">
        <v>6.37</v>
      </c>
      <c r="K368" s="8" t="n">
        <v>7.18</v>
      </c>
      <c r="L368" s="8" t="n">
        <v>6.19</v>
      </c>
      <c r="M368" s="8" t="n">
        <v>7.72</v>
      </c>
      <c r="N368" s="4" t="n">
        <v>7.47</v>
      </c>
    </row>
    <row r="369">
      <c r="A369" s="2" t="inlineStr">
        <is>
          <t>CST0331</t>
        </is>
      </c>
      <c r="B369" s="8" t="inlineStr">
        <is>
          <t>2028-11-01 00:00:00</t>
        </is>
      </c>
      <c r="C369" s="8" t="n">
        <v>4.64</v>
      </c>
      <c r="D369" s="8" t="n">
        <v>7.11</v>
      </c>
      <c r="E369" s="8" t="n">
        <v>10.2</v>
      </c>
      <c r="F369" s="8" t="n">
        <v>9.539999999999999</v>
      </c>
      <c r="G369" s="8" t="n">
        <v>10.12</v>
      </c>
      <c r="H369" s="8" t="n">
        <v>8.24</v>
      </c>
      <c r="I369" s="8" t="n">
        <v>4.6</v>
      </c>
      <c r="J369" s="8" t="n">
        <v>4.12</v>
      </c>
      <c r="K369" s="8" t="n">
        <v>6.73</v>
      </c>
      <c r="L369" s="8" t="n">
        <v>5.87</v>
      </c>
      <c r="M369" s="8" t="n">
        <v>6.7</v>
      </c>
      <c r="N369" s="4" t="n">
        <v>6.36</v>
      </c>
    </row>
    <row r="370">
      <c r="A370" s="2" t="inlineStr">
        <is>
          <t>CST0331</t>
        </is>
      </c>
      <c r="B370" s="8" t="inlineStr">
        <is>
          <t>2028-12-01 00:00:00</t>
        </is>
      </c>
      <c r="C370" s="8" t="n">
        <v>5.9</v>
      </c>
      <c r="D370" s="8" t="n">
        <v>6.48</v>
      </c>
      <c r="E370" s="8" t="n">
        <v>10.58</v>
      </c>
      <c r="F370" s="8" t="n">
        <v>9.779999999999999</v>
      </c>
      <c r="G370" s="8" t="n">
        <v>9.369999999999999</v>
      </c>
      <c r="H370" s="8" t="n">
        <v>7.7</v>
      </c>
      <c r="I370" s="8" t="n">
        <v>5.63</v>
      </c>
      <c r="J370" s="8" t="n">
        <v>5.26</v>
      </c>
      <c r="K370" s="8" t="n">
        <v>7.33</v>
      </c>
      <c r="L370" s="8" t="n">
        <v>7.17</v>
      </c>
      <c r="M370" s="8" t="n">
        <v>7.71</v>
      </c>
      <c r="N370" s="4" t="n">
        <v>6.82</v>
      </c>
    </row>
    <row r="371">
      <c r="A371" s="2" t="inlineStr">
        <is>
          <t>CST0331</t>
        </is>
      </c>
      <c r="B371" s="8" t="inlineStr">
        <is>
          <t>2029-01-01 00:00:00</t>
        </is>
      </c>
      <c r="C371" s="8" t="n">
        <v>10.04</v>
      </c>
      <c r="D371" s="8" t="n">
        <v>10.6</v>
      </c>
      <c r="E371" s="8" t="n">
        <v>13.69</v>
      </c>
      <c r="F371" s="8" t="n">
        <v>14.72</v>
      </c>
      <c r="G371" s="8" t="n">
        <v>15.46</v>
      </c>
      <c r="H371" s="8" t="n">
        <v>13.37</v>
      </c>
      <c r="I371" s="8" t="n">
        <v>7.66</v>
      </c>
      <c r="J371" s="8" t="n">
        <v>6.69</v>
      </c>
      <c r="K371" s="8" t="n">
        <v>8.630000000000001</v>
      </c>
      <c r="L371" s="8" t="n">
        <v>9.01</v>
      </c>
      <c r="M371" s="8" t="n">
        <v>10.63</v>
      </c>
      <c r="N371" s="4" t="n">
        <v>9.6</v>
      </c>
    </row>
    <row r="372">
      <c r="A372" s="2" t="inlineStr">
        <is>
          <t>CST0331</t>
        </is>
      </c>
      <c r="B372" s="8" t="inlineStr">
        <is>
          <t>2029-02-01 00:00:00</t>
        </is>
      </c>
      <c r="C372" s="8" t="n">
        <v>9.35</v>
      </c>
      <c r="D372" s="8" t="n">
        <v>11.27</v>
      </c>
      <c r="E372" s="8" t="n">
        <v>13.96</v>
      </c>
      <c r="F372" s="8" t="n">
        <v>13.5</v>
      </c>
      <c r="G372" s="8" t="n">
        <v>15.06</v>
      </c>
      <c r="H372" s="8" t="n">
        <v>13.12</v>
      </c>
      <c r="I372" s="8" t="n">
        <v>8.27</v>
      </c>
      <c r="J372" s="8" t="n">
        <v>6.94</v>
      </c>
      <c r="K372" s="8" t="n">
        <v>10.26</v>
      </c>
      <c r="L372" s="8" t="n">
        <v>10.46</v>
      </c>
      <c r="M372" s="8" t="n">
        <v>12.18</v>
      </c>
      <c r="N372" s="4" t="n">
        <v>10.84</v>
      </c>
    </row>
    <row r="373">
      <c r="A373" s="2" t="inlineStr">
        <is>
          <t>CST0331</t>
        </is>
      </c>
      <c r="B373" s="8" t="inlineStr">
        <is>
          <t>2029-03-01 00:00:00</t>
        </is>
      </c>
      <c r="C373" s="8" t="n">
        <v>9.550000000000001</v>
      </c>
      <c r="D373" s="8" t="n">
        <v>11.67</v>
      </c>
      <c r="E373" s="8" t="n">
        <v>13.24</v>
      </c>
      <c r="F373" s="8" t="n">
        <v>12.56</v>
      </c>
      <c r="G373" s="8" t="n">
        <v>13.32</v>
      </c>
      <c r="H373" s="8" t="n">
        <v>12.14</v>
      </c>
      <c r="I373" s="8" t="n">
        <v>9.380000000000001</v>
      </c>
      <c r="J373" s="8" t="n">
        <v>9.16</v>
      </c>
      <c r="K373" s="8" t="n">
        <v>12.01</v>
      </c>
      <c r="L373" s="8" t="n">
        <v>11.08</v>
      </c>
      <c r="M373" s="8" t="n">
        <v>12.19</v>
      </c>
      <c r="N373" s="4" t="n">
        <v>11.26</v>
      </c>
    </row>
    <row r="374">
      <c r="A374" s="2" t="inlineStr">
        <is>
          <t>CST0331</t>
        </is>
      </c>
      <c r="B374" s="8" t="inlineStr">
        <is>
          <t>2029-04-01 00:00:00</t>
        </is>
      </c>
      <c r="C374" s="8" t="n">
        <v>14.54</v>
      </c>
      <c r="D374" s="8" t="n">
        <v>16.9</v>
      </c>
      <c r="E374" s="8" t="n">
        <v>18.07</v>
      </c>
      <c r="F374" s="8" t="n">
        <v>18.2</v>
      </c>
      <c r="G374" s="8" t="n">
        <v>20</v>
      </c>
      <c r="H374" s="8" t="n">
        <v>17.18</v>
      </c>
      <c r="I374" s="8" t="n">
        <v>12.4</v>
      </c>
      <c r="J374" s="8" t="n">
        <v>12.75</v>
      </c>
      <c r="K374" s="8" t="n">
        <v>16.13</v>
      </c>
      <c r="L374" s="8" t="n">
        <v>14.54</v>
      </c>
      <c r="M374" s="8" t="n">
        <v>17.1</v>
      </c>
      <c r="N374" s="4" t="n">
        <v>15</v>
      </c>
    </row>
    <row r="375">
      <c r="A375" s="2" t="inlineStr">
        <is>
          <t>CST0331</t>
        </is>
      </c>
      <c r="B375" s="8" t="inlineStr">
        <is>
          <t>2029-05-01 00:00:00</t>
        </is>
      </c>
      <c r="C375" s="8" t="n">
        <v>13.05</v>
      </c>
      <c r="D375" s="8" t="n">
        <v>17.28</v>
      </c>
      <c r="E375" s="8" t="n">
        <v>19.98</v>
      </c>
      <c r="F375" s="8" t="n">
        <v>16.96</v>
      </c>
      <c r="G375" s="8" t="n">
        <v>21.67</v>
      </c>
      <c r="H375" s="8" t="n">
        <v>15.93</v>
      </c>
      <c r="I375" s="8" t="n">
        <v>13.25</v>
      </c>
      <c r="J375" s="8" t="n">
        <v>13.51</v>
      </c>
      <c r="K375" s="8" t="n">
        <v>14.54</v>
      </c>
      <c r="L375" s="8" t="n">
        <v>13.92</v>
      </c>
      <c r="M375" s="8" t="n">
        <v>15.88</v>
      </c>
      <c r="N375" s="4" t="n">
        <v>14.35</v>
      </c>
    </row>
    <row r="376">
      <c r="A376" s="2" t="inlineStr">
        <is>
          <t>CST0331</t>
        </is>
      </c>
      <c r="B376" s="8" t="inlineStr">
        <is>
          <t>2029-06-01 00:00:00</t>
        </is>
      </c>
      <c r="C376" s="8" t="n">
        <v>13.67</v>
      </c>
      <c r="D376" s="8" t="n">
        <v>17.37</v>
      </c>
      <c r="E376" s="8" t="n">
        <v>25.49</v>
      </c>
      <c r="F376" s="8" t="n">
        <v>17.31</v>
      </c>
      <c r="G376" s="8" t="n">
        <v>26.51</v>
      </c>
      <c r="H376" s="8" t="n">
        <v>16.9</v>
      </c>
      <c r="I376" s="8" t="n">
        <v>12.48</v>
      </c>
      <c r="J376" s="8" t="n">
        <v>11.91</v>
      </c>
      <c r="K376" s="8" t="n">
        <v>14.68</v>
      </c>
      <c r="L376" s="8" t="n">
        <v>13.93</v>
      </c>
      <c r="M376" s="8" t="n">
        <v>17.31</v>
      </c>
      <c r="N376" s="4" t="n">
        <v>15.91</v>
      </c>
    </row>
    <row r="377">
      <c r="A377" s="2" t="inlineStr">
        <is>
          <t>CST0331</t>
        </is>
      </c>
      <c r="B377" s="8" t="inlineStr">
        <is>
          <t>2029-07-01 00:00:00</t>
        </is>
      </c>
      <c r="C377" s="8" t="n">
        <v>12.7</v>
      </c>
      <c r="D377" s="8" t="n">
        <v>15.42</v>
      </c>
      <c r="E377" s="8" t="n">
        <v>23.37</v>
      </c>
      <c r="F377" s="8" t="n">
        <v>16.97</v>
      </c>
      <c r="G377" s="8" t="n">
        <v>25.11</v>
      </c>
      <c r="H377" s="8" t="n">
        <v>16.18</v>
      </c>
      <c r="I377" s="8" t="n">
        <v>12.66</v>
      </c>
      <c r="J377" s="8" t="n">
        <v>12.18</v>
      </c>
      <c r="K377" s="8" t="n">
        <v>15.68</v>
      </c>
      <c r="L377" s="8" t="n">
        <v>13.5</v>
      </c>
      <c r="M377" s="8" t="n">
        <v>17.67</v>
      </c>
      <c r="N377" s="4" t="n">
        <v>15.13</v>
      </c>
    </row>
    <row r="378">
      <c r="A378" s="2" t="inlineStr">
        <is>
          <t>CST0331</t>
        </is>
      </c>
      <c r="B378" s="8" t="inlineStr">
        <is>
          <t>2029-08-01 00:00:00</t>
        </is>
      </c>
      <c r="C378" s="8" t="n">
        <v>13.04</v>
      </c>
      <c r="D378" s="8" t="n">
        <v>16.32</v>
      </c>
      <c r="E378" s="8" t="n">
        <v>17.16</v>
      </c>
      <c r="F378" s="8" t="n">
        <v>15.83</v>
      </c>
      <c r="G378" s="8" t="n">
        <v>18.12</v>
      </c>
      <c r="H378" s="8" t="n">
        <v>16.39</v>
      </c>
      <c r="I378" s="8" t="n">
        <v>14.66</v>
      </c>
      <c r="J378" s="8" t="n">
        <v>14.33</v>
      </c>
      <c r="K378" s="8" t="n">
        <v>16.65</v>
      </c>
      <c r="L378" s="8" t="n">
        <v>15.49</v>
      </c>
      <c r="M378" s="8" t="n">
        <v>18.17</v>
      </c>
      <c r="N378" s="4" t="n">
        <v>16.06</v>
      </c>
    </row>
    <row r="379">
      <c r="A379" s="2" t="inlineStr">
        <is>
          <t>CST0331</t>
        </is>
      </c>
      <c r="B379" s="8" t="inlineStr">
        <is>
          <t>2029-09-01 00:00:00</t>
        </is>
      </c>
      <c r="C379" s="8" t="n">
        <v>9.609999999999999</v>
      </c>
      <c r="D379" s="8" t="n">
        <v>16.55</v>
      </c>
      <c r="E379" s="8" t="n">
        <v>20.42</v>
      </c>
      <c r="F379" s="8" t="n">
        <v>17.66</v>
      </c>
      <c r="G379" s="8" t="n">
        <v>23.3</v>
      </c>
      <c r="H379" s="8" t="n">
        <v>17.2</v>
      </c>
      <c r="I379" s="8" t="n">
        <v>8.210000000000001</v>
      </c>
      <c r="J379" s="8" t="n">
        <v>9.039999999999999</v>
      </c>
      <c r="K379" s="8" t="n">
        <v>13.37</v>
      </c>
      <c r="L379" s="8" t="n">
        <v>11.86</v>
      </c>
      <c r="M379" s="8" t="n">
        <v>17.27</v>
      </c>
      <c r="N379" s="4" t="n">
        <v>14.05</v>
      </c>
    </row>
    <row r="380">
      <c r="A380" s="2" t="inlineStr">
        <is>
          <t>CST0331</t>
        </is>
      </c>
      <c r="B380" s="8" t="inlineStr">
        <is>
          <t>2029-10-01 00:00:00</t>
        </is>
      </c>
      <c r="C380" s="8" t="n">
        <v>5.58</v>
      </c>
      <c r="D380" s="8" t="n">
        <v>7.5</v>
      </c>
      <c r="E380" s="8" t="n">
        <v>8.779999999999999</v>
      </c>
      <c r="F380" s="8" t="n">
        <v>7.53</v>
      </c>
      <c r="G380" s="8" t="n">
        <v>8.93</v>
      </c>
      <c r="H380" s="8" t="n">
        <v>8.85</v>
      </c>
      <c r="I380" s="8" t="n">
        <v>6.29</v>
      </c>
      <c r="J380" s="8" t="n">
        <v>6.21</v>
      </c>
      <c r="K380" s="8" t="n">
        <v>6.99</v>
      </c>
      <c r="L380" s="8" t="n">
        <v>6.03</v>
      </c>
      <c r="M380" s="8" t="n">
        <v>7.52</v>
      </c>
      <c r="N380" s="4" t="n">
        <v>7.27</v>
      </c>
    </row>
    <row r="381">
      <c r="A381" s="2" t="inlineStr">
        <is>
          <t>CST0331</t>
        </is>
      </c>
      <c r="B381" s="8" t="inlineStr">
        <is>
          <t>2029-11-01 00:00:00</t>
        </is>
      </c>
      <c r="C381" s="8" t="n">
        <v>4.54</v>
      </c>
      <c r="D381" s="8" t="n">
        <v>6.95</v>
      </c>
      <c r="E381" s="8" t="n">
        <v>9.98</v>
      </c>
      <c r="F381" s="8" t="n">
        <v>9.33</v>
      </c>
      <c r="G381" s="8" t="n">
        <v>9.890000000000001</v>
      </c>
      <c r="H381" s="8" t="n">
        <v>8.06</v>
      </c>
      <c r="I381" s="8" t="n">
        <v>4.51</v>
      </c>
      <c r="J381" s="8" t="n">
        <v>4.04</v>
      </c>
      <c r="K381" s="8" t="n">
        <v>6.59</v>
      </c>
      <c r="L381" s="8" t="n">
        <v>5.75</v>
      </c>
      <c r="M381" s="8" t="n">
        <v>6.55</v>
      </c>
      <c r="N381" s="4" t="n">
        <v>6.22</v>
      </c>
    </row>
    <row r="382">
      <c r="A382" s="2" t="inlineStr">
        <is>
          <t>CST0331</t>
        </is>
      </c>
      <c r="B382" s="8" t="inlineStr">
        <is>
          <t>2029-12-01 00:00:00</t>
        </is>
      </c>
      <c r="C382" s="8" t="n">
        <v>5.77</v>
      </c>
      <c r="D382" s="8" t="n">
        <v>6.34</v>
      </c>
      <c r="E382" s="8" t="n">
        <v>10.34</v>
      </c>
      <c r="F382" s="8" t="n">
        <v>9.56</v>
      </c>
      <c r="G382" s="8" t="n">
        <v>9.16</v>
      </c>
      <c r="H382" s="8" t="n">
        <v>7.54</v>
      </c>
      <c r="I382" s="8" t="n">
        <v>5.51</v>
      </c>
      <c r="J382" s="8" t="n">
        <v>5.15</v>
      </c>
      <c r="K382" s="8" t="n">
        <v>7.17</v>
      </c>
      <c r="L382" s="8" t="n">
        <v>7.01</v>
      </c>
      <c r="M382" s="8" t="n">
        <v>7.54</v>
      </c>
      <c r="N382" s="4" t="n">
        <v>6.67</v>
      </c>
    </row>
    <row r="383">
      <c r="A383" s="2" t="inlineStr">
        <is>
          <t>CST0331</t>
        </is>
      </c>
      <c r="B383" s="8" t="inlineStr">
        <is>
          <t>2030-01-01 00:00:00</t>
        </is>
      </c>
      <c r="C383" s="8" t="n">
        <v>10.04</v>
      </c>
      <c r="D383" s="8" t="n">
        <v>10.6</v>
      </c>
      <c r="E383" s="8" t="n">
        <v>13.69</v>
      </c>
      <c r="F383" s="8" t="n">
        <v>14.72</v>
      </c>
      <c r="G383" s="8" t="n">
        <v>15.46</v>
      </c>
      <c r="H383" s="8" t="n">
        <v>13.37</v>
      </c>
      <c r="I383" s="8" t="n">
        <v>7.66</v>
      </c>
      <c r="J383" s="8" t="n">
        <v>6.69</v>
      </c>
      <c r="K383" s="8" t="n">
        <v>8.630000000000001</v>
      </c>
      <c r="L383" s="8" t="n">
        <v>9.01</v>
      </c>
      <c r="M383" s="8" t="n">
        <v>10.63</v>
      </c>
      <c r="N383" s="4" t="n">
        <v>9.6</v>
      </c>
    </row>
    <row r="384">
      <c r="A384" s="2" t="inlineStr">
        <is>
          <t>CST0331</t>
        </is>
      </c>
      <c r="B384" s="8" t="inlineStr">
        <is>
          <t>2030-02-01 00:00:00</t>
        </is>
      </c>
      <c r="C384" s="8" t="n">
        <v>9.35</v>
      </c>
      <c r="D384" s="8" t="n">
        <v>11.27</v>
      </c>
      <c r="E384" s="8" t="n">
        <v>13.96</v>
      </c>
      <c r="F384" s="8" t="n">
        <v>13.5</v>
      </c>
      <c r="G384" s="8" t="n">
        <v>15.06</v>
      </c>
      <c r="H384" s="8" t="n">
        <v>13.12</v>
      </c>
      <c r="I384" s="8" t="n">
        <v>8.27</v>
      </c>
      <c r="J384" s="8" t="n">
        <v>6.94</v>
      </c>
      <c r="K384" s="8" t="n">
        <v>10.26</v>
      </c>
      <c r="L384" s="8" t="n">
        <v>10.46</v>
      </c>
      <c r="M384" s="8" t="n">
        <v>12.18</v>
      </c>
      <c r="N384" s="4" t="n">
        <v>10.84</v>
      </c>
    </row>
    <row r="385">
      <c r="A385" s="2" t="inlineStr">
        <is>
          <t>CST0331</t>
        </is>
      </c>
      <c r="B385" s="8" t="inlineStr">
        <is>
          <t>2030-03-01 00:00:00</t>
        </is>
      </c>
      <c r="C385" s="8" t="n">
        <v>9.550000000000001</v>
      </c>
      <c r="D385" s="8" t="n">
        <v>11.67</v>
      </c>
      <c r="E385" s="8" t="n">
        <v>13.24</v>
      </c>
      <c r="F385" s="8" t="n">
        <v>12.56</v>
      </c>
      <c r="G385" s="8" t="n">
        <v>13.32</v>
      </c>
      <c r="H385" s="8" t="n">
        <v>12.14</v>
      </c>
      <c r="I385" s="8" t="n">
        <v>9.380000000000001</v>
      </c>
      <c r="J385" s="8" t="n">
        <v>9.16</v>
      </c>
      <c r="K385" s="8" t="n">
        <v>12.01</v>
      </c>
      <c r="L385" s="8" t="n">
        <v>11.08</v>
      </c>
      <c r="M385" s="8" t="n">
        <v>12.19</v>
      </c>
      <c r="N385" s="4" t="n">
        <v>11.26</v>
      </c>
    </row>
    <row r="386">
      <c r="A386" s="2" t="inlineStr">
        <is>
          <t>CST0331</t>
        </is>
      </c>
      <c r="B386" s="8" t="inlineStr">
        <is>
          <t>2030-04-01 00:00:00</t>
        </is>
      </c>
      <c r="C386" s="8" t="n">
        <v>14.54</v>
      </c>
      <c r="D386" s="8" t="n">
        <v>16.9</v>
      </c>
      <c r="E386" s="8" t="n">
        <v>18.07</v>
      </c>
      <c r="F386" s="8" t="n">
        <v>18.2</v>
      </c>
      <c r="G386" s="8" t="n">
        <v>20</v>
      </c>
      <c r="H386" s="8" t="n">
        <v>17.18</v>
      </c>
      <c r="I386" s="8" t="n">
        <v>12.4</v>
      </c>
      <c r="J386" s="8" t="n">
        <v>12.75</v>
      </c>
      <c r="K386" s="8" t="n">
        <v>16.13</v>
      </c>
      <c r="L386" s="8" t="n">
        <v>14.54</v>
      </c>
      <c r="M386" s="8" t="n">
        <v>17.1</v>
      </c>
      <c r="N386" s="4" t="n">
        <v>15</v>
      </c>
    </row>
    <row r="387">
      <c r="A387" s="2" t="inlineStr">
        <is>
          <t>CST0331</t>
        </is>
      </c>
      <c r="B387" s="8" t="inlineStr">
        <is>
          <t>2030-05-01 00:00:00</t>
        </is>
      </c>
      <c r="C387" s="8" t="n">
        <v>13.05</v>
      </c>
      <c r="D387" s="8" t="n">
        <v>17.28</v>
      </c>
      <c r="E387" s="8" t="n">
        <v>19.98</v>
      </c>
      <c r="F387" s="8" t="n">
        <v>16.96</v>
      </c>
      <c r="G387" s="8" t="n">
        <v>21.67</v>
      </c>
      <c r="H387" s="8" t="n">
        <v>15.93</v>
      </c>
      <c r="I387" s="8" t="n">
        <v>13.25</v>
      </c>
      <c r="J387" s="8" t="n">
        <v>13.51</v>
      </c>
      <c r="K387" s="8" t="n">
        <v>14.54</v>
      </c>
      <c r="L387" s="8" t="n">
        <v>13.92</v>
      </c>
      <c r="M387" s="8" t="n">
        <v>15.88</v>
      </c>
      <c r="N387" s="4" t="n">
        <v>14.35</v>
      </c>
    </row>
    <row r="388">
      <c r="A388" s="2" t="inlineStr">
        <is>
          <t>CST0331</t>
        </is>
      </c>
      <c r="B388" s="8" t="inlineStr">
        <is>
          <t>2030-06-01 00:00:00</t>
        </is>
      </c>
      <c r="C388" s="8" t="n">
        <v>13.67</v>
      </c>
      <c r="D388" s="8" t="n">
        <v>17.37</v>
      </c>
      <c r="E388" s="8" t="n">
        <v>25.49</v>
      </c>
      <c r="F388" s="8" t="n">
        <v>17.31</v>
      </c>
      <c r="G388" s="8" t="n">
        <v>26.51</v>
      </c>
      <c r="H388" s="8" t="n">
        <v>16.9</v>
      </c>
      <c r="I388" s="8" t="n">
        <v>12.48</v>
      </c>
      <c r="J388" s="8" t="n">
        <v>11.91</v>
      </c>
      <c r="K388" s="8" t="n">
        <v>14.68</v>
      </c>
      <c r="L388" s="8" t="n">
        <v>13.93</v>
      </c>
      <c r="M388" s="8" t="n">
        <v>17.31</v>
      </c>
      <c r="N388" s="4" t="n">
        <v>15.91</v>
      </c>
    </row>
    <row r="389">
      <c r="A389" s="2" t="inlineStr">
        <is>
          <t>CST0331</t>
        </is>
      </c>
      <c r="B389" s="8" t="inlineStr">
        <is>
          <t>2030-07-01 00:00:00</t>
        </is>
      </c>
      <c r="C389" s="8" t="n">
        <v>12.7</v>
      </c>
      <c r="D389" s="8" t="n">
        <v>15.42</v>
      </c>
      <c r="E389" s="8" t="n">
        <v>23.37</v>
      </c>
      <c r="F389" s="8" t="n">
        <v>16.97</v>
      </c>
      <c r="G389" s="8" t="n">
        <v>25.11</v>
      </c>
      <c r="H389" s="8" t="n">
        <v>16.18</v>
      </c>
      <c r="I389" s="8" t="n">
        <v>12.66</v>
      </c>
      <c r="J389" s="8" t="n">
        <v>12.18</v>
      </c>
      <c r="K389" s="8" t="n">
        <v>15.68</v>
      </c>
      <c r="L389" s="8" t="n">
        <v>13.5</v>
      </c>
      <c r="M389" s="8" t="n">
        <v>17.67</v>
      </c>
      <c r="N389" s="4" t="n">
        <v>15.13</v>
      </c>
    </row>
    <row r="390">
      <c r="A390" s="2" t="inlineStr">
        <is>
          <t>CST0331</t>
        </is>
      </c>
      <c r="B390" s="8" t="inlineStr">
        <is>
          <t>2030-08-01 00:00:00</t>
        </is>
      </c>
      <c r="C390" s="8" t="n">
        <v>13.04</v>
      </c>
      <c r="D390" s="8" t="n">
        <v>16.32</v>
      </c>
      <c r="E390" s="8" t="n">
        <v>17.16</v>
      </c>
      <c r="F390" s="8" t="n">
        <v>15.83</v>
      </c>
      <c r="G390" s="8" t="n">
        <v>18.12</v>
      </c>
      <c r="H390" s="8" t="n">
        <v>16.39</v>
      </c>
      <c r="I390" s="8" t="n">
        <v>14.66</v>
      </c>
      <c r="J390" s="8" t="n">
        <v>14.33</v>
      </c>
      <c r="K390" s="8" t="n">
        <v>16.65</v>
      </c>
      <c r="L390" s="8" t="n">
        <v>15.49</v>
      </c>
      <c r="M390" s="8" t="n">
        <v>18.17</v>
      </c>
      <c r="N390" s="4" t="n">
        <v>16.06</v>
      </c>
    </row>
    <row r="391">
      <c r="A391" s="2" t="inlineStr">
        <is>
          <t>CST0331</t>
        </is>
      </c>
      <c r="B391" s="8" t="inlineStr">
        <is>
          <t>2030-09-01 00:00:00</t>
        </is>
      </c>
      <c r="C391" s="8" t="n">
        <v>9.609999999999999</v>
      </c>
      <c r="D391" s="8" t="n">
        <v>16.55</v>
      </c>
      <c r="E391" s="8" t="n">
        <v>20.42</v>
      </c>
      <c r="F391" s="8" t="n">
        <v>17.66</v>
      </c>
      <c r="G391" s="8" t="n">
        <v>23.3</v>
      </c>
      <c r="H391" s="8" t="n">
        <v>17.2</v>
      </c>
      <c r="I391" s="8" t="n">
        <v>8.210000000000001</v>
      </c>
      <c r="J391" s="8" t="n">
        <v>9.039999999999999</v>
      </c>
      <c r="K391" s="8" t="n">
        <v>13.37</v>
      </c>
      <c r="L391" s="8" t="n">
        <v>11.86</v>
      </c>
      <c r="M391" s="8" t="n">
        <v>17.27</v>
      </c>
      <c r="N391" s="4" t="n">
        <v>14.05</v>
      </c>
    </row>
    <row r="392">
      <c r="A392" s="2" t="inlineStr">
        <is>
          <t>CST0331</t>
        </is>
      </c>
      <c r="B392" s="8" t="inlineStr">
        <is>
          <t>2030-10-01 00:00:00</t>
        </is>
      </c>
      <c r="C392" s="8" t="n">
        <v>5.58</v>
      </c>
      <c r="D392" s="8" t="n">
        <v>7.5</v>
      </c>
      <c r="E392" s="8" t="n">
        <v>8.779999999999999</v>
      </c>
      <c r="F392" s="8" t="n">
        <v>7.53</v>
      </c>
      <c r="G392" s="8" t="n">
        <v>8.93</v>
      </c>
      <c r="H392" s="8" t="n">
        <v>8.85</v>
      </c>
      <c r="I392" s="8" t="n">
        <v>6.29</v>
      </c>
      <c r="J392" s="8" t="n">
        <v>6.21</v>
      </c>
      <c r="K392" s="8" t="n">
        <v>6.99</v>
      </c>
      <c r="L392" s="8" t="n">
        <v>6.03</v>
      </c>
      <c r="M392" s="8" t="n">
        <v>7.52</v>
      </c>
      <c r="N392" s="4" t="n">
        <v>7.27</v>
      </c>
    </row>
    <row r="393">
      <c r="A393" s="2" t="inlineStr">
        <is>
          <t>CST0331</t>
        </is>
      </c>
      <c r="B393" s="8" t="inlineStr">
        <is>
          <t>2030-11-01 00:00:00</t>
        </is>
      </c>
      <c r="C393" s="8" t="n">
        <v>4.54</v>
      </c>
      <c r="D393" s="8" t="n">
        <v>6.95</v>
      </c>
      <c r="E393" s="8" t="n">
        <v>9.98</v>
      </c>
      <c r="F393" s="8" t="n">
        <v>9.33</v>
      </c>
      <c r="G393" s="8" t="n">
        <v>9.890000000000001</v>
      </c>
      <c r="H393" s="8" t="n">
        <v>8.06</v>
      </c>
      <c r="I393" s="8" t="n">
        <v>4.51</v>
      </c>
      <c r="J393" s="8" t="n">
        <v>4.04</v>
      </c>
      <c r="K393" s="8" t="n">
        <v>6.59</v>
      </c>
      <c r="L393" s="8" t="n">
        <v>5.75</v>
      </c>
      <c r="M393" s="8" t="n">
        <v>6.55</v>
      </c>
      <c r="N393" s="4" t="n">
        <v>6.22</v>
      </c>
    </row>
    <row r="394">
      <c r="A394" s="2" t="inlineStr">
        <is>
          <t>CST0331</t>
        </is>
      </c>
      <c r="B394" s="8" t="inlineStr">
        <is>
          <t>2030-12-01 00:00:00</t>
        </is>
      </c>
      <c r="C394" s="8" t="n">
        <v>5.77</v>
      </c>
      <c r="D394" s="8" t="n">
        <v>6.34</v>
      </c>
      <c r="E394" s="8" t="n">
        <v>10.34</v>
      </c>
      <c r="F394" s="8" t="n">
        <v>9.56</v>
      </c>
      <c r="G394" s="8" t="n">
        <v>9.16</v>
      </c>
      <c r="H394" s="8" t="n">
        <v>7.54</v>
      </c>
      <c r="I394" s="8" t="n">
        <v>5.51</v>
      </c>
      <c r="J394" s="8" t="n">
        <v>5.15</v>
      </c>
      <c r="K394" s="8" t="n">
        <v>7.17</v>
      </c>
      <c r="L394" s="8" t="n">
        <v>7.01</v>
      </c>
      <c r="M394" s="8" t="n">
        <v>7.54</v>
      </c>
      <c r="N394" s="4" t="n">
        <v>6.67</v>
      </c>
    </row>
    <row r="395">
      <c r="A395" s="2" t="inlineStr">
        <is>
          <t>CST0331</t>
        </is>
      </c>
      <c r="B395" s="8" t="inlineStr">
        <is>
          <t>2031-01-01 00:00:00</t>
        </is>
      </c>
      <c r="C395" s="8" t="n">
        <v>10.04</v>
      </c>
      <c r="D395" s="8" t="n">
        <v>10.6</v>
      </c>
      <c r="E395" s="8" t="n">
        <v>13.69</v>
      </c>
      <c r="F395" s="8" t="n">
        <v>14.72</v>
      </c>
      <c r="G395" s="8" t="n">
        <v>15.46</v>
      </c>
      <c r="H395" s="8" t="n">
        <v>13.37</v>
      </c>
      <c r="I395" s="8" t="n">
        <v>7.66</v>
      </c>
      <c r="J395" s="8" t="n">
        <v>6.69</v>
      </c>
      <c r="K395" s="8" t="n">
        <v>8.630000000000001</v>
      </c>
      <c r="L395" s="8" t="n">
        <v>9.01</v>
      </c>
      <c r="M395" s="8" t="n">
        <v>10.63</v>
      </c>
      <c r="N395" s="4" t="n">
        <v>9.6</v>
      </c>
    </row>
    <row r="396">
      <c r="A396" s="2" t="inlineStr">
        <is>
          <t>CST0331</t>
        </is>
      </c>
      <c r="B396" s="8" t="inlineStr">
        <is>
          <t>2031-02-01 00:00:00</t>
        </is>
      </c>
      <c r="C396" s="8" t="n">
        <v>9.35</v>
      </c>
      <c r="D396" s="8" t="n">
        <v>11.27</v>
      </c>
      <c r="E396" s="8" t="n">
        <v>13.96</v>
      </c>
      <c r="F396" s="8" t="n">
        <v>13.5</v>
      </c>
      <c r="G396" s="8" t="n">
        <v>15.06</v>
      </c>
      <c r="H396" s="8" t="n">
        <v>13.12</v>
      </c>
      <c r="I396" s="8" t="n">
        <v>8.27</v>
      </c>
      <c r="J396" s="8" t="n">
        <v>6.94</v>
      </c>
      <c r="K396" s="8" t="n">
        <v>10.26</v>
      </c>
      <c r="L396" s="8" t="n">
        <v>10.46</v>
      </c>
      <c r="M396" s="8" t="n">
        <v>12.18</v>
      </c>
      <c r="N396" s="4" t="n">
        <v>10.84</v>
      </c>
    </row>
    <row r="397">
      <c r="A397" s="2" t="inlineStr">
        <is>
          <t>CST0331</t>
        </is>
      </c>
      <c r="B397" s="8" t="inlineStr">
        <is>
          <t>2031-03-01 00:00:00</t>
        </is>
      </c>
      <c r="C397" s="8" t="n">
        <v>9.550000000000001</v>
      </c>
      <c r="D397" s="8" t="n">
        <v>11.67</v>
      </c>
      <c r="E397" s="8" t="n">
        <v>13.24</v>
      </c>
      <c r="F397" s="8" t="n">
        <v>12.56</v>
      </c>
      <c r="G397" s="8" t="n">
        <v>13.32</v>
      </c>
      <c r="H397" s="8" t="n">
        <v>12.14</v>
      </c>
      <c r="I397" s="8" t="n">
        <v>9.380000000000001</v>
      </c>
      <c r="J397" s="8" t="n">
        <v>9.16</v>
      </c>
      <c r="K397" s="8" t="n">
        <v>12.01</v>
      </c>
      <c r="L397" s="8" t="n">
        <v>11.08</v>
      </c>
      <c r="M397" s="8" t="n">
        <v>12.19</v>
      </c>
      <c r="N397" s="4" t="n">
        <v>11.26</v>
      </c>
    </row>
    <row r="398">
      <c r="A398" s="2" t="inlineStr">
        <is>
          <t>CST0331</t>
        </is>
      </c>
      <c r="B398" s="8" t="inlineStr">
        <is>
          <t>2031-04-01 00:00:00</t>
        </is>
      </c>
      <c r="C398" s="8" t="n">
        <v>14.54</v>
      </c>
      <c r="D398" s="8" t="n">
        <v>16.9</v>
      </c>
      <c r="E398" s="8" t="n">
        <v>18.07</v>
      </c>
      <c r="F398" s="8" t="n">
        <v>18.2</v>
      </c>
      <c r="G398" s="8" t="n">
        <v>20</v>
      </c>
      <c r="H398" s="8" t="n">
        <v>17.18</v>
      </c>
      <c r="I398" s="8" t="n">
        <v>12.4</v>
      </c>
      <c r="J398" s="8" t="n">
        <v>12.75</v>
      </c>
      <c r="K398" s="8" t="n">
        <v>16.13</v>
      </c>
      <c r="L398" s="8" t="n">
        <v>14.54</v>
      </c>
      <c r="M398" s="8" t="n">
        <v>17.1</v>
      </c>
      <c r="N398" s="4" t="n">
        <v>15</v>
      </c>
    </row>
    <row r="399">
      <c r="A399" s="2" t="inlineStr">
        <is>
          <t>CST0331</t>
        </is>
      </c>
      <c r="B399" s="8" t="inlineStr">
        <is>
          <t>2031-05-01 00:00:00</t>
        </is>
      </c>
      <c r="C399" s="8" t="n">
        <v>13.05</v>
      </c>
      <c r="D399" s="8" t="n">
        <v>17.28</v>
      </c>
      <c r="E399" s="8" t="n">
        <v>19.98</v>
      </c>
      <c r="F399" s="8" t="n">
        <v>16.96</v>
      </c>
      <c r="G399" s="8" t="n">
        <v>21.67</v>
      </c>
      <c r="H399" s="8" t="n">
        <v>15.93</v>
      </c>
      <c r="I399" s="8" t="n">
        <v>13.25</v>
      </c>
      <c r="J399" s="8" t="n">
        <v>13.51</v>
      </c>
      <c r="K399" s="8" t="n">
        <v>14.54</v>
      </c>
      <c r="L399" s="8" t="n">
        <v>13.92</v>
      </c>
      <c r="M399" s="8" t="n">
        <v>15.88</v>
      </c>
      <c r="N399" s="4" t="n">
        <v>14.35</v>
      </c>
    </row>
    <row r="400">
      <c r="A400" s="2" t="inlineStr">
        <is>
          <t>CST0331</t>
        </is>
      </c>
      <c r="B400" s="8" t="inlineStr">
        <is>
          <t>2031-06-01 00:00:00</t>
        </is>
      </c>
      <c r="C400" s="8" t="n">
        <v>13.67</v>
      </c>
      <c r="D400" s="8" t="n">
        <v>17.37</v>
      </c>
      <c r="E400" s="8" t="n">
        <v>25.49</v>
      </c>
      <c r="F400" s="8" t="n">
        <v>17.31</v>
      </c>
      <c r="G400" s="8" t="n">
        <v>26.51</v>
      </c>
      <c r="H400" s="8" t="n">
        <v>16.9</v>
      </c>
      <c r="I400" s="8" t="n">
        <v>12.48</v>
      </c>
      <c r="J400" s="8" t="n">
        <v>11.91</v>
      </c>
      <c r="K400" s="8" t="n">
        <v>14.68</v>
      </c>
      <c r="L400" s="8" t="n">
        <v>13.93</v>
      </c>
      <c r="M400" s="8" t="n">
        <v>17.31</v>
      </c>
      <c r="N400" s="4" t="n">
        <v>15.91</v>
      </c>
    </row>
    <row r="401">
      <c r="A401" s="2" t="inlineStr">
        <is>
          <t>HEN0331</t>
        </is>
      </c>
      <c r="B401" s="8" t="inlineStr">
        <is>
          <t>2026-07-01 00:00:00</t>
        </is>
      </c>
      <c r="C401" s="8" t="n">
        <v>12.27</v>
      </c>
      <c r="D401" s="8" t="n">
        <v>14.9</v>
      </c>
      <c r="E401" s="8" t="n">
        <v>22.78</v>
      </c>
      <c r="F401" s="8" t="n">
        <v>16.39</v>
      </c>
      <c r="G401" s="8" t="n">
        <v>24.45</v>
      </c>
      <c r="H401" s="8" t="n">
        <v>15.63</v>
      </c>
      <c r="I401" s="8" t="n">
        <v>12.24</v>
      </c>
      <c r="J401" s="8" t="n">
        <v>11.77</v>
      </c>
      <c r="K401" s="8" t="n">
        <v>15.15</v>
      </c>
      <c r="L401" s="8" t="n">
        <v>13.05</v>
      </c>
      <c r="M401" s="8" t="n">
        <v>17.06</v>
      </c>
      <c r="N401" s="4" t="n">
        <v>14.62</v>
      </c>
    </row>
    <row r="402">
      <c r="A402" s="2" t="inlineStr">
        <is>
          <t>HEN0331</t>
        </is>
      </c>
      <c r="B402" s="8" t="inlineStr">
        <is>
          <t>2026-08-01 00:00:00</t>
        </is>
      </c>
      <c r="C402" s="8" t="n">
        <v>12.57</v>
      </c>
      <c r="D402" s="8" t="n">
        <v>15.71</v>
      </c>
      <c r="E402" s="8" t="n">
        <v>16.52</v>
      </c>
      <c r="F402" s="8" t="n">
        <v>15.25</v>
      </c>
      <c r="G402" s="8" t="n">
        <v>17.44</v>
      </c>
      <c r="H402" s="8" t="n">
        <v>15.79</v>
      </c>
      <c r="I402" s="8" t="n">
        <v>14.12</v>
      </c>
      <c r="J402" s="8" t="n">
        <v>13.8</v>
      </c>
      <c r="K402" s="8" t="n">
        <v>16.04</v>
      </c>
      <c r="L402" s="8" t="n">
        <v>14.92</v>
      </c>
      <c r="M402" s="8" t="n">
        <v>17.49</v>
      </c>
      <c r="N402" s="4" t="n">
        <v>15.47</v>
      </c>
    </row>
    <row r="403">
      <c r="A403" s="2" t="inlineStr">
        <is>
          <t>HEN0331</t>
        </is>
      </c>
      <c r="B403" s="8" t="inlineStr">
        <is>
          <t>2026-09-01 00:00:00</t>
        </is>
      </c>
      <c r="C403" s="8" t="n">
        <v>6.64</v>
      </c>
      <c r="D403" s="8" t="n">
        <v>11.33</v>
      </c>
      <c r="E403" s="8" t="n">
        <v>13.95</v>
      </c>
      <c r="F403" s="8" t="n">
        <v>12.08</v>
      </c>
      <c r="G403" s="8" t="n">
        <v>15.9</v>
      </c>
      <c r="H403" s="8" t="n">
        <v>11.78</v>
      </c>
      <c r="I403" s="8" t="n">
        <v>5.69</v>
      </c>
      <c r="J403" s="8" t="n">
        <v>6.26</v>
      </c>
      <c r="K403" s="8" t="n">
        <v>9.18</v>
      </c>
      <c r="L403" s="8" t="n">
        <v>8.16</v>
      </c>
      <c r="M403" s="8" t="n">
        <v>11.82</v>
      </c>
      <c r="N403" s="4" t="n">
        <v>9.640000000000001</v>
      </c>
    </row>
    <row r="404">
      <c r="A404" s="2" t="inlineStr">
        <is>
          <t>HEN0331</t>
        </is>
      </c>
      <c r="B404" s="8" t="inlineStr">
        <is>
          <t>2026-10-01 00:00:00</t>
        </is>
      </c>
      <c r="C404" s="8" t="n">
        <v>6.46</v>
      </c>
      <c r="D404" s="8" t="n">
        <v>8.720000000000001</v>
      </c>
      <c r="E404" s="8" t="n">
        <v>10.22</v>
      </c>
      <c r="F404" s="8" t="n">
        <v>8.75</v>
      </c>
      <c r="G404" s="8" t="n">
        <v>10.41</v>
      </c>
      <c r="H404" s="8" t="n">
        <v>10.31</v>
      </c>
      <c r="I404" s="8" t="n">
        <v>7.29</v>
      </c>
      <c r="J404" s="8" t="n">
        <v>7.2</v>
      </c>
      <c r="K404" s="8" t="n">
        <v>8.109999999999999</v>
      </c>
      <c r="L404" s="8" t="n">
        <v>6.98</v>
      </c>
      <c r="M404" s="8" t="n">
        <v>8.74</v>
      </c>
      <c r="N404" s="4" t="n">
        <v>8.449999999999999</v>
      </c>
    </row>
    <row r="405">
      <c r="A405" s="2" t="inlineStr">
        <is>
          <t>HEN0331</t>
        </is>
      </c>
      <c r="B405" s="8" t="inlineStr">
        <is>
          <t>2026-11-01 00:00:00</t>
        </is>
      </c>
      <c r="C405" s="8" t="n">
        <v>5.11</v>
      </c>
      <c r="D405" s="8" t="n">
        <v>7.87</v>
      </c>
      <c r="E405" s="8" t="n">
        <v>11.34</v>
      </c>
      <c r="F405" s="8" t="n">
        <v>10.6</v>
      </c>
      <c r="G405" s="8" t="n">
        <v>11.24</v>
      </c>
      <c r="H405" s="8" t="n">
        <v>9.140000000000001</v>
      </c>
      <c r="I405" s="8" t="n">
        <v>5.07</v>
      </c>
      <c r="J405" s="8" t="n">
        <v>4.53</v>
      </c>
      <c r="K405" s="8" t="n">
        <v>7.46</v>
      </c>
      <c r="L405" s="8" t="n">
        <v>6.49</v>
      </c>
      <c r="M405" s="8" t="n">
        <v>7.42</v>
      </c>
      <c r="N405" s="4" t="n">
        <v>7.03</v>
      </c>
    </row>
    <row r="406">
      <c r="A406" s="2" t="inlineStr">
        <is>
          <t>HEN0331</t>
        </is>
      </c>
      <c r="B406" s="8" t="inlineStr">
        <is>
          <t>2026-12-01 00:00:00</t>
        </is>
      </c>
      <c r="C406" s="8" t="n">
        <v>5.86</v>
      </c>
      <c r="D406" s="8" t="n">
        <v>6.44</v>
      </c>
      <c r="E406" s="8" t="n">
        <v>10.53</v>
      </c>
      <c r="F406" s="8" t="n">
        <v>9.73</v>
      </c>
      <c r="G406" s="8" t="n">
        <v>9.32</v>
      </c>
      <c r="H406" s="8" t="n">
        <v>7.66</v>
      </c>
      <c r="I406" s="8" t="n">
        <v>5.59</v>
      </c>
      <c r="J406" s="8" t="n">
        <v>5.23</v>
      </c>
      <c r="K406" s="8" t="n">
        <v>7.29</v>
      </c>
      <c r="L406" s="8" t="n">
        <v>7.13</v>
      </c>
      <c r="M406" s="8" t="n">
        <v>7.66</v>
      </c>
      <c r="N406" s="4" t="n">
        <v>6.78</v>
      </c>
    </row>
    <row r="407">
      <c r="A407" s="2" t="inlineStr">
        <is>
          <t>HEN0331</t>
        </is>
      </c>
      <c r="B407" s="8" t="inlineStr">
        <is>
          <t>2027-01-01 00:00:00</t>
        </is>
      </c>
      <c r="C407" s="8" t="n">
        <v>11.82</v>
      </c>
      <c r="D407" s="8" t="n">
        <v>12.48</v>
      </c>
      <c r="E407" s="8" t="n">
        <v>16.15</v>
      </c>
      <c r="F407" s="8" t="n">
        <v>17.39</v>
      </c>
      <c r="G407" s="8" t="n">
        <v>18.27</v>
      </c>
      <c r="H407" s="8" t="n">
        <v>15.78</v>
      </c>
      <c r="I407" s="8" t="n">
        <v>8.99</v>
      </c>
      <c r="J407" s="8" t="n">
        <v>7.84</v>
      </c>
      <c r="K407" s="8" t="n">
        <v>10.15</v>
      </c>
      <c r="L407" s="8" t="n">
        <v>10.6</v>
      </c>
      <c r="M407" s="8" t="n">
        <v>12.52</v>
      </c>
      <c r="N407" s="4" t="n">
        <v>11.3</v>
      </c>
    </row>
    <row r="408">
      <c r="A408" s="2" t="inlineStr">
        <is>
          <t>HEN0331</t>
        </is>
      </c>
      <c r="B408" s="8" t="inlineStr">
        <is>
          <t>2027-02-01 00:00:00</t>
        </is>
      </c>
      <c r="C408" s="8" t="n">
        <v>10.58</v>
      </c>
      <c r="D408" s="8" t="n">
        <v>12.77</v>
      </c>
      <c r="E408" s="8" t="n">
        <v>15.84</v>
      </c>
      <c r="F408" s="8" t="n">
        <v>15.32</v>
      </c>
      <c r="G408" s="8" t="n">
        <v>17.1</v>
      </c>
      <c r="H408" s="8" t="n">
        <v>14.89</v>
      </c>
      <c r="I408" s="8" t="n">
        <v>9.35</v>
      </c>
      <c r="J408" s="8" t="n">
        <v>7.84</v>
      </c>
      <c r="K408" s="8" t="n">
        <v>11.62</v>
      </c>
      <c r="L408" s="8" t="n">
        <v>11.85</v>
      </c>
      <c r="M408" s="8" t="n">
        <v>13.81</v>
      </c>
      <c r="N408" s="4" t="n">
        <v>12.29</v>
      </c>
    </row>
    <row r="409">
      <c r="A409" s="2" t="inlineStr">
        <is>
          <t>HEN0331</t>
        </is>
      </c>
      <c r="B409" s="8" t="inlineStr">
        <is>
          <t>2027-03-01 00:00:00</t>
        </is>
      </c>
      <c r="C409" s="8" t="n">
        <v>10.9</v>
      </c>
      <c r="D409" s="8" t="n">
        <v>13.33</v>
      </c>
      <c r="E409" s="8" t="n">
        <v>15.14</v>
      </c>
      <c r="F409" s="8" t="n">
        <v>14.36</v>
      </c>
      <c r="G409" s="8" t="n">
        <v>15.23</v>
      </c>
      <c r="H409" s="8" t="n">
        <v>13.87</v>
      </c>
      <c r="I409" s="8" t="n">
        <v>10.7</v>
      </c>
      <c r="J409" s="8" t="n">
        <v>10.45</v>
      </c>
      <c r="K409" s="8" t="n">
        <v>13.73</v>
      </c>
      <c r="L409" s="8" t="n">
        <v>12.66</v>
      </c>
      <c r="M409" s="8" t="n">
        <v>13.93</v>
      </c>
      <c r="N409" s="4" t="n">
        <v>12.86</v>
      </c>
    </row>
    <row r="410">
      <c r="A410" s="2" t="inlineStr">
        <is>
          <t>HEN0331</t>
        </is>
      </c>
      <c r="B410" s="8" t="inlineStr">
        <is>
          <t>2027-04-01 00:00:00</t>
        </is>
      </c>
      <c r="C410" s="8" t="n">
        <v>16.11</v>
      </c>
      <c r="D410" s="8" t="n">
        <v>18.73</v>
      </c>
      <c r="E410" s="8" t="n">
        <v>20.03</v>
      </c>
      <c r="F410" s="8" t="n">
        <v>20.17</v>
      </c>
      <c r="G410" s="8" t="n">
        <v>22.18</v>
      </c>
      <c r="H410" s="8" t="n">
        <v>19.04</v>
      </c>
      <c r="I410" s="8" t="n">
        <v>13.73</v>
      </c>
      <c r="J410" s="8" t="n">
        <v>14.11</v>
      </c>
      <c r="K410" s="8" t="n">
        <v>17.87</v>
      </c>
      <c r="L410" s="8" t="n">
        <v>16.11</v>
      </c>
      <c r="M410" s="8" t="n">
        <v>18.96</v>
      </c>
      <c r="N410" s="4" t="n">
        <v>16.62</v>
      </c>
    </row>
    <row r="411">
      <c r="A411" s="2" t="inlineStr">
        <is>
          <t>HEN0331</t>
        </is>
      </c>
      <c r="B411" s="8" t="inlineStr">
        <is>
          <t>2027-05-01 00:00:00</t>
        </is>
      </c>
      <c r="C411" s="8" t="n">
        <v>15</v>
      </c>
      <c r="D411" s="8" t="n">
        <v>19.91</v>
      </c>
      <c r="E411" s="8" t="n">
        <v>23.04</v>
      </c>
      <c r="F411" s="8" t="n">
        <v>19.54</v>
      </c>
      <c r="G411" s="8" t="n">
        <v>25.01</v>
      </c>
      <c r="H411" s="8" t="n">
        <v>18.35</v>
      </c>
      <c r="I411" s="8" t="n">
        <v>15.23</v>
      </c>
      <c r="J411" s="8" t="n">
        <v>15.53</v>
      </c>
      <c r="K411" s="8" t="n">
        <v>16.73</v>
      </c>
      <c r="L411" s="8" t="n">
        <v>16.01</v>
      </c>
      <c r="M411" s="8" t="n">
        <v>18.28</v>
      </c>
      <c r="N411" s="4" t="n">
        <v>16.51</v>
      </c>
    </row>
    <row r="412">
      <c r="A412" s="2" t="inlineStr">
        <is>
          <t>HEN0331</t>
        </is>
      </c>
      <c r="B412" s="8" t="inlineStr">
        <is>
          <t>2027-06-01 00:00:00</t>
        </is>
      </c>
      <c r="C412" s="8" t="n">
        <v>15.65</v>
      </c>
      <c r="D412" s="8" t="n">
        <v>19.92</v>
      </c>
      <c r="E412" s="8" t="n">
        <v>28.37</v>
      </c>
      <c r="F412" s="8" t="n">
        <v>19.86</v>
      </c>
      <c r="G412" s="8" t="n">
        <v>29.55</v>
      </c>
      <c r="H412" s="8" t="n">
        <v>19.38</v>
      </c>
      <c r="I412" s="8" t="n">
        <v>14.28</v>
      </c>
      <c r="J412" s="8" t="n">
        <v>13.62</v>
      </c>
      <c r="K412" s="8" t="n">
        <v>16.81</v>
      </c>
      <c r="L412" s="8" t="n">
        <v>15.95</v>
      </c>
      <c r="M412" s="8" t="n">
        <v>19.85</v>
      </c>
      <c r="N412" s="4" t="n">
        <v>18.24</v>
      </c>
    </row>
    <row r="413">
      <c r="A413" s="2" t="inlineStr">
        <is>
          <t>HEN0331</t>
        </is>
      </c>
      <c r="B413" s="8" t="inlineStr">
        <is>
          <t>2027-07-01 00:00:00</t>
        </is>
      </c>
      <c r="C413" s="8" t="n">
        <v>15.23</v>
      </c>
      <c r="D413" s="8" t="n">
        <v>18.54</v>
      </c>
      <c r="E413" s="8" t="n">
        <v>26.91</v>
      </c>
      <c r="F413" s="8" t="n">
        <v>20.42</v>
      </c>
      <c r="G413" s="8" t="n">
        <v>29.02</v>
      </c>
      <c r="H413" s="8" t="n">
        <v>19.46</v>
      </c>
      <c r="I413" s="8" t="n">
        <v>15.19</v>
      </c>
      <c r="J413" s="8" t="n">
        <v>14.6</v>
      </c>
      <c r="K413" s="8" t="n">
        <v>18.85</v>
      </c>
      <c r="L413" s="8" t="n">
        <v>16.2</v>
      </c>
      <c r="M413" s="8" t="n">
        <v>21.26</v>
      </c>
      <c r="N413" s="4" t="n">
        <v>18.19</v>
      </c>
    </row>
    <row r="414">
      <c r="A414" s="2" t="inlineStr">
        <is>
          <t>HEN0331</t>
        </is>
      </c>
      <c r="B414" s="8" t="inlineStr">
        <is>
          <t>2027-08-01 00:00:00</t>
        </is>
      </c>
      <c r="C414" s="8" t="n">
        <v>15.34</v>
      </c>
      <c r="D414" s="8" t="n">
        <v>19.24</v>
      </c>
      <c r="E414" s="8" t="n">
        <v>20.24</v>
      </c>
      <c r="F414" s="8" t="n">
        <v>18.66</v>
      </c>
      <c r="G414" s="8" t="n">
        <v>21.38</v>
      </c>
      <c r="H414" s="8" t="n">
        <v>19.33</v>
      </c>
      <c r="I414" s="8" t="n">
        <v>17.27</v>
      </c>
      <c r="J414" s="8" t="n">
        <v>16.87</v>
      </c>
      <c r="K414" s="8" t="n">
        <v>19.64</v>
      </c>
      <c r="L414" s="8" t="n">
        <v>18.26</v>
      </c>
      <c r="M414" s="8" t="n">
        <v>21.44</v>
      </c>
      <c r="N414" s="4" t="n">
        <v>18.94</v>
      </c>
    </row>
    <row r="415">
      <c r="A415" s="2" t="inlineStr">
        <is>
          <t>HEN0331</t>
        </is>
      </c>
      <c r="B415" s="8" t="inlineStr">
        <is>
          <t>2027-09-01 00:00:00</t>
        </is>
      </c>
      <c r="C415" s="8" t="n">
        <v>11.01</v>
      </c>
      <c r="D415" s="8" t="n">
        <v>19.04</v>
      </c>
      <c r="E415" s="8" t="n">
        <v>23.51</v>
      </c>
      <c r="F415" s="8" t="n">
        <v>20.32</v>
      </c>
      <c r="G415" s="8" t="n">
        <v>26.84</v>
      </c>
      <c r="H415" s="8" t="n">
        <v>19.8</v>
      </c>
      <c r="I415" s="8" t="n">
        <v>9.4</v>
      </c>
      <c r="J415" s="8" t="n">
        <v>10.36</v>
      </c>
      <c r="K415" s="8" t="n">
        <v>15.36</v>
      </c>
      <c r="L415" s="8" t="n">
        <v>13.62</v>
      </c>
      <c r="M415" s="8" t="n">
        <v>19.87</v>
      </c>
      <c r="N415" s="4" t="n">
        <v>16.15</v>
      </c>
    </row>
    <row r="416">
      <c r="A416" s="2" t="inlineStr">
        <is>
          <t>HEN0331</t>
        </is>
      </c>
      <c r="B416" s="8" t="inlineStr">
        <is>
          <t>2027-10-01 00:00:00</t>
        </is>
      </c>
      <c r="C416" s="8" t="n">
        <v>6.25</v>
      </c>
      <c r="D416" s="8" t="n">
        <v>8.42</v>
      </c>
      <c r="E416" s="8" t="n">
        <v>9.869999999999999</v>
      </c>
      <c r="F416" s="8" t="n">
        <v>8.460000000000001</v>
      </c>
      <c r="G416" s="8" t="n">
        <v>10.05</v>
      </c>
      <c r="H416" s="8" t="n">
        <v>9.960000000000001</v>
      </c>
      <c r="I416" s="8" t="n">
        <v>7.05</v>
      </c>
      <c r="J416" s="8" t="n">
        <v>6.96</v>
      </c>
      <c r="K416" s="8" t="n">
        <v>7.84</v>
      </c>
      <c r="L416" s="8" t="n">
        <v>6.75</v>
      </c>
      <c r="M416" s="8" t="n">
        <v>8.449999999999999</v>
      </c>
      <c r="N416" s="4" t="n">
        <v>8.17</v>
      </c>
    </row>
    <row r="417">
      <c r="A417" s="2" t="inlineStr">
        <is>
          <t>HEN0331</t>
        </is>
      </c>
      <c r="B417" s="8" t="inlineStr">
        <is>
          <t>2027-11-01 00:00:00</t>
        </is>
      </c>
      <c r="C417" s="8" t="n">
        <v>5.07</v>
      </c>
      <c r="D417" s="8" t="n">
        <v>7.8</v>
      </c>
      <c r="E417" s="8" t="n">
        <v>11.24</v>
      </c>
      <c r="F417" s="8" t="n">
        <v>10.5</v>
      </c>
      <c r="G417" s="8" t="n">
        <v>11.14</v>
      </c>
      <c r="H417" s="8" t="n">
        <v>9.06</v>
      </c>
      <c r="I417" s="8" t="n">
        <v>5.03</v>
      </c>
      <c r="J417" s="8" t="n">
        <v>4.5</v>
      </c>
      <c r="K417" s="8" t="n">
        <v>7.39</v>
      </c>
      <c r="L417" s="8" t="n">
        <v>6.44</v>
      </c>
      <c r="M417" s="8" t="n">
        <v>7.35</v>
      </c>
      <c r="N417" s="4" t="n">
        <v>6.97</v>
      </c>
    </row>
    <row r="418">
      <c r="A418" s="2" t="inlineStr">
        <is>
          <t>HEN0331</t>
        </is>
      </c>
      <c r="B418" s="8" t="inlineStr">
        <is>
          <t>2027-12-01 00:00:00</t>
        </is>
      </c>
      <c r="C418" s="8" t="n">
        <v>6.34</v>
      </c>
      <c r="D418" s="8" t="n">
        <v>6.97</v>
      </c>
      <c r="E418" s="8" t="n">
        <v>11.41</v>
      </c>
      <c r="F418" s="8" t="n">
        <v>10.54</v>
      </c>
      <c r="G418" s="8" t="n">
        <v>10.1</v>
      </c>
      <c r="H418" s="8" t="n">
        <v>8.300000000000001</v>
      </c>
      <c r="I418" s="8" t="n">
        <v>6.04</v>
      </c>
      <c r="J418" s="8" t="n">
        <v>5.65</v>
      </c>
      <c r="K418" s="8" t="n">
        <v>7.89</v>
      </c>
      <c r="L418" s="8" t="n">
        <v>7.72</v>
      </c>
      <c r="M418" s="8" t="n">
        <v>8.300000000000001</v>
      </c>
      <c r="N418" s="4" t="n">
        <v>7.34</v>
      </c>
    </row>
    <row r="419">
      <c r="A419" s="2" t="inlineStr">
        <is>
          <t>HEN0331</t>
        </is>
      </c>
      <c r="B419" s="8" t="inlineStr">
        <is>
          <t>2028-01-01 00:00:00</t>
        </is>
      </c>
      <c r="C419" s="8" t="n">
        <v>11.25</v>
      </c>
      <c r="D419" s="8" t="n">
        <v>11.87</v>
      </c>
      <c r="E419" s="8" t="n">
        <v>15.36</v>
      </c>
      <c r="F419" s="8" t="n">
        <v>16.53</v>
      </c>
      <c r="G419" s="8" t="n">
        <v>17.36</v>
      </c>
      <c r="H419" s="8" t="n">
        <v>15</v>
      </c>
      <c r="I419" s="8" t="n">
        <v>8.57</v>
      </c>
      <c r="J419" s="8" t="n">
        <v>7.47</v>
      </c>
      <c r="K419" s="8" t="n">
        <v>9.66</v>
      </c>
      <c r="L419" s="8" t="n">
        <v>10.09</v>
      </c>
      <c r="M419" s="8" t="n">
        <v>11.92</v>
      </c>
      <c r="N419" s="4" t="n">
        <v>10.75</v>
      </c>
    </row>
    <row r="420">
      <c r="A420" s="2" t="inlineStr">
        <is>
          <t>HEN0331</t>
        </is>
      </c>
      <c r="B420" s="8" t="inlineStr">
        <is>
          <t>2028-02-01 00:00:00</t>
        </is>
      </c>
      <c r="C420" s="8" t="n">
        <v>10.05</v>
      </c>
      <c r="D420" s="8" t="n">
        <v>12.12</v>
      </c>
      <c r="E420" s="8" t="n">
        <v>15.02</v>
      </c>
      <c r="F420" s="8" t="n">
        <v>14.53</v>
      </c>
      <c r="G420" s="8" t="n">
        <v>16.21</v>
      </c>
      <c r="H420" s="8" t="n">
        <v>14.12</v>
      </c>
      <c r="I420" s="8" t="n">
        <v>8.880000000000001</v>
      </c>
      <c r="J420" s="8" t="n">
        <v>7.45</v>
      </c>
      <c r="K420" s="8" t="n">
        <v>11.03</v>
      </c>
      <c r="L420" s="8" t="n">
        <v>11.25</v>
      </c>
      <c r="M420" s="8" t="n">
        <v>13.11</v>
      </c>
      <c r="N420" s="4" t="n">
        <v>11.66</v>
      </c>
    </row>
    <row r="421">
      <c r="A421" s="2" t="inlineStr">
        <is>
          <t>HEN0331</t>
        </is>
      </c>
      <c r="B421" s="8" t="inlineStr">
        <is>
          <t>2028-03-01 00:00:00</t>
        </is>
      </c>
      <c r="C421" s="8" t="n">
        <v>10.3</v>
      </c>
      <c r="D421" s="8" t="n">
        <v>12.6</v>
      </c>
      <c r="E421" s="8" t="n">
        <v>14.3</v>
      </c>
      <c r="F421" s="8" t="n">
        <v>13.57</v>
      </c>
      <c r="G421" s="8" t="n">
        <v>14.39</v>
      </c>
      <c r="H421" s="8" t="n">
        <v>13.11</v>
      </c>
      <c r="I421" s="8" t="n">
        <v>10.12</v>
      </c>
      <c r="J421" s="8" t="n">
        <v>9.890000000000001</v>
      </c>
      <c r="K421" s="8" t="n">
        <v>12.97</v>
      </c>
      <c r="L421" s="8" t="n">
        <v>11.96</v>
      </c>
      <c r="M421" s="8" t="n">
        <v>13.16</v>
      </c>
      <c r="N421" s="4" t="n">
        <v>12.15</v>
      </c>
    </row>
    <row r="422">
      <c r="A422" s="2" t="inlineStr">
        <is>
          <t>HEN0331</t>
        </is>
      </c>
      <c r="B422" s="8" t="inlineStr">
        <is>
          <t>2028-04-01 00:00:00</t>
        </is>
      </c>
      <c r="C422" s="8" t="n">
        <v>15.7</v>
      </c>
      <c r="D422" s="8" t="n">
        <v>18.25</v>
      </c>
      <c r="E422" s="8" t="n">
        <v>19.51</v>
      </c>
      <c r="F422" s="8" t="n">
        <v>19.65</v>
      </c>
      <c r="G422" s="8" t="n">
        <v>21.6</v>
      </c>
      <c r="H422" s="8" t="n">
        <v>18.54</v>
      </c>
      <c r="I422" s="8" t="n">
        <v>13.38</v>
      </c>
      <c r="J422" s="8" t="n">
        <v>13.75</v>
      </c>
      <c r="K422" s="8" t="n">
        <v>17.41</v>
      </c>
      <c r="L422" s="8" t="n">
        <v>15.69</v>
      </c>
      <c r="M422" s="8" t="n">
        <v>18.47</v>
      </c>
      <c r="N422" s="4" t="n">
        <v>16.19</v>
      </c>
    </row>
    <row r="423">
      <c r="A423" s="2" t="inlineStr">
        <is>
          <t>HEN0331</t>
        </is>
      </c>
      <c r="B423" s="8" t="inlineStr">
        <is>
          <t>2028-05-01 00:00:00</t>
        </is>
      </c>
      <c r="C423" s="8" t="n">
        <v>14.12</v>
      </c>
      <c r="D423" s="8" t="n">
        <v>18.72</v>
      </c>
      <c r="E423" s="8" t="n">
        <v>21.66</v>
      </c>
      <c r="F423" s="8" t="n">
        <v>18.37</v>
      </c>
      <c r="G423" s="8" t="n">
        <v>23.5</v>
      </c>
      <c r="H423" s="8" t="n">
        <v>17.25</v>
      </c>
      <c r="I423" s="8" t="n">
        <v>14.33</v>
      </c>
      <c r="J423" s="8" t="n">
        <v>14.62</v>
      </c>
      <c r="K423" s="8" t="n">
        <v>15.74</v>
      </c>
      <c r="L423" s="8" t="n">
        <v>15.06</v>
      </c>
      <c r="M423" s="8" t="n">
        <v>17.2</v>
      </c>
      <c r="N423" s="4" t="n">
        <v>15.53</v>
      </c>
    </row>
    <row r="424">
      <c r="A424" s="2" t="inlineStr">
        <is>
          <t>HEN0331</t>
        </is>
      </c>
      <c r="B424" s="8" t="inlineStr">
        <is>
          <t>2028-06-01 00:00:00</t>
        </is>
      </c>
      <c r="C424" s="8" t="n">
        <v>14.82</v>
      </c>
      <c r="D424" s="8" t="n">
        <v>18.85</v>
      </c>
      <c r="E424" s="8" t="n">
        <v>27.16</v>
      </c>
      <c r="F424" s="8" t="n">
        <v>18.79</v>
      </c>
      <c r="G424" s="8" t="n">
        <v>28.27</v>
      </c>
      <c r="H424" s="8" t="n">
        <v>18.34</v>
      </c>
      <c r="I424" s="8" t="n">
        <v>13.52</v>
      </c>
      <c r="J424" s="8" t="n">
        <v>12.9</v>
      </c>
      <c r="K424" s="8" t="n">
        <v>15.91</v>
      </c>
      <c r="L424" s="8" t="n">
        <v>15.1</v>
      </c>
      <c r="M424" s="8" t="n">
        <v>18.78</v>
      </c>
      <c r="N424" s="4" t="n">
        <v>17.26</v>
      </c>
    </row>
    <row r="425">
      <c r="A425" s="2" t="inlineStr">
        <is>
          <t>HEN0331</t>
        </is>
      </c>
      <c r="B425" s="8" t="inlineStr">
        <is>
          <t>2028-07-01 00:00:00</t>
        </is>
      </c>
      <c r="C425" s="8" t="n">
        <v>14.6</v>
      </c>
      <c r="D425" s="8" t="n">
        <v>17.76</v>
      </c>
      <c r="E425" s="8" t="n">
        <v>26.03</v>
      </c>
      <c r="F425" s="8" t="n">
        <v>19.56</v>
      </c>
      <c r="G425" s="8" t="n">
        <v>28.05</v>
      </c>
      <c r="H425" s="8" t="n">
        <v>18.64</v>
      </c>
      <c r="I425" s="8" t="n">
        <v>14.56</v>
      </c>
      <c r="J425" s="8" t="n">
        <v>13.99</v>
      </c>
      <c r="K425" s="8" t="n">
        <v>18.06</v>
      </c>
      <c r="L425" s="8" t="n">
        <v>15.53</v>
      </c>
      <c r="M425" s="8" t="n">
        <v>20.37</v>
      </c>
      <c r="N425" s="4" t="n">
        <v>17.43</v>
      </c>
    </row>
    <row r="426">
      <c r="A426" s="2" t="inlineStr">
        <is>
          <t>HEN0331</t>
        </is>
      </c>
      <c r="B426" s="8" t="inlineStr">
        <is>
          <t>2028-08-01 00:00:00</t>
        </is>
      </c>
      <c r="C426" s="8" t="n">
        <v>14.59</v>
      </c>
      <c r="D426" s="8" t="n">
        <v>18.29</v>
      </c>
      <c r="E426" s="8" t="n">
        <v>19.23</v>
      </c>
      <c r="F426" s="8" t="n">
        <v>17.74</v>
      </c>
      <c r="G426" s="8" t="n">
        <v>20.32</v>
      </c>
      <c r="H426" s="8" t="n">
        <v>18.37</v>
      </c>
      <c r="I426" s="8" t="n">
        <v>16.42</v>
      </c>
      <c r="J426" s="8" t="n">
        <v>16.04</v>
      </c>
      <c r="K426" s="8" t="n">
        <v>18.66</v>
      </c>
      <c r="L426" s="8" t="n">
        <v>17.36</v>
      </c>
      <c r="M426" s="8" t="n">
        <v>20.37</v>
      </c>
      <c r="N426" s="4" t="n">
        <v>18</v>
      </c>
    </row>
    <row r="427">
      <c r="A427" s="2" t="inlineStr">
        <is>
          <t>HEN0331</t>
        </is>
      </c>
      <c r="B427" s="8" t="inlineStr">
        <is>
          <t>2028-09-01 00:00:00</t>
        </is>
      </c>
      <c r="C427" s="8" t="n">
        <v>10.59</v>
      </c>
      <c r="D427" s="8" t="n">
        <v>18.29</v>
      </c>
      <c r="E427" s="8" t="n">
        <v>22.58</v>
      </c>
      <c r="F427" s="8" t="n">
        <v>19.52</v>
      </c>
      <c r="G427" s="8" t="n">
        <v>25.77</v>
      </c>
      <c r="H427" s="8" t="n">
        <v>19.02</v>
      </c>
      <c r="I427" s="8" t="n">
        <v>9.039999999999999</v>
      </c>
      <c r="J427" s="8" t="n">
        <v>9.970000000000001</v>
      </c>
      <c r="K427" s="8" t="n">
        <v>14.76</v>
      </c>
      <c r="L427" s="8" t="n">
        <v>13.09</v>
      </c>
      <c r="M427" s="8" t="n">
        <v>19.09</v>
      </c>
      <c r="N427" s="4" t="n">
        <v>15.52</v>
      </c>
    </row>
    <row r="428">
      <c r="A428" s="2" t="inlineStr">
        <is>
          <t>HEN0331</t>
        </is>
      </c>
      <c r="B428" s="8" t="inlineStr">
        <is>
          <t>2028-10-01 00:00:00</t>
        </is>
      </c>
      <c r="C428" s="8" t="n">
        <v>6.18</v>
      </c>
      <c r="D428" s="8" t="n">
        <v>8.32</v>
      </c>
      <c r="E428" s="8" t="n">
        <v>9.75</v>
      </c>
      <c r="F428" s="8" t="n">
        <v>8.35</v>
      </c>
      <c r="G428" s="8" t="n">
        <v>9.92</v>
      </c>
      <c r="H428" s="8" t="n">
        <v>9.83</v>
      </c>
      <c r="I428" s="8" t="n">
        <v>6.97</v>
      </c>
      <c r="J428" s="8" t="n">
        <v>6.88</v>
      </c>
      <c r="K428" s="8" t="n">
        <v>7.75</v>
      </c>
      <c r="L428" s="8" t="n">
        <v>6.67</v>
      </c>
      <c r="M428" s="8" t="n">
        <v>8.34</v>
      </c>
      <c r="N428" s="4" t="n">
        <v>8.07</v>
      </c>
    </row>
    <row r="429">
      <c r="A429" s="2" t="inlineStr">
        <is>
          <t>HEN0331</t>
        </is>
      </c>
      <c r="B429" s="8" t="inlineStr">
        <is>
          <t>2028-11-01 00:00:00</t>
        </is>
      </c>
      <c r="C429" s="8" t="n">
        <v>5.04</v>
      </c>
      <c r="D429" s="8" t="n">
        <v>7.75</v>
      </c>
      <c r="E429" s="8" t="n">
        <v>11.14</v>
      </c>
      <c r="F429" s="8" t="n">
        <v>10.42</v>
      </c>
      <c r="G429" s="8" t="n">
        <v>11.05</v>
      </c>
      <c r="H429" s="8" t="n">
        <v>8.99</v>
      </c>
      <c r="I429" s="8" t="n">
        <v>5</v>
      </c>
      <c r="J429" s="8" t="n">
        <v>4.47</v>
      </c>
      <c r="K429" s="8" t="n">
        <v>7.34</v>
      </c>
      <c r="L429" s="8" t="n">
        <v>6.39</v>
      </c>
      <c r="M429" s="8" t="n">
        <v>7.3</v>
      </c>
      <c r="N429" s="4" t="n">
        <v>6.92</v>
      </c>
    </row>
    <row r="430">
      <c r="A430" s="2" t="inlineStr">
        <is>
          <t>HEN0331</t>
        </is>
      </c>
      <c r="B430" s="8" t="inlineStr">
        <is>
          <t>2028-12-01 00:00:00</t>
        </is>
      </c>
      <c r="C430" s="8" t="n">
        <v>6.38</v>
      </c>
      <c r="D430" s="8" t="n">
        <v>7.02</v>
      </c>
      <c r="E430" s="8" t="n">
        <v>11.48</v>
      </c>
      <c r="F430" s="8" t="n">
        <v>10.61</v>
      </c>
      <c r="G430" s="8" t="n">
        <v>10.16</v>
      </c>
      <c r="H430" s="8" t="n">
        <v>8.35</v>
      </c>
      <c r="I430" s="8" t="n">
        <v>6.08</v>
      </c>
      <c r="J430" s="8" t="n">
        <v>5.69</v>
      </c>
      <c r="K430" s="8" t="n">
        <v>7.94</v>
      </c>
      <c r="L430" s="8" t="n">
        <v>7.77</v>
      </c>
      <c r="M430" s="8" t="n">
        <v>8.35</v>
      </c>
      <c r="N430" s="4" t="n">
        <v>7.38</v>
      </c>
    </row>
    <row r="431">
      <c r="A431" s="2" t="inlineStr">
        <is>
          <t>HEN0331</t>
        </is>
      </c>
      <c r="B431" s="8" t="inlineStr">
        <is>
          <t>2029-01-01 00:00:00</t>
        </is>
      </c>
      <c r="C431" s="8" t="n">
        <v>10.85</v>
      </c>
      <c r="D431" s="8" t="n">
        <v>11.44</v>
      </c>
      <c r="E431" s="8" t="n">
        <v>14.79</v>
      </c>
      <c r="F431" s="8" t="n">
        <v>15.92</v>
      </c>
      <c r="G431" s="8" t="n">
        <v>16.72</v>
      </c>
      <c r="H431" s="8" t="n">
        <v>14.45</v>
      </c>
      <c r="I431" s="8" t="n">
        <v>8.26</v>
      </c>
      <c r="J431" s="8" t="n">
        <v>7.21</v>
      </c>
      <c r="K431" s="8" t="n">
        <v>9.32</v>
      </c>
      <c r="L431" s="8" t="n">
        <v>9.720000000000001</v>
      </c>
      <c r="M431" s="8" t="n">
        <v>11.48</v>
      </c>
      <c r="N431" s="4" t="n">
        <v>10.36</v>
      </c>
    </row>
    <row r="432">
      <c r="A432" s="2" t="inlineStr">
        <is>
          <t>HEN0331</t>
        </is>
      </c>
      <c r="B432" s="8" t="inlineStr">
        <is>
          <t>2029-02-01 00:00:00</t>
        </is>
      </c>
      <c r="C432" s="8" t="n">
        <v>9.94</v>
      </c>
      <c r="D432" s="8" t="n">
        <v>11.98</v>
      </c>
      <c r="E432" s="8" t="n">
        <v>14.85</v>
      </c>
      <c r="F432" s="8" t="n">
        <v>14.37</v>
      </c>
      <c r="G432" s="8" t="n">
        <v>16.03</v>
      </c>
      <c r="H432" s="8" t="n">
        <v>13.96</v>
      </c>
      <c r="I432" s="8" t="n">
        <v>8.779999999999999</v>
      </c>
      <c r="J432" s="8" t="n">
        <v>7.37</v>
      </c>
      <c r="K432" s="8" t="n">
        <v>10.91</v>
      </c>
      <c r="L432" s="8" t="n">
        <v>11.12</v>
      </c>
      <c r="M432" s="8" t="n">
        <v>12.96</v>
      </c>
      <c r="N432" s="4" t="n">
        <v>11.53</v>
      </c>
    </row>
    <row r="433">
      <c r="A433" s="2" t="inlineStr">
        <is>
          <t>HEN0331</t>
        </is>
      </c>
      <c r="B433" s="8" t="inlineStr">
        <is>
          <t>2029-03-01 00:00:00</t>
        </is>
      </c>
      <c r="C433" s="8" t="n">
        <v>10.23</v>
      </c>
      <c r="D433" s="8" t="n">
        <v>12.51</v>
      </c>
      <c r="E433" s="8" t="n">
        <v>14.2</v>
      </c>
      <c r="F433" s="8" t="n">
        <v>13.47</v>
      </c>
      <c r="G433" s="8" t="n">
        <v>14.28</v>
      </c>
      <c r="H433" s="8" t="n">
        <v>13.01</v>
      </c>
      <c r="I433" s="8" t="n">
        <v>10.05</v>
      </c>
      <c r="J433" s="8" t="n">
        <v>9.82</v>
      </c>
      <c r="K433" s="8" t="n">
        <v>12.88</v>
      </c>
      <c r="L433" s="8" t="n">
        <v>11.88</v>
      </c>
      <c r="M433" s="8" t="n">
        <v>13.07</v>
      </c>
      <c r="N433" s="4" t="n">
        <v>12.07</v>
      </c>
    </row>
    <row r="434">
      <c r="A434" s="2" t="inlineStr">
        <is>
          <t>HEN0331</t>
        </is>
      </c>
      <c r="B434" s="8" t="inlineStr">
        <is>
          <t>2029-04-01 00:00:00</t>
        </is>
      </c>
      <c r="C434" s="8" t="n">
        <v>15.39</v>
      </c>
      <c r="D434" s="8" t="n">
        <v>17.89</v>
      </c>
      <c r="E434" s="8" t="n">
        <v>19.13</v>
      </c>
      <c r="F434" s="8" t="n">
        <v>19.27</v>
      </c>
      <c r="G434" s="8" t="n">
        <v>21.17</v>
      </c>
      <c r="H434" s="8" t="n">
        <v>18.18</v>
      </c>
      <c r="I434" s="8" t="n">
        <v>13.12</v>
      </c>
      <c r="J434" s="8" t="n">
        <v>13.49</v>
      </c>
      <c r="K434" s="8" t="n">
        <v>17.07</v>
      </c>
      <c r="L434" s="8" t="n">
        <v>15.39</v>
      </c>
      <c r="M434" s="8" t="n">
        <v>18.11</v>
      </c>
      <c r="N434" s="4" t="n">
        <v>15.88</v>
      </c>
    </row>
    <row r="435">
      <c r="A435" s="2" t="inlineStr">
        <is>
          <t>HEN0331</t>
        </is>
      </c>
      <c r="B435" s="8" t="inlineStr">
        <is>
          <t>2029-05-01 00:00:00</t>
        </is>
      </c>
      <c r="C435" s="8" t="n">
        <v>14.01</v>
      </c>
      <c r="D435" s="8" t="n">
        <v>18.57</v>
      </c>
      <c r="E435" s="8" t="n">
        <v>21.49</v>
      </c>
      <c r="F435" s="8" t="n">
        <v>18.23</v>
      </c>
      <c r="G435" s="8" t="n">
        <v>23.31</v>
      </c>
      <c r="H435" s="8" t="n">
        <v>17.12</v>
      </c>
      <c r="I435" s="8" t="n">
        <v>14.22</v>
      </c>
      <c r="J435" s="8" t="n">
        <v>14.5</v>
      </c>
      <c r="K435" s="8" t="n">
        <v>15.61</v>
      </c>
      <c r="L435" s="8" t="n">
        <v>14.94</v>
      </c>
      <c r="M435" s="8" t="n">
        <v>17.06</v>
      </c>
      <c r="N435" s="4" t="n">
        <v>15.41</v>
      </c>
    </row>
    <row r="436">
      <c r="A436" s="2" t="inlineStr">
        <is>
          <t>HEN0331</t>
        </is>
      </c>
      <c r="B436" s="8" t="inlineStr">
        <is>
          <t>2029-06-01 00:00:00</t>
        </is>
      </c>
      <c r="C436" s="8" t="n">
        <v>14.8</v>
      </c>
      <c r="D436" s="8" t="n">
        <v>18.82</v>
      </c>
      <c r="E436" s="8" t="n">
        <v>27.13</v>
      </c>
      <c r="F436" s="8" t="n">
        <v>18.76</v>
      </c>
      <c r="G436" s="8" t="n">
        <v>28.24</v>
      </c>
      <c r="H436" s="8" t="n">
        <v>18.31</v>
      </c>
      <c r="I436" s="8" t="n">
        <v>13.5</v>
      </c>
      <c r="J436" s="8" t="n">
        <v>12.88</v>
      </c>
      <c r="K436" s="8" t="n">
        <v>15.89</v>
      </c>
      <c r="L436" s="8" t="n">
        <v>15.08</v>
      </c>
      <c r="M436" s="8" t="n">
        <v>18.75</v>
      </c>
      <c r="N436" s="4" t="n">
        <v>17.24</v>
      </c>
    </row>
    <row r="437">
      <c r="A437" s="2" t="inlineStr">
        <is>
          <t>HEN0331</t>
        </is>
      </c>
      <c r="B437" s="8" t="inlineStr">
        <is>
          <t>2029-07-01 00:00:00</t>
        </is>
      </c>
      <c r="C437" s="8" t="n">
        <v>14.18</v>
      </c>
      <c r="D437" s="8" t="n">
        <v>17.25</v>
      </c>
      <c r="E437" s="8" t="n">
        <v>25.44</v>
      </c>
      <c r="F437" s="8" t="n">
        <v>18.99</v>
      </c>
      <c r="G437" s="8" t="n">
        <v>27.4</v>
      </c>
      <c r="H437" s="8" t="n">
        <v>18.1</v>
      </c>
      <c r="I437" s="8" t="n">
        <v>14.14</v>
      </c>
      <c r="J437" s="8" t="n">
        <v>13.6</v>
      </c>
      <c r="K437" s="8" t="n">
        <v>17.54</v>
      </c>
      <c r="L437" s="8" t="n">
        <v>15.08</v>
      </c>
      <c r="M437" s="8" t="n">
        <v>19.77</v>
      </c>
      <c r="N437" s="4" t="n">
        <v>16.92</v>
      </c>
    </row>
    <row r="438">
      <c r="A438" s="2" t="inlineStr">
        <is>
          <t>HEN0331</t>
        </is>
      </c>
      <c r="B438" s="8" t="inlineStr">
        <is>
          <t>2029-08-01 00:00:00</t>
        </is>
      </c>
      <c r="C438" s="8" t="n">
        <v>14.23</v>
      </c>
      <c r="D438" s="8" t="n">
        <v>17.82</v>
      </c>
      <c r="E438" s="8" t="n">
        <v>18.75</v>
      </c>
      <c r="F438" s="8" t="n">
        <v>17.29</v>
      </c>
      <c r="G438" s="8" t="n">
        <v>19.8</v>
      </c>
      <c r="H438" s="8" t="n">
        <v>17.91</v>
      </c>
      <c r="I438" s="8" t="n">
        <v>16.01</v>
      </c>
      <c r="J438" s="8" t="n">
        <v>15.64</v>
      </c>
      <c r="K438" s="8" t="n">
        <v>18.19</v>
      </c>
      <c r="L438" s="8" t="n">
        <v>16.92</v>
      </c>
      <c r="M438" s="8" t="n">
        <v>19.86</v>
      </c>
      <c r="N438" s="4" t="n">
        <v>17.55</v>
      </c>
    </row>
    <row r="439">
      <c r="A439" s="2" t="inlineStr">
        <is>
          <t>HEN0331</t>
        </is>
      </c>
      <c r="B439" s="8" t="inlineStr">
        <is>
          <t>2029-09-01 00:00:00</t>
        </is>
      </c>
      <c r="C439" s="8" t="n">
        <v>10.44</v>
      </c>
      <c r="D439" s="8" t="n">
        <v>18.01</v>
      </c>
      <c r="E439" s="8" t="n">
        <v>22.23</v>
      </c>
      <c r="F439" s="8" t="n">
        <v>19.22</v>
      </c>
      <c r="G439" s="8" t="n">
        <v>25.38</v>
      </c>
      <c r="H439" s="8" t="n">
        <v>18.73</v>
      </c>
      <c r="I439" s="8" t="n">
        <v>8.91</v>
      </c>
      <c r="J439" s="8" t="n">
        <v>9.82</v>
      </c>
      <c r="K439" s="8" t="n">
        <v>14.54</v>
      </c>
      <c r="L439" s="8" t="n">
        <v>12.89</v>
      </c>
      <c r="M439" s="8" t="n">
        <v>18.8</v>
      </c>
      <c r="N439" s="4" t="n">
        <v>15.29</v>
      </c>
    </row>
    <row r="440">
      <c r="A440" s="2" t="inlineStr">
        <is>
          <t>HEN0331</t>
        </is>
      </c>
      <c r="B440" s="8" t="inlineStr">
        <is>
          <t>2029-10-01 00:00:00</t>
        </is>
      </c>
      <c r="C440" s="8" t="n">
        <v>6.02</v>
      </c>
      <c r="D440" s="8" t="n">
        <v>8.1</v>
      </c>
      <c r="E440" s="8" t="n">
        <v>9.48</v>
      </c>
      <c r="F440" s="8" t="n">
        <v>8.130000000000001</v>
      </c>
      <c r="G440" s="8" t="n">
        <v>9.65</v>
      </c>
      <c r="H440" s="8" t="n">
        <v>9.57</v>
      </c>
      <c r="I440" s="8" t="n">
        <v>6.79</v>
      </c>
      <c r="J440" s="8" t="n">
        <v>6.7</v>
      </c>
      <c r="K440" s="8" t="n">
        <v>7.54</v>
      </c>
      <c r="L440" s="8" t="n">
        <v>6.5</v>
      </c>
      <c r="M440" s="8" t="n">
        <v>8.119999999999999</v>
      </c>
      <c r="N440" s="4" t="n">
        <v>7.85</v>
      </c>
    </row>
    <row r="441">
      <c r="A441" s="2" t="inlineStr">
        <is>
          <t>HEN0331</t>
        </is>
      </c>
      <c r="B441" s="8" t="inlineStr">
        <is>
          <t>2029-11-01 00:00:00</t>
        </is>
      </c>
      <c r="C441" s="8" t="n">
        <v>4.93</v>
      </c>
      <c r="D441" s="8" t="n">
        <v>7.58</v>
      </c>
      <c r="E441" s="8" t="n">
        <v>10.9</v>
      </c>
      <c r="F441" s="8" t="n">
        <v>10.19</v>
      </c>
      <c r="G441" s="8" t="n">
        <v>10.8</v>
      </c>
      <c r="H441" s="8" t="n">
        <v>8.789999999999999</v>
      </c>
      <c r="I441" s="8" t="n">
        <v>4.89</v>
      </c>
      <c r="J441" s="8" t="n">
        <v>4.38</v>
      </c>
      <c r="K441" s="8" t="n">
        <v>7.18</v>
      </c>
      <c r="L441" s="8" t="n">
        <v>6.25</v>
      </c>
      <c r="M441" s="8" t="n">
        <v>7.14</v>
      </c>
      <c r="N441" s="4" t="n">
        <v>6.77</v>
      </c>
    </row>
    <row r="442">
      <c r="A442" s="2" t="inlineStr">
        <is>
          <t>HEN0331</t>
        </is>
      </c>
      <c r="B442" s="8" t="inlineStr">
        <is>
          <t>2029-12-01 00:00:00</t>
        </is>
      </c>
      <c r="C442" s="8" t="n">
        <v>6.25</v>
      </c>
      <c r="D442" s="8" t="n">
        <v>6.86</v>
      </c>
      <c r="E442" s="8" t="n">
        <v>11.22</v>
      </c>
      <c r="F442" s="8" t="n">
        <v>10.37</v>
      </c>
      <c r="G442" s="8" t="n">
        <v>9.93</v>
      </c>
      <c r="H442" s="8" t="n">
        <v>8.16</v>
      </c>
      <c r="I442" s="8" t="n">
        <v>5.95</v>
      </c>
      <c r="J442" s="8" t="n">
        <v>5.57</v>
      </c>
      <c r="K442" s="8" t="n">
        <v>7.77</v>
      </c>
      <c r="L442" s="8" t="n">
        <v>7.6</v>
      </c>
      <c r="M442" s="8" t="n">
        <v>8.17</v>
      </c>
      <c r="N442" s="4" t="n">
        <v>7.22</v>
      </c>
    </row>
    <row r="443">
      <c r="A443" s="2" t="inlineStr">
        <is>
          <t>HEN0331</t>
        </is>
      </c>
      <c r="B443" s="8" t="inlineStr">
        <is>
          <t>2030-01-01 00:00:00</t>
        </is>
      </c>
      <c r="C443" s="8" t="n">
        <v>10.85</v>
      </c>
      <c r="D443" s="8" t="n">
        <v>11.44</v>
      </c>
      <c r="E443" s="8" t="n">
        <v>14.79</v>
      </c>
      <c r="F443" s="8" t="n">
        <v>15.92</v>
      </c>
      <c r="G443" s="8" t="n">
        <v>16.72</v>
      </c>
      <c r="H443" s="8" t="n">
        <v>14.45</v>
      </c>
      <c r="I443" s="8" t="n">
        <v>8.26</v>
      </c>
      <c r="J443" s="8" t="n">
        <v>7.21</v>
      </c>
      <c r="K443" s="8" t="n">
        <v>9.32</v>
      </c>
      <c r="L443" s="8" t="n">
        <v>9.720000000000001</v>
      </c>
      <c r="M443" s="8" t="n">
        <v>11.48</v>
      </c>
      <c r="N443" s="4" t="n">
        <v>10.36</v>
      </c>
    </row>
    <row r="444">
      <c r="A444" s="2" t="inlineStr">
        <is>
          <t>HEN0331</t>
        </is>
      </c>
      <c r="B444" s="8" t="inlineStr">
        <is>
          <t>2030-02-01 00:00:00</t>
        </is>
      </c>
      <c r="C444" s="8" t="n">
        <v>9.94</v>
      </c>
      <c r="D444" s="8" t="n">
        <v>11.98</v>
      </c>
      <c r="E444" s="8" t="n">
        <v>14.85</v>
      </c>
      <c r="F444" s="8" t="n">
        <v>14.37</v>
      </c>
      <c r="G444" s="8" t="n">
        <v>16.03</v>
      </c>
      <c r="H444" s="8" t="n">
        <v>13.96</v>
      </c>
      <c r="I444" s="8" t="n">
        <v>8.779999999999999</v>
      </c>
      <c r="J444" s="8" t="n">
        <v>7.37</v>
      </c>
      <c r="K444" s="8" t="n">
        <v>10.91</v>
      </c>
      <c r="L444" s="8" t="n">
        <v>11.12</v>
      </c>
      <c r="M444" s="8" t="n">
        <v>12.96</v>
      </c>
      <c r="N444" s="4" t="n">
        <v>11.53</v>
      </c>
    </row>
    <row r="445">
      <c r="A445" s="2" t="inlineStr">
        <is>
          <t>HEN0331</t>
        </is>
      </c>
      <c r="B445" s="8" t="inlineStr">
        <is>
          <t>2030-03-01 00:00:00</t>
        </is>
      </c>
      <c r="C445" s="8" t="n">
        <v>10.23</v>
      </c>
      <c r="D445" s="8" t="n">
        <v>12.51</v>
      </c>
      <c r="E445" s="8" t="n">
        <v>14.2</v>
      </c>
      <c r="F445" s="8" t="n">
        <v>13.47</v>
      </c>
      <c r="G445" s="8" t="n">
        <v>14.28</v>
      </c>
      <c r="H445" s="8" t="n">
        <v>13.01</v>
      </c>
      <c r="I445" s="8" t="n">
        <v>10.05</v>
      </c>
      <c r="J445" s="8" t="n">
        <v>9.82</v>
      </c>
      <c r="K445" s="8" t="n">
        <v>12.88</v>
      </c>
      <c r="L445" s="8" t="n">
        <v>11.88</v>
      </c>
      <c r="M445" s="8" t="n">
        <v>13.07</v>
      </c>
      <c r="N445" s="4" t="n">
        <v>12.07</v>
      </c>
    </row>
    <row r="446">
      <c r="A446" s="2" t="inlineStr">
        <is>
          <t>HEN0331</t>
        </is>
      </c>
      <c r="B446" s="8" t="inlineStr">
        <is>
          <t>2030-04-01 00:00:00</t>
        </is>
      </c>
      <c r="C446" s="8" t="n">
        <v>15.39</v>
      </c>
      <c r="D446" s="8" t="n">
        <v>17.89</v>
      </c>
      <c r="E446" s="8" t="n">
        <v>19.13</v>
      </c>
      <c r="F446" s="8" t="n">
        <v>19.27</v>
      </c>
      <c r="G446" s="8" t="n">
        <v>21.17</v>
      </c>
      <c r="H446" s="8" t="n">
        <v>18.18</v>
      </c>
      <c r="I446" s="8" t="n">
        <v>13.12</v>
      </c>
      <c r="J446" s="8" t="n">
        <v>13.49</v>
      </c>
      <c r="K446" s="8" t="n">
        <v>17.07</v>
      </c>
      <c r="L446" s="8" t="n">
        <v>15.39</v>
      </c>
      <c r="M446" s="8" t="n">
        <v>18.11</v>
      </c>
      <c r="N446" s="4" t="n">
        <v>15.88</v>
      </c>
    </row>
    <row r="447">
      <c r="A447" s="2" t="inlineStr">
        <is>
          <t>HEN0331</t>
        </is>
      </c>
      <c r="B447" s="8" t="inlineStr">
        <is>
          <t>2030-05-01 00:00:00</t>
        </is>
      </c>
      <c r="C447" s="8" t="n">
        <v>14.01</v>
      </c>
      <c r="D447" s="8" t="n">
        <v>18.57</v>
      </c>
      <c r="E447" s="8" t="n">
        <v>21.49</v>
      </c>
      <c r="F447" s="8" t="n">
        <v>18.23</v>
      </c>
      <c r="G447" s="8" t="n">
        <v>23.31</v>
      </c>
      <c r="H447" s="8" t="n">
        <v>17.12</v>
      </c>
      <c r="I447" s="8" t="n">
        <v>14.22</v>
      </c>
      <c r="J447" s="8" t="n">
        <v>14.5</v>
      </c>
      <c r="K447" s="8" t="n">
        <v>15.61</v>
      </c>
      <c r="L447" s="8" t="n">
        <v>14.94</v>
      </c>
      <c r="M447" s="8" t="n">
        <v>17.06</v>
      </c>
      <c r="N447" s="4" t="n">
        <v>15.41</v>
      </c>
    </row>
    <row r="448">
      <c r="A448" s="2" t="inlineStr">
        <is>
          <t>HEN0331</t>
        </is>
      </c>
      <c r="B448" s="8" t="inlineStr">
        <is>
          <t>2030-06-01 00:00:00</t>
        </is>
      </c>
      <c r="C448" s="8" t="n">
        <v>14.8</v>
      </c>
      <c r="D448" s="8" t="n">
        <v>18.82</v>
      </c>
      <c r="E448" s="8" t="n">
        <v>27.13</v>
      </c>
      <c r="F448" s="8" t="n">
        <v>18.76</v>
      </c>
      <c r="G448" s="8" t="n">
        <v>28.24</v>
      </c>
      <c r="H448" s="8" t="n">
        <v>18.31</v>
      </c>
      <c r="I448" s="8" t="n">
        <v>13.5</v>
      </c>
      <c r="J448" s="8" t="n">
        <v>12.88</v>
      </c>
      <c r="K448" s="8" t="n">
        <v>15.89</v>
      </c>
      <c r="L448" s="8" t="n">
        <v>15.08</v>
      </c>
      <c r="M448" s="8" t="n">
        <v>18.75</v>
      </c>
      <c r="N448" s="4" t="n">
        <v>17.24</v>
      </c>
    </row>
    <row r="449">
      <c r="A449" s="2" t="inlineStr">
        <is>
          <t>HEN0331</t>
        </is>
      </c>
      <c r="B449" s="8" t="inlineStr">
        <is>
          <t>2030-07-01 00:00:00</t>
        </is>
      </c>
      <c r="C449" s="8" t="n">
        <v>14.18</v>
      </c>
      <c r="D449" s="8" t="n">
        <v>17.25</v>
      </c>
      <c r="E449" s="8" t="n">
        <v>25.44</v>
      </c>
      <c r="F449" s="8" t="n">
        <v>18.99</v>
      </c>
      <c r="G449" s="8" t="n">
        <v>27.4</v>
      </c>
      <c r="H449" s="8" t="n">
        <v>18.1</v>
      </c>
      <c r="I449" s="8" t="n">
        <v>14.14</v>
      </c>
      <c r="J449" s="8" t="n">
        <v>13.6</v>
      </c>
      <c r="K449" s="8" t="n">
        <v>17.54</v>
      </c>
      <c r="L449" s="8" t="n">
        <v>15.08</v>
      </c>
      <c r="M449" s="8" t="n">
        <v>19.77</v>
      </c>
      <c r="N449" s="4" t="n">
        <v>16.92</v>
      </c>
    </row>
    <row r="450">
      <c r="A450" s="2" t="inlineStr">
        <is>
          <t>HEN0331</t>
        </is>
      </c>
      <c r="B450" s="8" t="inlineStr">
        <is>
          <t>2030-08-01 00:00:00</t>
        </is>
      </c>
      <c r="C450" s="8" t="n">
        <v>14.23</v>
      </c>
      <c r="D450" s="8" t="n">
        <v>17.82</v>
      </c>
      <c r="E450" s="8" t="n">
        <v>18.75</v>
      </c>
      <c r="F450" s="8" t="n">
        <v>17.29</v>
      </c>
      <c r="G450" s="8" t="n">
        <v>19.8</v>
      </c>
      <c r="H450" s="8" t="n">
        <v>17.91</v>
      </c>
      <c r="I450" s="8" t="n">
        <v>16.01</v>
      </c>
      <c r="J450" s="8" t="n">
        <v>15.64</v>
      </c>
      <c r="K450" s="8" t="n">
        <v>18.19</v>
      </c>
      <c r="L450" s="8" t="n">
        <v>16.92</v>
      </c>
      <c r="M450" s="8" t="n">
        <v>19.86</v>
      </c>
      <c r="N450" s="4" t="n">
        <v>17.55</v>
      </c>
    </row>
    <row r="451">
      <c r="A451" s="2" t="inlineStr">
        <is>
          <t>HEN0331</t>
        </is>
      </c>
      <c r="B451" s="8" t="inlineStr">
        <is>
          <t>2030-09-01 00:00:00</t>
        </is>
      </c>
      <c r="C451" s="8" t="n">
        <v>10.44</v>
      </c>
      <c r="D451" s="8" t="n">
        <v>18.01</v>
      </c>
      <c r="E451" s="8" t="n">
        <v>22.23</v>
      </c>
      <c r="F451" s="8" t="n">
        <v>19.22</v>
      </c>
      <c r="G451" s="8" t="n">
        <v>25.38</v>
      </c>
      <c r="H451" s="8" t="n">
        <v>18.73</v>
      </c>
      <c r="I451" s="8" t="n">
        <v>8.91</v>
      </c>
      <c r="J451" s="8" t="n">
        <v>9.82</v>
      </c>
      <c r="K451" s="8" t="n">
        <v>14.54</v>
      </c>
      <c r="L451" s="8" t="n">
        <v>12.89</v>
      </c>
      <c r="M451" s="8" t="n">
        <v>18.8</v>
      </c>
      <c r="N451" s="4" t="n">
        <v>15.29</v>
      </c>
    </row>
    <row r="452">
      <c r="A452" s="2" t="inlineStr">
        <is>
          <t>HEN0331</t>
        </is>
      </c>
      <c r="B452" s="8" t="inlineStr">
        <is>
          <t>2030-10-01 00:00:00</t>
        </is>
      </c>
      <c r="C452" s="8" t="n">
        <v>6.02</v>
      </c>
      <c r="D452" s="8" t="n">
        <v>8.1</v>
      </c>
      <c r="E452" s="8" t="n">
        <v>9.48</v>
      </c>
      <c r="F452" s="8" t="n">
        <v>8.130000000000001</v>
      </c>
      <c r="G452" s="8" t="n">
        <v>9.65</v>
      </c>
      <c r="H452" s="8" t="n">
        <v>9.57</v>
      </c>
      <c r="I452" s="8" t="n">
        <v>6.79</v>
      </c>
      <c r="J452" s="8" t="n">
        <v>6.7</v>
      </c>
      <c r="K452" s="8" t="n">
        <v>7.54</v>
      </c>
      <c r="L452" s="8" t="n">
        <v>6.5</v>
      </c>
      <c r="M452" s="8" t="n">
        <v>8.119999999999999</v>
      </c>
      <c r="N452" s="4" t="n">
        <v>7.85</v>
      </c>
    </row>
    <row r="453">
      <c r="A453" s="2" t="inlineStr">
        <is>
          <t>HEN0331</t>
        </is>
      </c>
      <c r="B453" s="8" t="inlineStr">
        <is>
          <t>2030-11-01 00:00:00</t>
        </is>
      </c>
      <c r="C453" s="8" t="n">
        <v>4.93</v>
      </c>
      <c r="D453" s="8" t="n">
        <v>7.58</v>
      </c>
      <c r="E453" s="8" t="n">
        <v>10.9</v>
      </c>
      <c r="F453" s="8" t="n">
        <v>10.19</v>
      </c>
      <c r="G453" s="8" t="n">
        <v>10.8</v>
      </c>
      <c r="H453" s="8" t="n">
        <v>8.789999999999999</v>
      </c>
      <c r="I453" s="8" t="n">
        <v>4.89</v>
      </c>
      <c r="J453" s="8" t="n">
        <v>4.38</v>
      </c>
      <c r="K453" s="8" t="n">
        <v>7.18</v>
      </c>
      <c r="L453" s="8" t="n">
        <v>6.25</v>
      </c>
      <c r="M453" s="8" t="n">
        <v>7.14</v>
      </c>
      <c r="N453" s="4" t="n">
        <v>6.77</v>
      </c>
    </row>
    <row r="454">
      <c r="A454" s="2" t="inlineStr">
        <is>
          <t>HEN0331</t>
        </is>
      </c>
      <c r="B454" s="8" t="inlineStr">
        <is>
          <t>2030-12-01 00:00:00</t>
        </is>
      </c>
      <c r="C454" s="8" t="n">
        <v>6.25</v>
      </c>
      <c r="D454" s="8" t="n">
        <v>6.86</v>
      </c>
      <c r="E454" s="8" t="n">
        <v>11.22</v>
      </c>
      <c r="F454" s="8" t="n">
        <v>10.37</v>
      </c>
      <c r="G454" s="8" t="n">
        <v>9.93</v>
      </c>
      <c r="H454" s="8" t="n">
        <v>8.16</v>
      </c>
      <c r="I454" s="8" t="n">
        <v>5.95</v>
      </c>
      <c r="J454" s="8" t="n">
        <v>5.57</v>
      </c>
      <c r="K454" s="8" t="n">
        <v>7.77</v>
      </c>
      <c r="L454" s="8" t="n">
        <v>7.6</v>
      </c>
      <c r="M454" s="8" t="n">
        <v>8.17</v>
      </c>
      <c r="N454" s="4" t="n">
        <v>7.22</v>
      </c>
    </row>
    <row r="455">
      <c r="A455" s="2" t="inlineStr">
        <is>
          <t>HEN0331</t>
        </is>
      </c>
      <c r="B455" s="8" t="inlineStr">
        <is>
          <t>2031-01-01 00:00:00</t>
        </is>
      </c>
      <c r="C455" s="8" t="n">
        <v>10.85</v>
      </c>
      <c r="D455" s="8" t="n">
        <v>11.44</v>
      </c>
      <c r="E455" s="8" t="n">
        <v>14.79</v>
      </c>
      <c r="F455" s="8" t="n">
        <v>15.92</v>
      </c>
      <c r="G455" s="8" t="n">
        <v>16.72</v>
      </c>
      <c r="H455" s="8" t="n">
        <v>14.45</v>
      </c>
      <c r="I455" s="8" t="n">
        <v>8.26</v>
      </c>
      <c r="J455" s="8" t="n">
        <v>7.21</v>
      </c>
      <c r="K455" s="8" t="n">
        <v>9.32</v>
      </c>
      <c r="L455" s="8" t="n">
        <v>9.720000000000001</v>
      </c>
      <c r="M455" s="8" t="n">
        <v>11.48</v>
      </c>
      <c r="N455" s="4" t="n">
        <v>10.36</v>
      </c>
    </row>
    <row r="456">
      <c r="A456" s="2" t="inlineStr">
        <is>
          <t>HEN0331</t>
        </is>
      </c>
      <c r="B456" s="8" t="inlineStr">
        <is>
          <t>2031-02-01 00:00:00</t>
        </is>
      </c>
      <c r="C456" s="8" t="n">
        <v>9.94</v>
      </c>
      <c r="D456" s="8" t="n">
        <v>11.98</v>
      </c>
      <c r="E456" s="8" t="n">
        <v>14.85</v>
      </c>
      <c r="F456" s="8" t="n">
        <v>14.37</v>
      </c>
      <c r="G456" s="8" t="n">
        <v>16.03</v>
      </c>
      <c r="H456" s="8" t="n">
        <v>13.96</v>
      </c>
      <c r="I456" s="8" t="n">
        <v>8.779999999999999</v>
      </c>
      <c r="J456" s="8" t="n">
        <v>7.37</v>
      </c>
      <c r="K456" s="8" t="n">
        <v>10.91</v>
      </c>
      <c r="L456" s="8" t="n">
        <v>11.12</v>
      </c>
      <c r="M456" s="8" t="n">
        <v>12.96</v>
      </c>
      <c r="N456" s="4" t="n">
        <v>11.53</v>
      </c>
    </row>
    <row r="457">
      <c r="A457" s="2" t="inlineStr">
        <is>
          <t>HEN0331</t>
        </is>
      </c>
      <c r="B457" s="8" t="inlineStr">
        <is>
          <t>2031-03-01 00:00:00</t>
        </is>
      </c>
      <c r="C457" s="8" t="n">
        <v>10.23</v>
      </c>
      <c r="D457" s="8" t="n">
        <v>12.51</v>
      </c>
      <c r="E457" s="8" t="n">
        <v>14.2</v>
      </c>
      <c r="F457" s="8" t="n">
        <v>13.47</v>
      </c>
      <c r="G457" s="8" t="n">
        <v>14.28</v>
      </c>
      <c r="H457" s="8" t="n">
        <v>13.01</v>
      </c>
      <c r="I457" s="8" t="n">
        <v>10.05</v>
      </c>
      <c r="J457" s="8" t="n">
        <v>9.82</v>
      </c>
      <c r="K457" s="8" t="n">
        <v>12.88</v>
      </c>
      <c r="L457" s="8" t="n">
        <v>11.88</v>
      </c>
      <c r="M457" s="8" t="n">
        <v>13.07</v>
      </c>
      <c r="N457" s="4" t="n">
        <v>12.07</v>
      </c>
    </row>
    <row r="458">
      <c r="A458" s="2" t="inlineStr">
        <is>
          <t>HEN0331</t>
        </is>
      </c>
      <c r="B458" s="8" t="inlineStr">
        <is>
          <t>2031-04-01 00:00:00</t>
        </is>
      </c>
      <c r="C458" s="8" t="n">
        <v>15.39</v>
      </c>
      <c r="D458" s="8" t="n">
        <v>17.89</v>
      </c>
      <c r="E458" s="8" t="n">
        <v>19.13</v>
      </c>
      <c r="F458" s="8" t="n">
        <v>19.27</v>
      </c>
      <c r="G458" s="8" t="n">
        <v>21.17</v>
      </c>
      <c r="H458" s="8" t="n">
        <v>18.18</v>
      </c>
      <c r="I458" s="8" t="n">
        <v>13.12</v>
      </c>
      <c r="J458" s="8" t="n">
        <v>13.49</v>
      </c>
      <c r="K458" s="8" t="n">
        <v>17.07</v>
      </c>
      <c r="L458" s="8" t="n">
        <v>15.39</v>
      </c>
      <c r="M458" s="8" t="n">
        <v>18.11</v>
      </c>
      <c r="N458" s="4" t="n">
        <v>15.88</v>
      </c>
    </row>
    <row r="459">
      <c r="A459" s="2" t="inlineStr">
        <is>
          <t>HEN0331</t>
        </is>
      </c>
      <c r="B459" s="8" t="inlineStr">
        <is>
          <t>2031-05-01 00:00:00</t>
        </is>
      </c>
      <c r="C459" s="8" t="n">
        <v>14.01</v>
      </c>
      <c r="D459" s="8" t="n">
        <v>18.57</v>
      </c>
      <c r="E459" s="8" t="n">
        <v>21.49</v>
      </c>
      <c r="F459" s="8" t="n">
        <v>18.23</v>
      </c>
      <c r="G459" s="8" t="n">
        <v>23.31</v>
      </c>
      <c r="H459" s="8" t="n">
        <v>17.12</v>
      </c>
      <c r="I459" s="8" t="n">
        <v>14.22</v>
      </c>
      <c r="J459" s="8" t="n">
        <v>14.5</v>
      </c>
      <c r="K459" s="8" t="n">
        <v>15.61</v>
      </c>
      <c r="L459" s="8" t="n">
        <v>14.94</v>
      </c>
      <c r="M459" s="8" t="n">
        <v>17.06</v>
      </c>
      <c r="N459" s="4" t="n">
        <v>15.41</v>
      </c>
    </row>
    <row r="460">
      <c r="A460" s="2" t="inlineStr">
        <is>
          <t>HEN0331</t>
        </is>
      </c>
      <c r="B460" s="8" t="inlineStr">
        <is>
          <t>2031-06-01 00:00:00</t>
        </is>
      </c>
      <c r="C460" s="8" t="n">
        <v>14.8</v>
      </c>
      <c r="D460" s="8" t="n">
        <v>18.82</v>
      </c>
      <c r="E460" s="8" t="n">
        <v>27.13</v>
      </c>
      <c r="F460" s="8" t="n">
        <v>18.76</v>
      </c>
      <c r="G460" s="8" t="n">
        <v>28.24</v>
      </c>
      <c r="H460" s="8" t="n">
        <v>18.31</v>
      </c>
      <c r="I460" s="8" t="n">
        <v>13.5</v>
      </c>
      <c r="J460" s="8" t="n">
        <v>12.88</v>
      </c>
      <c r="K460" s="8" t="n">
        <v>15.89</v>
      </c>
      <c r="L460" s="8" t="n">
        <v>15.08</v>
      </c>
      <c r="M460" s="8" t="n">
        <v>18.75</v>
      </c>
      <c r="N460" s="4" t="n">
        <v>17.24</v>
      </c>
    </row>
    <row r="461">
      <c r="A461" s="2" t="inlineStr">
        <is>
          <t>MTM0331</t>
        </is>
      </c>
      <c r="B461" s="8" t="inlineStr">
        <is>
          <t>2026-07-01 00:00:00</t>
        </is>
      </c>
      <c r="C461" s="8" t="n">
        <v>11.8</v>
      </c>
      <c r="D461" s="8" t="n">
        <v>14.31</v>
      </c>
      <c r="E461" s="8" t="n">
        <v>22.11</v>
      </c>
      <c r="F461" s="8" t="n">
        <v>15.74</v>
      </c>
      <c r="G461" s="8" t="n">
        <v>23.72</v>
      </c>
      <c r="H461" s="8" t="n">
        <v>15.01</v>
      </c>
      <c r="I461" s="8" t="n">
        <v>11.76</v>
      </c>
      <c r="J461" s="8" t="n">
        <v>11.32</v>
      </c>
      <c r="K461" s="8" t="n">
        <v>14.55</v>
      </c>
      <c r="L461" s="8" t="n">
        <v>12.54</v>
      </c>
      <c r="M461" s="8" t="n">
        <v>16.38</v>
      </c>
      <c r="N461" s="4" t="n">
        <v>14.05</v>
      </c>
    </row>
    <row r="462">
      <c r="A462" s="2" t="inlineStr">
        <is>
          <t>MTM0331</t>
        </is>
      </c>
      <c r="B462" s="8" t="inlineStr">
        <is>
          <t>2026-08-01 00:00:00</t>
        </is>
      </c>
      <c r="C462" s="8" t="n">
        <v>12.04</v>
      </c>
      <c r="D462" s="8" t="n">
        <v>15.04</v>
      </c>
      <c r="E462" s="8" t="n">
        <v>15.81</v>
      </c>
      <c r="F462" s="8" t="n">
        <v>14.59</v>
      </c>
      <c r="G462" s="8" t="n">
        <v>16.69</v>
      </c>
      <c r="H462" s="8" t="n">
        <v>15.11</v>
      </c>
      <c r="I462" s="8" t="n">
        <v>13.52</v>
      </c>
      <c r="J462" s="8" t="n">
        <v>13.21</v>
      </c>
      <c r="K462" s="8" t="n">
        <v>15.34</v>
      </c>
      <c r="L462" s="8" t="n">
        <v>14.28</v>
      </c>
      <c r="M462" s="8" t="n">
        <v>16.74</v>
      </c>
      <c r="N462" s="4" t="n">
        <v>14.81</v>
      </c>
    </row>
    <row r="463">
      <c r="A463" s="2" t="inlineStr">
        <is>
          <t>MTM0331</t>
        </is>
      </c>
      <c r="B463" s="8" t="inlineStr">
        <is>
          <t>2026-09-01 00:00:00</t>
        </is>
      </c>
      <c r="C463" s="8" t="n">
        <v>6.27</v>
      </c>
      <c r="D463" s="8" t="n">
        <v>10.69</v>
      </c>
      <c r="E463" s="8" t="n">
        <v>13.15</v>
      </c>
      <c r="F463" s="8" t="n">
        <v>11.4</v>
      </c>
      <c r="G463" s="8" t="n">
        <v>14.99</v>
      </c>
      <c r="H463" s="8" t="n">
        <v>11.11</v>
      </c>
      <c r="I463" s="8" t="n">
        <v>5.39</v>
      </c>
      <c r="J463" s="8" t="n">
        <v>5.92</v>
      </c>
      <c r="K463" s="8" t="n">
        <v>8.67</v>
      </c>
      <c r="L463" s="8" t="n">
        <v>7.71</v>
      </c>
      <c r="M463" s="8" t="n">
        <v>11.15</v>
      </c>
      <c r="N463" s="4" t="n">
        <v>9.1</v>
      </c>
    </row>
    <row r="464">
      <c r="A464" s="2" t="inlineStr">
        <is>
          <t>MTM0331</t>
        </is>
      </c>
      <c r="B464" s="8" t="inlineStr">
        <is>
          <t>2026-10-01 00:00:00</t>
        </is>
      </c>
      <c r="C464" s="8" t="n">
        <v>6.11</v>
      </c>
      <c r="D464" s="8" t="n">
        <v>8.23</v>
      </c>
      <c r="E464" s="8" t="n">
        <v>9.640000000000001</v>
      </c>
      <c r="F464" s="8" t="n">
        <v>8.26</v>
      </c>
      <c r="G464" s="8" t="n">
        <v>9.82</v>
      </c>
      <c r="H464" s="8" t="n">
        <v>9.73</v>
      </c>
      <c r="I464" s="8" t="n">
        <v>6.89</v>
      </c>
      <c r="J464" s="8" t="n">
        <v>6.8</v>
      </c>
      <c r="K464" s="8" t="n">
        <v>7.66</v>
      </c>
      <c r="L464" s="8" t="n">
        <v>6.6</v>
      </c>
      <c r="M464" s="8" t="n">
        <v>8.25</v>
      </c>
      <c r="N464" s="4" t="n">
        <v>7.98</v>
      </c>
    </row>
    <row r="465">
      <c r="A465" s="2" t="inlineStr">
        <is>
          <t>MTM0331</t>
        </is>
      </c>
      <c r="B465" s="8" t="inlineStr">
        <is>
          <t>2026-11-01 00:00:00</t>
        </is>
      </c>
      <c r="C465" s="8" t="n">
        <v>4.78</v>
      </c>
      <c r="D465" s="8" t="n">
        <v>7.35</v>
      </c>
      <c r="E465" s="8" t="n">
        <v>10.58</v>
      </c>
      <c r="F465" s="8" t="n">
        <v>9.890000000000001</v>
      </c>
      <c r="G465" s="8" t="n">
        <v>10.49</v>
      </c>
      <c r="H465" s="8" t="n">
        <v>8.529999999999999</v>
      </c>
      <c r="I465" s="8" t="n">
        <v>4.75</v>
      </c>
      <c r="J465" s="8" t="n">
        <v>4.25</v>
      </c>
      <c r="K465" s="8" t="n">
        <v>6.97</v>
      </c>
      <c r="L465" s="8" t="n">
        <v>6.07</v>
      </c>
      <c r="M465" s="8" t="n">
        <v>6.93</v>
      </c>
      <c r="N465" s="4" t="n">
        <v>6.57</v>
      </c>
    </row>
    <row r="466">
      <c r="A466" s="2" t="inlineStr">
        <is>
          <t>MTM0331</t>
        </is>
      </c>
      <c r="B466" s="8" t="inlineStr">
        <is>
          <t>2026-12-01 00:00:00</t>
        </is>
      </c>
      <c r="C466" s="8" t="n">
        <v>5.45</v>
      </c>
      <c r="D466" s="8" t="n">
        <v>5.99</v>
      </c>
      <c r="E466" s="8" t="n">
        <v>9.76</v>
      </c>
      <c r="F466" s="8" t="n">
        <v>9.02</v>
      </c>
      <c r="G466" s="8" t="n">
        <v>8.640000000000001</v>
      </c>
      <c r="H466" s="8" t="n">
        <v>7.11</v>
      </c>
      <c r="I466" s="8" t="n">
        <v>5.2</v>
      </c>
      <c r="J466" s="8" t="n">
        <v>4.86</v>
      </c>
      <c r="K466" s="8" t="n">
        <v>6.77</v>
      </c>
      <c r="L466" s="8" t="n">
        <v>6.62</v>
      </c>
      <c r="M466" s="8" t="n">
        <v>7.11</v>
      </c>
      <c r="N466" s="4" t="n">
        <v>6.3</v>
      </c>
    </row>
    <row r="467">
      <c r="A467" s="2" t="inlineStr">
        <is>
          <t>MTM0331</t>
        </is>
      </c>
      <c r="B467" s="8" t="inlineStr">
        <is>
          <t>2027-01-01 00:00:00</t>
        </is>
      </c>
      <c r="C467" s="8" t="n">
        <v>11.21</v>
      </c>
      <c r="D467" s="8" t="n">
        <v>11.83</v>
      </c>
      <c r="E467" s="8" t="n">
        <v>15.3</v>
      </c>
      <c r="F467" s="8" t="n">
        <v>16.47</v>
      </c>
      <c r="G467" s="8" t="n">
        <v>17.3</v>
      </c>
      <c r="H467" s="8" t="n">
        <v>14.95</v>
      </c>
      <c r="I467" s="8" t="n">
        <v>8.529999999999999</v>
      </c>
      <c r="J467" s="8" t="n">
        <v>7.44</v>
      </c>
      <c r="K467" s="8" t="n">
        <v>9.619999999999999</v>
      </c>
      <c r="L467" s="8" t="n">
        <v>10.05</v>
      </c>
      <c r="M467" s="8" t="n">
        <v>11.87</v>
      </c>
      <c r="N467" s="4" t="n">
        <v>10.71</v>
      </c>
    </row>
    <row r="468">
      <c r="A468" s="2" t="inlineStr">
        <is>
          <t>MTM0331</t>
        </is>
      </c>
      <c r="B468" s="8" t="inlineStr">
        <is>
          <t>2027-02-01 00:00:00</t>
        </is>
      </c>
      <c r="C468" s="8" t="n">
        <v>10.01</v>
      </c>
      <c r="D468" s="8" t="n">
        <v>12.07</v>
      </c>
      <c r="E468" s="8" t="n">
        <v>14.97</v>
      </c>
      <c r="F468" s="8" t="n">
        <v>14.48</v>
      </c>
      <c r="G468" s="8" t="n">
        <v>16.16</v>
      </c>
      <c r="H468" s="8" t="n">
        <v>14.07</v>
      </c>
      <c r="I468" s="8" t="n">
        <v>8.85</v>
      </c>
      <c r="J468" s="8" t="n">
        <v>7.42</v>
      </c>
      <c r="K468" s="8" t="n">
        <v>10.99</v>
      </c>
      <c r="L468" s="8" t="n">
        <v>11.21</v>
      </c>
      <c r="M468" s="8" t="n">
        <v>13.06</v>
      </c>
      <c r="N468" s="4" t="n">
        <v>11.62</v>
      </c>
    </row>
    <row r="469">
      <c r="A469" s="2" t="inlineStr">
        <is>
          <t>MTM0331</t>
        </is>
      </c>
      <c r="B469" s="8" t="inlineStr">
        <is>
          <t>2027-03-01 00:00:00</t>
        </is>
      </c>
      <c r="C469" s="8" t="n">
        <v>10.45</v>
      </c>
      <c r="D469" s="8" t="n">
        <v>12.79</v>
      </c>
      <c r="E469" s="8" t="n">
        <v>14.52</v>
      </c>
      <c r="F469" s="8" t="n">
        <v>13.77</v>
      </c>
      <c r="G469" s="8" t="n">
        <v>14.61</v>
      </c>
      <c r="H469" s="8" t="n">
        <v>13.3</v>
      </c>
      <c r="I469" s="8" t="n">
        <v>10.27</v>
      </c>
      <c r="J469" s="8" t="n">
        <v>10.03</v>
      </c>
      <c r="K469" s="8" t="n">
        <v>13.17</v>
      </c>
      <c r="L469" s="8" t="n">
        <v>12.14</v>
      </c>
      <c r="M469" s="8" t="n">
        <v>13.36</v>
      </c>
      <c r="N469" s="4" t="n">
        <v>12.33</v>
      </c>
    </row>
    <row r="470">
      <c r="A470" s="2" t="inlineStr">
        <is>
          <t>MTM0331</t>
        </is>
      </c>
      <c r="B470" s="8" t="inlineStr">
        <is>
          <t>2027-04-01 00:00:00</t>
        </is>
      </c>
      <c r="C470" s="8" t="n">
        <v>15.56</v>
      </c>
      <c r="D470" s="8" t="n">
        <v>18.09</v>
      </c>
      <c r="E470" s="8" t="n">
        <v>19.34</v>
      </c>
      <c r="F470" s="8" t="n">
        <v>19.48</v>
      </c>
      <c r="G470" s="8" t="n">
        <v>21.41</v>
      </c>
      <c r="H470" s="8" t="n">
        <v>18.39</v>
      </c>
      <c r="I470" s="8" t="n">
        <v>13.26</v>
      </c>
      <c r="J470" s="8" t="n">
        <v>13.63</v>
      </c>
      <c r="K470" s="8" t="n">
        <v>17.26</v>
      </c>
      <c r="L470" s="8" t="n">
        <v>15.56</v>
      </c>
      <c r="M470" s="8" t="n">
        <v>18.31</v>
      </c>
      <c r="N470" s="4" t="n">
        <v>16.05</v>
      </c>
    </row>
    <row r="471">
      <c r="A471" s="2" t="inlineStr">
        <is>
          <t>MTM0331</t>
        </is>
      </c>
      <c r="B471" s="8" t="inlineStr">
        <is>
          <t>2027-05-01 00:00:00</t>
        </is>
      </c>
      <c r="C471" s="8" t="n">
        <v>14.42</v>
      </c>
      <c r="D471" s="8" t="n">
        <v>19.12</v>
      </c>
      <c r="E471" s="8" t="n">
        <v>22.13</v>
      </c>
      <c r="F471" s="8" t="n">
        <v>18.77</v>
      </c>
      <c r="G471" s="8" t="n">
        <v>24.01</v>
      </c>
      <c r="H471" s="8" t="n">
        <v>17.63</v>
      </c>
      <c r="I471" s="8" t="n">
        <v>14.64</v>
      </c>
      <c r="J471" s="8" t="n">
        <v>14.93</v>
      </c>
      <c r="K471" s="8" t="n">
        <v>16.07</v>
      </c>
      <c r="L471" s="8" t="n">
        <v>15.38</v>
      </c>
      <c r="M471" s="8" t="n">
        <v>17.57</v>
      </c>
      <c r="N471" s="4" t="n">
        <v>15.87</v>
      </c>
    </row>
    <row r="472">
      <c r="A472" s="2" t="inlineStr">
        <is>
          <t>MTM0331</t>
        </is>
      </c>
      <c r="B472" s="8" t="inlineStr">
        <is>
          <t>2027-06-01 00:00:00</t>
        </is>
      </c>
      <c r="C472" s="8" t="n">
        <v>14.86</v>
      </c>
      <c r="D472" s="8" t="n">
        <v>18.89</v>
      </c>
      <c r="E472" s="8" t="n">
        <v>27.21</v>
      </c>
      <c r="F472" s="8" t="n">
        <v>18.83</v>
      </c>
      <c r="G472" s="8" t="n">
        <v>28.33</v>
      </c>
      <c r="H472" s="8" t="n">
        <v>18.38</v>
      </c>
      <c r="I472" s="8" t="n">
        <v>13.56</v>
      </c>
      <c r="J472" s="8" t="n">
        <v>12.93</v>
      </c>
      <c r="K472" s="8" t="n">
        <v>15.95</v>
      </c>
      <c r="L472" s="8" t="n">
        <v>15.14</v>
      </c>
      <c r="M472" s="8" t="n">
        <v>18.83</v>
      </c>
      <c r="N472" s="4" t="n">
        <v>17.31</v>
      </c>
    </row>
    <row r="473">
      <c r="A473" s="2" t="inlineStr">
        <is>
          <t>MTM0331</t>
        </is>
      </c>
      <c r="B473" s="8" t="inlineStr">
        <is>
          <t>2027-07-01 00:00:00</t>
        </is>
      </c>
      <c r="C473" s="8" t="n">
        <v>14.63</v>
      </c>
      <c r="D473" s="8" t="n">
        <v>17.8</v>
      </c>
      <c r="E473" s="8" t="n">
        <v>26.07</v>
      </c>
      <c r="F473" s="8" t="n">
        <v>19.6</v>
      </c>
      <c r="G473" s="8" t="n">
        <v>28.09</v>
      </c>
      <c r="H473" s="8" t="n">
        <v>18.68</v>
      </c>
      <c r="I473" s="8" t="n">
        <v>14.59</v>
      </c>
      <c r="J473" s="8" t="n">
        <v>14.02</v>
      </c>
      <c r="K473" s="8" t="n">
        <v>18.1</v>
      </c>
      <c r="L473" s="8" t="n">
        <v>15.56</v>
      </c>
      <c r="M473" s="8" t="n">
        <v>20.41</v>
      </c>
      <c r="N473" s="4" t="n">
        <v>17.46</v>
      </c>
    </row>
    <row r="474">
      <c r="A474" s="2" t="inlineStr">
        <is>
          <t>MTM0331</t>
        </is>
      </c>
      <c r="B474" s="8" t="inlineStr">
        <is>
          <t>2027-08-01 00:00:00</t>
        </is>
      </c>
      <c r="C474" s="8" t="n">
        <v>14.68</v>
      </c>
      <c r="D474" s="8" t="n">
        <v>18.4</v>
      </c>
      <c r="E474" s="8" t="n">
        <v>19.36</v>
      </c>
      <c r="F474" s="8" t="n">
        <v>17.85</v>
      </c>
      <c r="G474" s="8" t="n">
        <v>20.45</v>
      </c>
      <c r="H474" s="8" t="n">
        <v>18.49</v>
      </c>
      <c r="I474" s="8" t="n">
        <v>16.52</v>
      </c>
      <c r="J474" s="8" t="n">
        <v>16.14</v>
      </c>
      <c r="K474" s="8" t="n">
        <v>18.78</v>
      </c>
      <c r="L474" s="8" t="n">
        <v>17.47</v>
      </c>
      <c r="M474" s="8" t="n">
        <v>20.51</v>
      </c>
      <c r="N474" s="4" t="n">
        <v>18.12</v>
      </c>
    </row>
    <row r="475">
      <c r="A475" s="2" t="inlineStr">
        <is>
          <t>MTM0331</t>
        </is>
      </c>
      <c r="B475" s="8" t="inlineStr">
        <is>
          <t>2027-09-01 00:00:00</t>
        </is>
      </c>
      <c r="C475" s="8" t="n">
        <v>10.39</v>
      </c>
      <c r="D475" s="8" t="n">
        <v>17.94</v>
      </c>
      <c r="E475" s="8" t="n">
        <v>22.15</v>
      </c>
      <c r="F475" s="8" t="n">
        <v>19.15</v>
      </c>
      <c r="G475" s="8" t="n">
        <v>25.29</v>
      </c>
      <c r="H475" s="8" t="n">
        <v>18.66</v>
      </c>
      <c r="I475" s="8" t="n">
        <v>8.869999999999999</v>
      </c>
      <c r="J475" s="8" t="n">
        <v>9.779999999999999</v>
      </c>
      <c r="K475" s="8" t="n">
        <v>14.48</v>
      </c>
      <c r="L475" s="8" t="n">
        <v>12.84</v>
      </c>
      <c r="M475" s="8" t="n">
        <v>18.72</v>
      </c>
      <c r="N475" s="4" t="n">
        <v>15.23</v>
      </c>
    </row>
    <row r="476">
      <c r="A476" s="2" t="inlineStr">
        <is>
          <t>MTM0331</t>
        </is>
      </c>
      <c r="B476" s="8" t="inlineStr">
        <is>
          <t>2027-10-01 00:00:00</t>
        </is>
      </c>
      <c r="C476" s="8" t="n">
        <v>5.91</v>
      </c>
      <c r="D476" s="8" t="n">
        <v>7.95</v>
      </c>
      <c r="E476" s="8" t="n">
        <v>9.32</v>
      </c>
      <c r="F476" s="8" t="n">
        <v>7.99</v>
      </c>
      <c r="G476" s="8" t="n">
        <v>9.49</v>
      </c>
      <c r="H476" s="8" t="n">
        <v>9.4</v>
      </c>
      <c r="I476" s="8" t="n">
        <v>6.67</v>
      </c>
      <c r="J476" s="8" t="n">
        <v>6.58</v>
      </c>
      <c r="K476" s="8" t="n">
        <v>7.41</v>
      </c>
      <c r="L476" s="8" t="n">
        <v>6.38</v>
      </c>
      <c r="M476" s="8" t="n">
        <v>7.98</v>
      </c>
      <c r="N476" s="4" t="n">
        <v>7.71</v>
      </c>
    </row>
    <row r="477">
      <c r="A477" s="2" t="inlineStr">
        <is>
          <t>MTM0331</t>
        </is>
      </c>
      <c r="B477" s="8" t="inlineStr">
        <is>
          <t>2027-11-01 00:00:00</t>
        </is>
      </c>
      <c r="C477" s="8" t="n">
        <v>4.75</v>
      </c>
      <c r="D477" s="8" t="n">
        <v>7.29</v>
      </c>
      <c r="E477" s="8" t="n">
        <v>10.48</v>
      </c>
      <c r="F477" s="8" t="n">
        <v>9.800000000000001</v>
      </c>
      <c r="G477" s="8" t="n">
        <v>10.39</v>
      </c>
      <c r="H477" s="8" t="n">
        <v>8.449999999999999</v>
      </c>
      <c r="I477" s="8" t="n">
        <v>4.71</v>
      </c>
      <c r="J477" s="8" t="n">
        <v>4.22</v>
      </c>
      <c r="K477" s="8" t="n">
        <v>6.91</v>
      </c>
      <c r="L477" s="8" t="n">
        <v>6.02</v>
      </c>
      <c r="M477" s="8" t="n">
        <v>6.87</v>
      </c>
      <c r="N477" s="4" t="n">
        <v>6.52</v>
      </c>
    </row>
    <row r="478">
      <c r="A478" s="2" t="inlineStr">
        <is>
          <t>MTM0331</t>
        </is>
      </c>
      <c r="B478" s="8" t="inlineStr">
        <is>
          <t>2027-12-01 00:00:00</t>
        </is>
      </c>
      <c r="C478" s="8" t="n">
        <v>5.89</v>
      </c>
      <c r="D478" s="8" t="n">
        <v>6.48</v>
      </c>
      <c r="E478" s="8" t="n">
        <v>10.58</v>
      </c>
      <c r="F478" s="8" t="n">
        <v>9.77</v>
      </c>
      <c r="G478" s="8" t="n">
        <v>9.359999999999999</v>
      </c>
      <c r="H478" s="8" t="n">
        <v>7.7</v>
      </c>
      <c r="I478" s="8" t="n">
        <v>5.62</v>
      </c>
      <c r="J478" s="8" t="n">
        <v>5.26</v>
      </c>
      <c r="K478" s="8" t="n">
        <v>7.33</v>
      </c>
      <c r="L478" s="8" t="n">
        <v>7.16</v>
      </c>
      <c r="M478" s="8" t="n">
        <v>7.7</v>
      </c>
      <c r="N478" s="4" t="n">
        <v>6.81</v>
      </c>
    </row>
    <row r="479">
      <c r="A479" s="2" t="inlineStr">
        <is>
          <t>MTM0331</t>
        </is>
      </c>
      <c r="B479" s="8" t="inlineStr">
        <is>
          <t>2028-01-01 00:00:00</t>
        </is>
      </c>
      <c r="C479" s="8" t="n">
        <v>10.67</v>
      </c>
      <c r="D479" s="8" t="n">
        <v>11.26</v>
      </c>
      <c r="E479" s="8" t="n">
        <v>14.55</v>
      </c>
      <c r="F479" s="8" t="n">
        <v>15.66</v>
      </c>
      <c r="G479" s="8" t="n">
        <v>16.45</v>
      </c>
      <c r="H479" s="8" t="n">
        <v>14.21</v>
      </c>
      <c r="I479" s="8" t="n">
        <v>8.130000000000001</v>
      </c>
      <c r="J479" s="8" t="n">
        <v>7.09</v>
      </c>
      <c r="K479" s="8" t="n">
        <v>9.16</v>
      </c>
      <c r="L479" s="8" t="n">
        <v>9.57</v>
      </c>
      <c r="M479" s="8" t="n">
        <v>11.3</v>
      </c>
      <c r="N479" s="4" t="n">
        <v>10.19</v>
      </c>
    </row>
    <row r="480">
      <c r="A480" s="2" t="inlineStr">
        <is>
          <t>MTM0331</t>
        </is>
      </c>
      <c r="B480" s="8" t="inlineStr">
        <is>
          <t>2028-02-01 00:00:00</t>
        </is>
      </c>
      <c r="C480" s="8" t="n">
        <v>9.51</v>
      </c>
      <c r="D480" s="8" t="n">
        <v>11.46</v>
      </c>
      <c r="E480" s="8" t="n">
        <v>14.2</v>
      </c>
      <c r="F480" s="8" t="n">
        <v>13.74</v>
      </c>
      <c r="G480" s="8" t="n">
        <v>15.33</v>
      </c>
      <c r="H480" s="8" t="n">
        <v>13.35</v>
      </c>
      <c r="I480" s="8" t="n">
        <v>8.41</v>
      </c>
      <c r="J480" s="8" t="n">
        <v>7.06</v>
      </c>
      <c r="K480" s="8" t="n">
        <v>10.43</v>
      </c>
      <c r="L480" s="8" t="n">
        <v>10.64</v>
      </c>
      <c r="M480" s="8" t="n">
        <v>12.39</v>
      </c>
      <c r="N480" s="4" t="n">
        <v>11.03</v>
      </c>
    </row>
    <row r="481">
      <c r="A481" s="2" t="inlineStr">
        <is>
          <t>MTM0331</t>
        </is>
      </c>
      <c r="B481" s="8" t="inlineStr">
        <is>
          <t>2028-03-01 00:00:00</t>
        </is>
      </c>
      <c r="C481" s="8" t="n">
        <v>9.890000000000001</v>
      </c>
      <c r="D481" s="8" t="n">
        <v>12.09</v>
      </c>
      <c r="E481" s="8" t="n">
        <v>13.71</v>
      </c>
      <c r="F481" s="8" t="n">
        <v>13.01</v>
      </c>
      <c r="G481" s="8" t="n">
        <v>13.8</v>
      </c>
      <c r="H481" s="8" t="n">
        <v>12.57</v>
      </c>
      <c r="I481" s="8" t="n">
        <v>9.710000000000001</v>
      </c>
      <c r="J481" s="8" t="n">
        <v>9.49</v>
      </c>
      <c r="K481" s="8" t="n">
        <v>12.44</v>
      </c>
      <c r="L481" s="8" t="n">
        <v>11.48</v>
      </c>
      <c r="M481" s="8" t="n">
        <v>12.63</v>
      </c>
      <c r="N481" s="4" t="n">
        <v>11.66</v>
      </c>
    </row>
    <row r="482">
      <c r="A482" s="2" t="inlineStr">
        <is>
          <t>MTM0331</t>
        </is>
      </c>
      <c r="B482" s="8" t="inlineStr">
        <is>
          <t>2028-04-01 00:00:00</t>
        </is>
      </c>
      <c r="C482" s="8" t="n">
        <v>15.16</v>
      </c>
      <c r="D482" s="8" t="n">
        <v>17.62</v>
      </c>
      <c r="E482" s="8" t="n">
        <v>18.84</v>
      </c>
      <c r="F482" s="8" t="n">
        <v>18.98</v>
      </c>
      <c r="G482" s="8" t="n">
        <v>20.85</v>
      </c>
      <c r="H482" s="8" t="n">
        <v>17.91</v>
      </c>
      <c r="I482" s="8" t="n">
        <v>12.93</v>
      </c>
      <c r="J482" s="8" t="n">
        <v>13.29</v>
      </c>
      <c r="K482" s="8" t="n">
        <v>16.82</v>
      </c>
      <c r="L482" s="8" t="n">
        <v>15.16</v>
      </c>
      <c r="M482" s="8" t="n">
        <v>17.83</v>
      </c>
      <c r="N482" s="4" t="n">
        <v>15.64</v>
      </c>
    </row>
    <row r="483">
      <c r="A483" s="2" t="inlineStr">
        <is>
          <t>MTM0331</t>
        </is>
      </c>
      <c r="B483" s="8" t="inlineStr">
        <is>
          <t>2028-05-01 00:00:00</t>
        </is>
      </c>
      <c r="C483" s="8" t="n">
        <v>13.57</v>
      </c>
      <c r="D483" s="8" t="n">
        <v>17.98</v>
      </c>
      <c r="E483" s="8" t="n">
        <v>20.8</v>
      </c>
      <c r="F483" s="8" t="n">
        <v>17.65</v>
      </c>
      <c r="G483" s="8" t="n">
        <v>22.57</v>
      </c>
      <c r="H483" s="8" t="n">
        <v>16.58</v>
      </c>
      <c r="I483" s="8" t="n">
        <v>13.78</v>
      </c>
      <c r="J483" s="8" t="n">
        <v>14.05</v>
      </c>
      <c r="K483" s="8" t="n">
        <v>15.13</v>
      </c>
      <c r="L483" s="8" t="n">
        <v>14.48</v>
      </c>
      <c r="M483" s="8" t="n">
        <v>16.53</v>
      </c>
      <c r="N483" s="4" t="n">
        <v>14.93</v>
      </c>
    </row>
    <row r="484">
      <c r="A484" s="2" t="inlineStr">
        <is>
          <t>MTM0331</t>
        </is>
      </c>
      <c r="B484" s="8" t="inlineStr">
        <is>
          <t>2028-06-01 00:00:00</t>
        </is>
      </c>
      <c r="C484" s="8" t="n">
        <v>14.07</v>
      </c>
      <c r="D484" s="8" t="n">
        <v>17.88</v>
      </c>
      <c r="E484" s="8" t="n">
        <v>26.07</v>
      </c>
      <c r="F484" s="8" t="n">
        <v>17.82</v>
      </c>
      <c r="G484" s="8" t="n">
        <v>27.12</v>
      </c>
      <c r="H484" s="8" t="n">
        <v>17.4</v>
      </c>
      <c r="I484" s="8" t="n">
        <v>12.84</v>
      </c>
      <c r="J484" s="8" t="n">
        <v>12.26</v>
      </c>
      <c r="K484" s="8" t="n">
        <v>15.1</v>
      </c>
      <c r="L484" s="8" t="n">
        <v>14.34</v>
      </c>
      <c r="M484" s="8" t="n">
        <v>17.82</v>
      </c>
      <c r="N484" s="4" t="n">
        <v>16.38</v>
      </c>
    </row>
    <row r="485">
      <c r="A485" s="2" t="inlineStr">
        <is>
          <t>MTM0331</t>
        </is>
      </c>
      <c r="B485" s="8" t="inlineStr">
        <is>
          <t>2028-07-01 00:00:00</t>
        </is>
      </c>
      <c r="C485" s="8" t="n">
        <v>14.03</v>
      </c>
      <c r="D485" s="8" t="n">
        <v>17.06</v>
      </c>
      <c r="E485" s="8" t="n">
        <v>25.22</v>
      </c>
      <c r="F485" s="8" t="n">
        <v>18.78</v>
      </c>
      <c r="G485" s="8" t="n">
        <v>27.16</v>
      </c>
      <c r="H485" s="8" t="n">
        <v>17.9</v>
      </c>
      <c r="I485" s="8" t="n">
        <v>13.99</v>
      </c>
      <c r="J485" s="8" t="n">
        <v>13.45</v>
      </c>
      <c r="K485" s="8" t="n">
        <v>17.34</v>
      </c>
      <c r="L485" s="8" t="n">
        <v>14.92</v>
      </c>
      <c r="M485" s="8" t="n">
        <v>19.55</v>
      </c>
      <c r="N485" s="4" t="n">
        <v>16.74</v>
      </c>
    </row>
    <row r="486">
      <c r="A486" s="2" t="inlineStr">
        <is>
          <t>MTM0331</t>
        </is>
      </c>
      <c r="B486" s="8" t="inlineStr">
        <is>
          <t>2028-08-01 00:00:00</t>
        </is>
      </c>
      <c r="C486" s="8" t="n">
        <v>13.97</v>
      </c>
      <c r="D486" s="8" t="n">
        <v>17.49</v>
      </c>
      <c r="E486" s="8" t="n">
        <v>18.4</v>
      </c>
      <c r="F486" s="8" t="n">
        <v>16.97</v>
      </c>
      <c r="G486" s="8" t="n">
        <v>19.43</v>
      </c>
      <c r="H486" s="8" t="n">
        <v>17.57</v>
      </c>
      <c r="I486" s="8" t="n">
        <v>15.71</v>
      </c>
      <c r="J486" s="8" t="n">
        <v>15.35</v>
      </c>
      <c r="K486" s="8" t="n">
        <v>17.85</v>
      </c>
      <c r="L486" s="8" t="n">
        <v>16.61</v>
      </c>
      <c r="M486" s="8" t="n">
        <v>19.49</v>
      </c>
      <c r="N486" s="4" t="n">
        <v>17.22</v>
      </c>
    </row>
    <row r="487">
      <c r="A487" s="2" t="inlineStr">
        <is>
          <t>MTM0331</t>
        </is>
      </c>
      <c r="B487" s="8" t="inlineStr">
        <is>
          <t>2028-09-01 00:00:00</t>
        </is>
      </c>
      <c r="C487" s="8" t="n">
        <v>10</v>
      </c>
      <c r="D487" s="8" t="n">
        <v>17.24</v>
      </c>
      <c r="E487" s="8" t="n">
        <v>21.27</v>
      </c>
      <c r="F487" s="8" t="n">
        <v>18.39</v>
      </c>
      <c r="G487" s="8" t="n">
        <v>24.28</v>
      </c>
      <c r="H487" s="8" t="n">
        <v>17.92</v>
      </c>
      <c r="I487" s="8" t="n">
        <v>8.539999999999999</v>
      </c>
      <c r="J487" s="8" t="n">
        <v>9.41</v>
      </c>
      <c r="K487" s="8" t="n">
        <v>13.92</v>
      </c>
      <c r="L487" s="8" t="n">
        <v>12.35</v>
      </c>
      <c r="M487" s="8" t="n">
        <v>17.99</v>
      </c>
      <c r="N487" s="4" t="n">
        <v>14.63</v>
      </c>
    </row>
    <row r="488">
      <c r="A488" s="2" t="inlineStr">
        <is>
          <t>MTM0331</t>
        </is>
      </c>
      <c r="B488" s="8" t="inlineStr">
        <is>
          <t>2028-10-01 00:00:00</t>
        </is>
      </c>
      <c r="C488" s="8" t="n">
        <v>5.84</v>
      </c>
      <c r="D488" s="8" t="n">
        <v>7.86</v>
      </c>
      <c r="E488" s="8" t="n">
        <v>9.199999999999999</v>
      </c>
      <c r="F488" s="8" t="n">
        <v>7.89</v>
      </c>
      <c r="G488" s="8" t="n">
        <v>9.359999999999999</v>
      </c>
      <c r="H488" s="8" t="n">
        <v>9.279999999999999</v>
      </c>
      <c r="I488" s="8" t="n">
        <v>6.59</v>
      </c>
      <c r="J488" s="8" t="n">
        <v>6.5</v>
      </c>
      <c r="K488" s="8" t="n">
        <v>7.32</v>
      </c>
      <c r="L488" s="8" t="n">
        <v>6.31</v>
      </c>
      <c r="M488" s="8" t="n">
        <v>7.88</v>
      </c>
      <c r="N488" s="4" t="n">
        <v>7.62</v>
      </c>
    </row>
    <row r="489">
      <c r="A489" s="2" t="inlineStr">
        <is>
          <t>MTM0331</t>
        </is>
      </c>
      <c r="B489" s="8" t="inlineStr">
        <is>
          <t>2028-11-01 00:00:00</t>
        </is>
      </c>
      <c r="C489" s="8" t="n">
        <v>4.72</v>
      </c>
      <c r="D489" s="8" t="n">
        <v>7.24</v>
      </c>
      <c r="E489" s="8" t="n">
        <v>10.39</v>
      </c>
      <c r="F489" s="8" t="n">
        <v>9.720000000000001</v>
      </c>
      <c r="G489" s="8" t="n">
        <v>10.31</v>
      </c>
      <c r="H489" s="8" t="n">
        <v>8.390000000000001</v>
      </c>
      <c r="I489" s="8" t="n">
        <v>4.68</v>
      </c>
      <c r="J489" s="8" t="n">
        <v>4.19</v>
      </c>
      <c r="K489" s="8" t="n">
        <v>6.86</v>
      </c>
      <c r="L489" s="8" t="n">
        <v>5.98</v>
      </c>
      <c r="M489" s="8" t="n">
        <v>6.82</v>
      </c>
      <c r="N489" s="4" t="n">
        <v>6.47</v>
      </c>
    </row>
    <row r="490">
      <c r="A490" s="2" t="inlineStr">
        <is>
          <t>MTM0331</t>
        </is>
      </c>
      <c r="B490" s="8" t="inlineStr">
        <is>
          <t>2028-12-01 00:00:00</t>
        </is>
      </c>
      <c r="C490" s="8" t="n">
        <v>5.93</v>
      </c>
      <c r="D490" s="8" t="n">
        <v>6.52</v>
      </c>
      <c r="E490" s="8" t="n">
        <v>10.64</v>
      </c>
      <c r="F490" s="8" t="n">
        <v>9.83</v>
      </c>
      <c r="G490" s="8" t="n">
        <v>9.42</v>
      </c>
      <c r="H490" s="8" t="n">
        <v>7.75</v>
      </c>
      <c r="I490" s="8" t="n">
        <v>5.66</v>
      </c>
      <c r="J490" s="8" t="n">
        <v>5.29</v>
      </c>
      <c r="K490" s="8" t="n">
        <v>7.37</v>
      </c>
      <c r="L490" s="8" t="n">
        <v>7.21</v>
      </c>
      <c r="M490" s="8" t="n">
        <v>7.75</v>
      </c>
      <c r="N490" s="4" t="n">
        <v>6.86</v>
      </c>
    </row>
    <row r="491">
      <c r="A491" s="2" t="inlineStr">
        <is>
          <t>MTM0331</t>
        </is>
      </c>
      <c r="B491" s="8" t="inlineStr">
        <is>
          <t>2029-01-01 00:00:00</t>
        </is>
      </c>
      <c r="C491" s="8" t="n">
        <v>10.28</v>
      </c>
      <c r="D491" s="8" t="n">
        <v>10.85</v>
      </c>
      <c r="E491" s="8" t="n">
        <v>14.02</v>
      </c>
      <c r="F491" s="8" t="n">
        <v>15.08</v>
      </c>
      <c r="G491" s="8" t="n">
        <v>15.84</v>
      </c>
      <c r="H491" s="8" t="n">
        <v>13.69</v>
      </c>
      <c r="I491" s="8" t="n">
        <v>7.84</v>
      </c>
      <c r="J491" s="8" t="n">
        <v>6.85</v>
      </c>
      <c r="K491" s="8" t="n">
        <v>8.84</v>
      </c>
      <c r="L491" s="8" t="n">
        <v>9.220000000000001</v>
      </c>
      <c r="M491" s="8" t="n">
        <v>10.89</v>
      </c>
      <c r="N491" s="4" t="n">
        <v>9.83</v>
      </c>
    </row>
    <row r="492">
      <c r="A492" s="2" t="inlineStr">
        <is>
          <t>MTM0331</t>
        </is>
      </c>
      <c r="B492" s="8" t="inlineStr">
        <is>
          <t>2029-02-01 00:00:00</t>
        </is>
      </c>
      <c r="C492" s="8" t="n">
        <v>9.4</v>
      </c>
      <c r="D492" s="8" t="n">
        <v>11.33</v>
      </c>
      <c r="E492" s="8" t="n">
        <v>14.04</v>
      </c>
      <c r="F492" s="8" t="n">
        <v>13.58</v>
      </c>
      <c r="G492" s="8" t="n">
        <v>15.15</v>
      </c>
      <c r="H492" s="8" t="n">
        <v>13.2</v>
      </c>
      <c r="I492" s="8" t="n">
        <v>8.32</v>
      </c>
      <c r="J492" s="8" t="n">
        <v>6.98</v>
      </c>
      <c r="K492" s="8" t="n">
        <v>10.32</v>
      </c>
      <c r="L492" s="8" t="n">
        <v>10.52</v>
      </c>
      <c r="M492" s="8" t="n">
        <v>12.26</v>
      </c>
      <c r="N492" s="4" t="n">
        <v>10.91</v>
      </c>
    </row>
    <row r="493">
      <c r="A493" s="2" t="inlineStr">
        <is>
          <t>MTM0331</t>
        </is>
      </c>
      <c r="B493" s="8" t="inlineStr">
        <is>
          <t>2029-03-01 00:00:00</t>
        </is>
      </c>
      <c r="C493" s="8" t="n">
        <v>9.82</v>
      </c>
      <c r="D493" s="8" t="n">
        <v>12</v>
      </c>
      <c r="E493" s="8" t="n">
        <v>13.62</v>
      </c>
      <c r="F493" s="8" t="n">
        <v>12.92</v>
      </c>
      <c r="G493" s="8" t="n">
        <v>13.7</v>
      </c>
      <c r="H493" s="8" t="n">
        <v>12.48</v>
      </c>
      <c r="I493" s="8" t="n">
        <v>9.640000000000001</v>
      </c>
      <c r="J493" s="8" t="n">
        <v>9.42</v>
      </c>
      <c r="K493" s="8" t="n">
        <v>12.35</v>
      </c>
      <c r="L493" s="8" t="n">
        <v>11.39</v>
      </c>
      <c r="M493" s="8" t="n">
        <v>12.53</v>
      </c>
      <c r="N493" s="4" t="n">
        <v>11.57</v>
      </c>
    </row>
    <row r="494">
      <c r="A494" s="2" t="inlineStr">
        <is>
          <t>MTM0331</t>
        </is>
      </c>
      <c r="B494" s="8" t="inlineStr">
        <is>
          <t>2029-04-01 00:00:00</t>
        </is>
      </c>
      <c r="C494" s="8" t="n">
        <v>14.87</v>
      </c>
      <c r="D494" s="8" t="n">
        <v>17.28</v>
      </c>
      <c r="E494" s="8" t="n">
        <v>18.47</v>
      </c>
      <c r="F494" s="8" t="n">
        <v>18.61</v>
      </c>
      <c r="G494" s="8" t="n">
        <v>20.45</v>
      </c>
      <c r="H494" s="8" t="n">
        <v>17.56</v>
      </c>
      <c r="I494" s="8" t="n">
        <v>12.68</v>
      </c>
      <c r="J494" s="8" t="n">
        <v>13.03</v>
      </c>
      <c r="K494" s="8" t="n">
        <v>16.49</v>
      </c>
      <c r="L494" s="8" t="n">
        <v>14.87</v>
      </c>
      <c r="M494" s="8" t="n">
        <v>17.49</v>
      </c>
      <c r="N494" s="4" t="n">
        <v>15.34</v>
      </c>
    </row>
    <row r="495">
      <c r="A495" s="2" t="inlineStr">
        <is>
          <t>MTM0331</t>
        </is>
      </c>
      <c r="B495" s="8" t="inlineStr">
        <is>
          <t>2029-05-01 00:00:00</t>
        </is>
      </c>
      <c r="C495" s="8" t="n">
        <v>13.47</v>
      </c>
      <c r="D495" s="8" t="n">
        <v>17.84</v>
      </c>
      <c r="E495" s="8" t="n">
        <v>20.64</v>
      </c>
      <c r="F495" s="8" t="n">
        <v>17.51</v>
      </c>
      <c r="G495" s="8" t="n">
        <v>22.39</v>
      </c>
      <c r="H495" s="8" t="n">
        <v>16.45</v>
      </c>
      <c r="I495" s="8" t="n">
        <v>13.67</v>
      </c>
      <c r="J495" s="8" t="n">
        <v>13.95</v>
      </c>
      <c r="K495" s="8" t="n">
        <v>15.01</v>
      </c>
      <c r="L495" s="8" t="n">
        <v>14.37</v>
      </c>
      <c r="M495" s="8" t="n">
        <v>16.4</v>
      </c>
      <c r="N495" s="4" t="n">
        <v>14.81</v>
      </c>
    </row>
    <row r="496">
      <c r="A496" s="2" t="inlineStr">
        <is>
          <t>MTM0331</t>
        </is>
      </c>
      <c r="B496" s="8" t="inlineStr">
        <is>
          <t>2029-06-01 00:00:00</t>
        </is>
      </c>
      <c r="C496" s="8" t="n">
        <v>14.05</v>
      </c>
      <c r="D496" s="8" t="n">
        <v>17.85</v>
      </c>
      <c r="E496" s="8" t="n">
        <v>26.04</v>
      </c>
      <c r="F496" s="8" t="n">
        <v>17.8</v>
      </c>
      <c r="G496" s="8" t="n">
        <v>27.09</v>
      </c>
      <c r="H496" s="8" t="n">
        <v>17.37</v>
      </c>
      <c r="I496" s="8" t="n">
        <v>12.83</v>
      </c>
      <c r="J496" s="8" t="n">
        <v>12.24</v>
      </c>
      <c r="K496" s="8" t="n">
        <v>15.08</v>
      </c>
      <c r="L496" s="8" t="n">
        <v>14.32</v>
      </c>
      <c r="M496" s="8" t="n">
        <v>17.79</v>
      </c>
      <c r="N496" s="4" t="n">
        <v>16.36</v>
      </c>
    </row>
    <row r="497">
      <c r="A497" s="2" t="inlineStr">
        <is>
          <t>MTM0331</t>
        </is>
      </c>
      <c r="B497" s="8" t="inlineStr">
        <is>
          <t>2029-07-01 00:00:00</t>
        </is>
      </c>
      <c r="C497" s="8" t="n">
        <v>13.63</v>
      </c>
      <c r="D497" s="8" t="n">
        <v>16.56</v>
      </c>
      <c r="E497" s="8" t="n">
        <v>24.67</v>
      </c>
      <c r="F497" s="8" t="n">
        <v>18.24</v>
      </c>
      <c r="G497" s="8" t="n">
        <v>26.55</v>
      </c>
      <c r="H497" s="8" t="n">
        <v>17.38</v>
      </c>
      <c r="I497" s="8" t="n">
        <v>13.59</v>
      </c>
      <c r="J497" s="8" t="n">
        <v>13.06</v>
      </c>
      <c r="K497" s="8" t="n">
        <v>16.84</v>
      </c>
      <c r="L497" s="8" t="n">
        <v>14.49</v>
      </c>
      <c r="M497" s="8" t="n">
        <v>18.98</v>
      </c>
      <c r="N497" s="4" t="n">
        <v>16.25</v>
      </c>
    </row>
    <row r="498">
      <c r="A498" s="2" t="inlineStr">
        <is>
          <t>MTM0331</t>
        </is>
      </c>
      <c r="B498" s="8" t="inlineStr">
        <is>
          <t>2029-08-01 00:00:00</t>
        </is>
      </c>
      <c r="C498" s="8" t="n">
        <v>13.62</v>
      </c>
      <c r="D498" s="8" t="n">
        <v>17.05</v>
      </c>
      <c r="E498" s="8" t="n">
        <v>17.93</v>
      </c>
      <c r="F498" s="8" t="n">
        <v>16.54</v>
      </c>
      <c r="G498" s="8" t="n">
        <v>18.94</v>
      </c>
      <c r="H498" s="8" t="n">
        <v>17.13</v>
      </c>
      <c r="I498" s="8" t="n">
        <v>15.32</v>
      </c>
      <c r="J498" s="8" t="n">
        <v>14.97</v>
      </c>
      <c r="K498" s="8" t="n">
        <v>17.4</v>
      </c>
      <c r="L498" s="8" t="n">
        <v>16.19</v>
      </c>
      <c r="M498" s="8" t="n">
        <v>18.99</v>
      </c>
      <c r="N498" s="4" t="n">
        <v>16.79</v>
      </c>
    </row>
    <row r="499">
      <c r="A499" s="2" t="inlineStr">
        <is>
          <t>MTM0331</t>
        </is>
      </c>
      <c r="B499" s="8" t="inlineStr">
        <is>
          <t>2029-09-01 00:00:00</t>
        </is>
      </c>
      <c r="C499" s="8" t="n">
        <v>9.85</v>
      </c>
      <c r="D499" s="8" t="n">
        <v>16.98</v>
      </c>
      <c r="E499" s="8" t="n">
        <v>20.95</v>
      </c>
      <c r="F499" s="8" t="n">
        <v>18.11</v>
      </c>
      <c r="G499" s="8" t="n">
        <v>23.91</v>
      </c>
      <c r="H499" s="8" t="n">
        <v>17.65</v>
      </c>
      <c r="I499" s="8" t="n">
        <v>8.41</v>
      </c>
      <c r="J499" s="8" t="n">
        <v>9.27</v>
      </c>
      <c r="K499" s="8" t="n">
        <v>13.71</v>
      </c>
      <c r="L499" s="8" t="n">
        <v>12.16</v>
      </c>
      <c r="M499" s="8" t="n">
        <v>17.71</v>
      </c>
      <c r="N499" s="4" t="n">
        <v>14.41</v>
      </c>
    </row>
    <row r="500">
      <c r="A500" s="2" t="inlineStr">
        <is>
          <t>MTM0331</t>
        </is>
      </c>
      <c r="B500" s="8" t="inlineStr">
        <is>
          <t>2029-10-01 00:00:00</t>
        </is>
      </c>
      <c r="C500" s="8" t="n">
        <v>5.69</v>
      </c>
      <c r="D500" s="8" t="n">
        <v>7.65</v>
      </c>
      <c r="E500" s="8" t="n">
        <v>8.949999999999999</v>
      </c>
      <c r="F500" s="8" t="n">
        <v>7.68</v>
      </c>
      <c r="G500" s="8" t="n">
        <v>9.109999999999999</v>
      </c>
      <c r="H500" s="8" t="n">
        <v>9.029999999999999</v>
      </c>
      <c r="I500" s="8" t="n">
        <v>6.41</v>
      </c>
      <c r="J500" s="8" t="n">
        <v>6.33</v>
      </c>
      <c r="K500" s="8" t="n">
        <v>7.12</v>
      </c>
      <c r="L500" s="8" t="n">
        <v>6.14</v>
      </c>
      <c r="M500" s="8" t="n">
        <v>7.67</v>
      </c>
      <c r="N500" s="4" t="n">
        <v>7.42</v>
      </c>
    </row>
    <row r="501">
      <c r="A501" s="2" t="inlineStr">
        <is>
          <t>MTM0331</t>
        </is>
      </c>
      <c r="B501" s="8" t="inlineStr">
        <is>
          <t>2029-11-01 00:00:00</t>
        </is>
      </c>
      <c r="C501" s="8" t="n">
        <v>4.62</v>
      </c>
      <c r="D501" s="8" t="n">
        <v>7.08</v>
      </c>
      <c r="E501" s="8" t="n">
        <v>10.16</v>
      </c>
      <c r="F501" s="8" t="n">
        <v>9.51</v>
      </c>
      <c r="G501" s="8" t="n">
        <v>10.08</v>
      </c>
      <c r="H501" s="8" t="n">
        <v>8.210000000000001</v>
      </c>
      <c r="I501" s="8" t="n">
        <v>4.58</v>
      </c>
      <c r="J501" s="8" t="n">
        <v>4.11</v>
      </c>
      <c r="K501" s="8" t="n">
        <v>6.71</v>
      </c>
      <c r="L501" s="8" t="n">
        <v>5.85</v>
      </c>
      <c r="M501" s="8" t="n">
        <v>6.67</v>
      </c>
      <c r="N501" s="4" t="n">
        <v>6.33</v>
      </c>
    </row>
    <row r="502">
      <c r="A502" s="2" t="inlineStr">
        <is>
          <t>MTM0331</t>
        </is>
      </c>
      <c r="B502" s="8" t="inlineStr">
        <is>
          <t>2029-12-01 00:00:00</t>
        </is>
      </c>
      <c r="C502" s="8" t="n">
        <v>5.81</v>
      </c>
      <c r="D502" s="8" t="n">
        <v>6.38</v>
      </c>
      <c r="E502" s="8" t="n">
        <v>10.4</v>
      </c>
      <c r="F502" s="8" t="n">
        <v>9.619999999999999</v>
      </c>
      <c r="G502" s="8" t="n">
        <v>9.210000000000001</v>
      </c>
      <c r="H502" s="8" t="n">
        <v>7.58</v>
      </c>
      <c r="I502" s="8" t="n">
        <v>5.54</v>
      </c>
      <c r="J502" s="8" t="n">
        <v>5.18</v>
      </c>
      <c r="K502" s="8" t="n">
        <v>7.21</v>
      </c>
      <c r="L502" s="8" t="n">
        <v>7.05</v>
      </c>
      <c r="M502" s="8" t="n">
        <v>7.58</v>
      </c>
      <c r="N502" s="4" t="n">
        <v>6.71</v>
      </c>
    </row>
    <row r="503">
      <c r="A503" s="2" t="inlineStr">
        <is>
          <t>MTM0331</t>
        </is>
      </c>
      <c r="B503" s="8" t="inlineStr">
        <is>
          <t>2030-01-01 00:00:00</t>
        </is>
      </c>
      <c r="C503" s="8" t="n">
        <v>10.28</v>
      </c>
      <c r="D503" s="8" t="n">
        <v>10.85</v>
      </c>
      <c r="E503" s="8" t="n">
        <v>14.02</v>
      </c>
      <c r="F503" s="8" t="n">
        <v>15.08</v>
      </c>
      <c r="G503" s="8" t="n">
        <v>15.84</v>
      </c>
      <c r="H503" s="8" t="n">
        <v>13.69</v>
      </c>
      <c r="I503" s="8" t="n">
        <v>7.84</v>
      </c>
      <c r="J503" s="8" t="n">
        <v>6.85</v>
      </c>
      <c r="K503" s="8" t="n">
        <v>8.84</v>
      </c>
      <c r="L503" s="8" t="n">
        <v>9.220000000000001</v>
      </c>
      <c r="M503" s="8" t="n">
        <v>10.89</v>
      </c>
      <c r="N503" s="4" t="n">
        <v>9.83</v>
      </c>
    </row>
    <row r="504">
      <c r="A504" s="2" t="inlineStr">
        <is>
          <t>MTM0331</t>
        </is>
      </c>
      <c r="B504" s="8" t="inlineStr">
        <is>
          <t>2030-02-01 00:00:00</t>
        </is>
      </c>
      <c r="C504" s="8" t="n">
        <v>9.4</v>
      </c>
      <c r="D504" s="8" t="n">
        <v>11.33</v>
      </c>
      <c r="E504" s="8" t="n">
        <v>14.04</v>
      </c>
      <c r="F504" s="8" t="n">
        <v>13.58</v>
      </c>
      <c r="G504" s="8" t="n">
        <v>15.15</v>
      </c>
      <c r="H504" s="8" t="n">
        <v>13.2</v>
      </c>
      <c r="I504" s="8" t="n">
        <v>8.32</v>
      </c>
      <c r="J504" s="8" t="n">
        <v>6.98</v>
      </c>
      <c r="K504" s="8" t="n">
        <v>10.32</v>
      </c>
      <c r="L504" s="8" t="n">
        <v>10.52</v>
      </c>
      <c r="M504" s="8" t="n">
        <v>12.26</v>
      </c>
      <c r="N504" s="4" t="n">
        <v>10.91</v>
      </c>
    </row>
    <row r="505">
      <c r="A505" s="2" t="inlineStr">
        <is>
          <t>MTM0331</t>
        </is>
      </c>
      <c r="B505" s="8" t="inlineStr">
        <is>
          <t>2030-03-01 00:00:00</t>
        </is>
      </c>
      <c r="C505" s="8" t="n">
        <v>9.82</v>
      </c>
      <c r="D505" s="8" t="n">
        <v>12</v>
      </c>
      <c r="E505" s="8" t="n">
        <v>13.62</v>
      </c>
      <c r="F505" s="8" t="n">
        <v>12.92</v>
      </c>
      <c r="G505" s="8" t="n">
        <v>13.7</v>
      </c>
      <c r="H505" s="8" t="n">
        <v>12.48</v>
      </c>
      <c r="I505" s="8" t="n">
        <v>9.640000000000001</v>
      </c>
      <c r="J505" s="8" t="n">
        <v>9.42</v>
      </c>
      <c r="K505" s="8" t="n">
        <v>12.35</v>
      </c>
      <c r="L505" s="8" t="n">
        <v>11.39</v>
      </c>
      <c r="M505" s="8" t="n">
        <v>12.53</v>
      </c>
      <c r="N505" s="4" t="n">
        <v>11.57</v>
      </c>
    </row>
    <row r="506">
      <c r="A506" s="2" t="inlineStr">
        <is>
          <t>MTM0331</t>
        </is>
      </c>
      <c r="B506" s="8" t="inlineStr">
        <is>
          <t>2030-04-01 00:00:00</t>
        </is>
      </c>
      <c r="C506" s="8" t="n">
        <v>14.87</v>
      </c>
      <c r="D506" s="8" t="n">
        <v>17.28</v>
      </c>
      <c r="E506" s="8" t="n">
        <v>18.47</v>
      </c>
      <c r="F506" s="8" t="n">
        <v>18.61</v>
      </c>
      <c r="G506" s="8" t="n">
        <v>20.45</v>
      </c>
      <c r="H506" s="8" t="n">
        <v>17.56</v>
      </c>
      <c r="I506" s="8" t="n">
        <v>12.68</v>
      </c>
      <c r="J506" s="8" t="n">
        <v>13.03</v>
      </c>
      <c r="K506" s="8" t="n">
        <v>16.49</v>
      </c>
      <c r="L506" s="8" t="n">
        <v>14.87</v>
      </c>
      <c r="M506" s="8" t="n">
        <v>17.49</v>
      </c>
      <c r="N506" s="4" t="n">
        <v>15.34</v>
      </c>
    </row>
    <row r="507">
      <c r="A507" s="2" t="inlineStr">
        <is>
          <t>MTM0331</t>
        </is>
      </c>
      <c r="B507" s="8" t="inlineStr">
        <is>
          <t>2030-05-01 00:00:00</t>
        </is>
      </c>
      <c r="C507" s="8" t="n">
        <v>13.47</v>
      </c>
      <c r="D507" s="8" t="n">
        <v>17.84</v>
      </c>
      <c r="E507" s="8" t="n">
        <v>20.64</v>
      </c>
      <c r="F507" s="8" t="n">
        <v>17.51</v>
      </c>
      <c r="G507" s="8" t="n">
        <v>22.39</v>
      </c>
      <c r="H507" s="8" t="n">
        <v>16.45</v>
      </c>
      <c r="I507" s="8" t="n">
        <v>13.67</v>
      </c>
      <c r="J507" s="8" t="n">
        <v>13.95</v>
      </c>
      <c r="K507" s="8" t="n">
        <v>15.01</v>
      </c>
      <c r="L507" s="8" t="n">
        <v>14.37</v>
      </c>
      <c r="M507" s="8" t="n">
        <v>16.4</v>
      </c>
      <c r="N507" s="4" t="n">
        <v>14.81</v>
      </c>
    </row>
    <row r="508">
      <c r="A508" s="2" t="inlineStr">
        <is>
          <t>MTM0331</t>
        </is>
      </c>
      <c r="B508" s="8" t="inlineStr">
        <is>
          <t>2030-06-01 00:00:00</t>
        </is>
      </c>
      <c r="C508" s="8" t="n">
        <v>14.05</v>
      </c>
      <c r="D508" s="8" t="n">
        <v>17.85</v>
      </c>
      <c r="E508" s="8" t="n">
        <v>26.04</v>
      </c>
      <c r="F508" s="8" t="n">
        <v>17.8</v>
      </c>
      <c r="G508" s="8" t="n">
        <v>27.09</v>
      </c>
      <c r="H508" s="8" t="n">
        <v>17.37</v>
      </c>
      <c r="I508" s="8" t="n">
        <v>12.83</v>
      </c>
      <c r="J508" s="8" t="n">
        <v>12.24</v>
      </c>
      <c r="K508" s="8" t="n">
        <v>15.08</v>
      </c>
      <c r="L508" s="8" t="n">
        <v>14.32</v>
      </c>
      <c r="M508" s="8" t="n">
        <v>17.79</v>
      </c>
      <c r="N508" s="4" t="n">
        <v>16.36</v>
      </c>
    </row>
    <row r="509">
      <c r="A509" s="2" t="inlineStr">
        <is>
          <t>MTM0331</t>
        </is>
      </c>
      <c r="B509" s="8" t="inlineStr">
        <is>
          <t>2030-07-01 00:00:00</t>
        </is>
      </c>
      <c r="C509" s="8" t="n">
        <v>13.63</v>
      </c>
      <c r="D509" s="8" t="n">
        <v>16.56</v>
      </c>
      <c r="E509" s="8" t="n">
        <v>24.67</v>
      </c>
      <c r="F509" s="8" t="n">
        <v>18.24</v>
      </c>
      <c r="G509" s="8" t="n">
        <v>26.55</v>
      </c>
      <c r="H509" s="8" t="n">
        <v>17.38</v>
      </c>
      <c r="I509" s="8" t="n">
        <v>13.59</v>
      </c>
      <c r="J509" s="8" t="n">
        <v>13.06</v>
      </c>
      <c r="K509" s="8" t="n">
        <v>16.84</v>
      </c>
      <c r="L509" s="8" t="n">
        <v>14.49</v>
      </c>
      <c r="M509" s="8" t="n">
        <v>18.98</v>
      </c>
      <c r="N509" s="4" t="n">
        <v>16.25</v>
      </c>
    </row>
    <row r="510">
      <c r="A510" s="2" t="inlineStr">
        <is>
          <t>MTM0331</t>
        </is>
      </c>
      <c r="B510" s="8" t="inlineStr">
        <is>
          <t>2030-08-01 00:00:00</t>
        </is>
      </c>
      <c r="C510" s="8" t="n">
        <v>13.62</v>
      </c>
      <c r="D510" s="8" t="n">
        <v>17.05</v>
      </c>
      <c r="E510" s="8" t="n">
        <v>17.93</v>
      </c>
      <c r="F510" s="8" t="n">
        <v>16.54</v>
      </c>
      <c r="G510" s="8" t="n">
        <v>18.94</v>
      </c>
      <c r="H510" s="8" t="n">
        <v>17.13</v>
      </c>
      <c r="I510" s="8" t="n">
        <v>15.32</v>
      </c>
      <c r="J510" s="8" t="n">
        <v>14.97</v>
      </c>
      <c r="K510" s="8" t="n">
        <v>17.4</v>
      </c>
      <c r="L510" s="8" t="n">
        <v>16.19</v>
      </c>
      <c r="M510" s="8" t="n">
        <v>18.99</v>
      </c>
      <c r="N510" s="4" t="n">
        <v>16.79</v>
      </c>
    </row>
    <row r="511">
      <c r="A511" s="2" t="inlineStr">
        <is>
          <t>MTM0331</t>
        </is>
      </c>
      <c r="B511" s="8" t="inlineStr">
        <is>
          <t>2030-09-01 00:00:00</t>
        </is>
      </c>
      <c r="C511" s="8" t="n">
        <v>9.85</v>
      </c>
      <c r="D511" s="8" t="n">
        <v>16.98</v>
      </c>
      <c r="E511" s="8" t="n">
        <v>20.95</v>
      </c>
      <c r="F511" s="8" t="n">
        <v>18.11</v>
      </c>
      <c r="G511" s="8" t="n">
        <v>23.91</v>
      </c>
      <c r="H511" s="8" t="n">
        <v>17.65</v>
      </c>
      <c r="I511" s="8" t="n">
        <v>8.41</v>
      </c>
      <c r="J511" s="8" t="n">
        <v>9.27</v>
      </c>
      <c r="K511" s="8" t="n">
        <v>13.71</v>
      </c>
      <c r="L511" s="8" t="n">
        <v>12.16</v>
      </c>
      <c r="M511" s="8" t="n">
        <v>17.71</v>
      </c>
      <c r="N511" s="4" t="n">
        <v>14.41</v>
      </c>
    </row>
    <row r="512">
      <c r="A512" s="2" t="inlineStr">
        <is>
          <t>MTM0331</t>
        </is>
      </c>
      <c r="B512" s="8" t="inlineStr">
        <is>
          <t>2030-10-01 00:00:00</t>
        </is>
      </c>
      <c r="C512" s="8" t="n">
        <v>5.69</v>
      </c>
      <c r="D512" s="8" t="n">
        <v>7.65</v>
      </c>
      <c r="E512" s="8" t="n">
        <v>8.949999999999999</v>
      </c>
      <c r="F512" s="8" t="n">
        <v>7.68</v>
      </c>
      <c r="G512" s="8" t="n">
        <v>9.109999999999999</v>
      </c>
      <c r="H512" s="8" t="n">
        <v>9.029999999999999</v>
      </c>
      <c r="I512" s="8" t="n">
        <v>6.41</v>
      </c>
      <c r="J512" s="8" t="n">
        <v>6.33</v>
      </c>
      <c r="K512" s="8" t="n">
        <v>7.12</v>
      </c>
      <c r="L512" s="8" t="n">
        <v>6.14</v>
      </c>
      <c r="M512" s="8" t="n">
        <v>7.67</v>
      </c>
      <c r="N512" s="4" t="n">
        <v>7.42</v>
      </c>
    </row>
    <row r="513">
      <c r="A513" s="2" t="inlineStr">
        <is>
          <t>MTM0331</t>
        </is>
      </c>
      <c r="B513" s="8" t="inlineStr">
        <is>
          <t>2030-11-01 00:00:00</t>
        </is>
      </c>
      <c r="C513" s="8" t="n">
        <v>4.62</v>
      </c>
      <c r="D513" s="8" t="n">
        <v>7.08</v>
      </c>
      <c r="E513" s="8" t="n">
        <v>10.16</v>
      </c>
      <c r="F513" s="8" t="n">
        <v>9.51</v>
      </c>
      <c r="G513" s="8" t="n">
        <v>10.08</v>
      </c>
      <c r="H513" s="8" t="n">
        <v>8.210000000000001</v>
      </c>
      <c r="I513" s="8" t="n">
        <v>4.58</v>
      </c>
      <c r="J513" s="8" t="n">
        <v>4.11</v>
      </c>
      <c r="K513" s="8" t="n">
        <v>6.71</v>
      </c>
      <c r="L513" s="8" t="n">
        <v>5.85</v>
      </c>
      <c r="M513" s="8" t="n">
        <v>6.67</v>
      </c>
      <c r="N513" s="4" t="n">
        <v>6.33</v>
      </c>
    </row>
    <row r="514">
      <c r="A514" s="2" t="inlineStr">
        <is>
          <t>MTM0331</t>
        </is>
      </c>
      <c r="B514" s="8" t="inlineStr">
        <is>
          <t>2030-12-01 00:00:00</t>
        </is>
      </c>
      <c r="C514" s="8" t="n">
        <v>5.81</v>
      </c>
      <c r="D514" s="8" t="n">
        <v>6.38</v>
      </c>
      <c r="E514" s="8" t="n">
        <v>10.4</v>
      </c>
      <c r="F514" s="8" t="n">
        <v>9.619999999999999</v>
      </c>
      <c r="G514" s="8" t="n">
        <v>9.210000000000001</v>
      </c>
      <c r="H514" s="8" t="n">
        <v>7.58</v>
      </c>
      <c r="I514" s="8" t="n">
        <v>5.54</v>
      </c>
      <c r="J514" s="8" t="n">
        <v>5.18</v>
      </c>
      <c r="K514" s="8" t="n">
        <v>7.21</v>
      </c>
      <c r="L514" s="8" t="n">
        <v>7.05</v>
      </c>
      <c r="M514" s="8" t="n">
        <v>7.58</v>
      </c>
      <c r="N514" s="4" t="n">
        <v>6.71</v>
      </c>
    </row>
    <row r="515">
      <c r="A515" s="2" t="inlineStr">
        <is>
          <t>MTM0331</t>
        </is>
      </c>
      <c r="B515" s="8" t="inlineStr">
        <is>
          <t>2031-01-01 00:00:00</t>
        </is>
      </c>
      <c r="C515" s="8" t="n">
        <v>10.28</v>
      </c>
      <c r="D515" s="8" t="n">
        <v>10.85</v>
      </c>
      <c r="E515" s="8" t="n">
        <v>14.02</v>
      </c>
      <c r="F515" s="8" t="n">
        <v>15.08</v>
      </c>
      <c r="G515" s="8" t="n">
        <v>15.84</v>
      </c>
      <c r="H515" s="8" t="n">
        <v>13.69</v>
      </c>
      <c r="I515" s="8" t="n">
        <v>7.84</v>
      </c>
      <c r="J515" s="8" t="n">
        <v>6.85</v>
      </c>
      <c r="K515" s="8" t="n">
        <v>8.84</v>
      </c>
      <c r="L515" s="8" t="n">
        <v>9.220000000000001</v>
      </c>
      <c r="M515" s="8" t="n">
        <v>10.89</v>
      </c>
      <c r="N515" s="4" t="n">
        <v>9.83</v>
      </c>
    </row>
    <row r="516">
      <c r="A516" s="2" t="inlineStr">
        <is>
          <t>MTM0331</t>
        </is>
      </c>
      <c r="B516" s="8" t="inlineStr">
        <is>
          <t>2031-02-01 00:00:00</t>
        </is>
      </c>
      <c r="C516" s="8" t="n">
        <v>9.4</v>
      </c>
      <c r="D516" s="8" t="n">
        <v>11.33</v>
      </c>
      <c r="E516" s="8" t="n">
        <v>14.04</v>
      </c>
      <c r="F516" s="8" t="n">
        <v>13.58</v>
      </c>
      <c r="G516" s="8" t="n">
        <v>15.15</v>
      </c>
      <c r="H516" s="8" t="n">
        <v>13.2</v>
      </c>
      <c r="I516" s="8" t="n">
        <v>8.32</v>
      </c>
      <c r="J516" s="8" t="n">
        <v>6.98</v>
      </c>
      <c r="K516" s="8" t="n">
        <v>10.32</v>
      </c>
      <c r="L516" s="8" t="n">
        <v>10.52</v>
      </c>
      <c r="M516" s="8" t="n">
        <v>12.26</v>
      </c>
      <c r="N516" s="4" t="n">
        <v>10.91</v>
      </c>
    </row>
    <row r="517">
      <c r="A517" s="2" t="inlineStr">
        <is>
          <t>MTM0331</t>
        </is>
      </c>
      <c r="B517" s="8" t="inlineStr">
        <is>
          <t>2031-03-01 00:00:00</t>
        </is>
      </c>
      <c r="C517" s="8" t="n">
        <v>9.82</v>
      </c>
      <c r="D517" s="8" t="n">
        <v>12</v>
      </c>
      <c r="E517" s="8" t="n">
        <v>13.62</v>
      </c>
      <c r="F517" s="8" t="n">
        <v>12.92</v>
      </c>
      <c r="G517" s="8" t="n">
        <v>13.7</v>
      </c>
      <c r="H517" s="8" t="n">
        <v>12.48</v>
      </c>
      <c r="I517" s="8" t="n">
        <v>9.640000000000001</v>
      </c>
      <c r="J517" s="8" t="n">
        <v>9.42</v>
      </c>
      <c r="K517" s="8" t="n">
        <v>12.35</v>
      </c>
      <c r="L517" s="8" t="n">
        <v>11.39</v>
      </c>
      <c r="M517" s="8" t="n">
        <v>12.53</v>
      </c>
      <c r="N517" s="4" t="n">
        <v>11.57</v>
      </c>
    </row>
    <row r="518">
      <c r="A518" s="2" t="inlineStr">
        <is>
          <t>MTM0331</t>
        </is>
      </c>
      <c r="B518" s="8" t="inlineStr">
        <is>
          <t>2031-04-01 00:00:00</t>
        </is>
      </c>
      <c r="C518" s="8" t="n">
        <v>14.87</v>
      </c>
      <c r="D518" s="8" t="n">
        <v>17.28</v>
      </c>
      <c r="E518" s="8" t="n">
        <v>18.47</v>
      </c>
      <c r="F518" s="8" t="n">
        <v>18.61</v>
      </c>
      <c r="G518" s="8" t="n">
        <v>20.45</v>
      </c>
      <c r="H518" s="8" t="n">
        <v>17.56</v>
      </c>
      <c r="I518" s="8" t="n">
        <v>12.68</v>
      </c>
      <c r="J518" s="8" t="n">
        <v>13.03</v>
      </c>
      <c r="K518" s="8" t="n">
        <v>16.49</v>
      </c>
      <c r="L518" s="8" t="n">
        <v>14.87</v>
      </c>
      <c r="M518" s="8" t="n">
        <v>17.49</v>
      </c>
      <c r="N518" s="4" t="n">
        <v>15.34</v>
      </c>
    </row>
    <row r="519">
      <c r="A519" s="2" t="inlineStr">
        <is>
          <t>MTM0331</t>
        </is>
      </c>
      <c r="B519" s="8" t="inlineStr">
        <is>
          <t>2031-05-01 00:00:00</t>
        </is>
      </c>
      <c r="C519" s="8" t="n">
        <v>13.47</v>
      </c>
      <c r="D519" s="8" t="n">
        <v>17.84</v>
      </c>
      <c r="E519" s="8" t="n">
        <v>20.64</v>
      </c>
      <c r="F519" s="8" t="n">
        <v>17.51</v>
      </c>
      <c r="G519" s="8" t="n">
        <v>22.39</v>
      </c>
      <c r="H519" s="8" t="n">
        <v>16.45</v>
      </c>
      <c r="I519" s="8" t="n">
        <v>13.67</v>
      </c>
      <c r="J519" s="8" t="n">
        <v>13.95</v>
      </c>
      <c r="K519" s="8" t="n">
        <v>15.01</v>
      </c>
      <c r="L519" s="8" t="n">
        <v>14.37</v>
      </c>
      <c r="M519" s="8" t="n">
        <v>16.4</v>
      </c>
      <c r="N519" s="4" t="n">
        <v>14.81</v>
      </c>
    </row>
    <row r="520">
      <c r="A520" s="2" t="inlineStr">
        <is>
          <t>MTM0331</t>
        </is>
      </c>
      <c r="B520" s="8" t="inlineStr">
        <is>
          <t>2031-06-01 00:00:00</t>
        </is>
      </c>
      <c r="C520" s="8" t="n">
        <v>14.05</v>
      </c>
      <c r="D520" s="8" t="n">
        <v>17.85</v>
      </c>
      <c r="E520" s="8" t="n">
        <v>26.04</v>
      </c>
      <c r="F520" s="8" t="n">
        <v>17.8</v>
      </c>
      <c r="G520" s="8" t="n">
        <v>27.09</v>
      </c>
      <c r="H520" s="8" t="n">
        <v>17.37</v>
      </c>
      <c r="I520" s="8" t="n">
        <v>12.83</v>
      </c>
      <c r="J520" s="8" t="n">
        <v>12.24</v>
      </c>
      <c r="K520" s="8" t="n">
        <v>15.08</v>
      </c>
      <c r="L520" s="8" t="n">
        <v>14.32</v>
      </c>
      <c r="M520" s="8" t="n">
        <v>17.79</v>
      </c>
      <c r="N520" s="4" t="n">
        <v>16.36</v>
      </c>
    </row>
    <row r="521">
      <c r="A521" s="2" t="inlineStr">
        <is>
          <t>FHL0331</t>
        </is>
      </c>
      <c r="B521" s="8" t="inlineStr">
        <is>
          <t>2026-07-01 00:00:00</t>
        </is>
      </c>
      <c r="C521" s="8" t="n">
        <v>11.47</v>
      </c>
      <c r="D521" s="8" t="n">
        <v>13.9</v>
      </c>
      <c r="E521" s="8" t="n">
        <v>21.65</v>
      </c>
      <c r="F521" s="8" t="n">
        <v>15.29</v>
      </c>
      <c r="G521" s="8" t="n">
        <v>23.21</v>
      </c>
      <c r="H521" s="8" t="n">
        <v>14.58</v>
      </c>
      <c r="I521" s="8" t="n">
        <v>11.43</v>
      </c>
      <c r="J521" s="8" t="n">
        <v>11</v>
      </c>
      <c r="K521" s="8" t="n">
        <v>14.13</v>
      </c>
      <c r="L521" s="8" t="n">
        <v>12.18</v>
      </c>
      <c r="M521" s="8" t="n">
        <v>15.91</v>
      </c>
      <c r="N521" s="4" t="n">
        <v>13.65</v>
      </c>
    </row>
    <row r="522">
      <c r="A522" s="2" t="inlineStr">
        <is>
          <t>FHL0331</t>
        </is>
      </c>
      <c r="B522" s="8" t="inlineStr">
        <is>
          <t>2026-08-01 00:00:00</t>
        </is>
      </c>
      <c r="C522" s="8" t="n">
        <v>11.74</v>
      </c>
      <c r="D522" s="8" t="n">
        <v>14.66</v>
      </c>
      <c r="E522" s="8" t="n">
        <v>15.41</v>
      </c>
      <c r="F522" s="8" t="n">
        <v>14.22</v>
      </c>
      <c r="G522" s="8" t="n">
        <v>16.26</v>
      </c>
      <c r="H522" s="8" t="n">
        <v>14.72</v>
      </c>
      <c r="I522" s="8" t="n">
        <v>13.18</v>
      </c>
      <c r="J522" s="8" t="n">
        <v>12.88</v>
      </c>
      <c r="K522" s="8" t="n">
        <v>14.96</v>
      </c>
      <c r="L522" s="8" t="n">
        <v>13.92</v>
      </c>
      <c r="M522" s="8" t="n">
        <v>16.31</v>
      </c>
      <c r="N522" s="4" t="n">
        <v>14.43</v>
      </c>
    </row>
    <row r="523">
      <c r="A523" s="2" t="inlineStr">
        <is>
          <t>FHL0331</t>
        </is>
      </c>
      <c r="B523" s="8" t="inlineStr">
        <is>
          <t>2026-09-01 00:00:00</t>
        </is>
      </c>
      <c r="C523" s="8" t="n">
        <v>6.23</v>
      </c>
      <c r="D523" s="8" t="n">
        <v>10.61</v>
      </c>
      <c r="E523" s="8" t="n">
        <v>13.05</v>
      </c>
      <c r="F523" s="8" t="n">
        <v>11.31</v>
      </c>
      <c r="G523" s="8" t="n">
        <v>14.87</v>
      </c>
      <c r="H523" s="8" t="n">
        <v>11.02</v>
      </c>
      <c r="I523" s="8" t="n">
        <v>5.35</v>
      </c>
      <c r="J523" s="8" t="n">
        <v>5.87</v>
      </c>
      <c r="K523" s="8" t="n">
        <v>8.6</v>
      </c>
      <c r="L523" s="8" t="n">
        <v>7.65</v>
      </c>
      <c r="M523" s="8" t="n">
        <v>11.06</v>
      </c>
      <c r="N523" s="4" t="n">
        <v>9.029999999999999</v>
      </c>
    </row>
    <row r="524">
      <c r="A524" s="2" t="inlineStr">
        <is>
          <t>FHL0331</t>
        </is>
      </c>
      <c r="B524" s="8" t="inlineStr">
        <is>
          <t>2026-10-01 00:00:00</t>
        </is>
      </c>
      <c r="C524" s="8" t="n">
        <v>6.06</v>
      </c>
      <c r="D524" s="8" t="n">
        <v>8.17</v>
      </c>
      <c r="E524" s="8" t="n">
        <v>9.57</v>
      </c>
      <c r="F524" s="8" t="n">
        <v>8.199999999999999</v>
      </c>
      <c r="G524" s="8" t="n">
        <v>9.74</v>
      </c>
      <c r="H524" s="8" t="n">
        <v>9.65</v>
      </c>
      <c r="I524" s="8" t="n">
        <v>6.84</v>
      </c>
      <c r="J524" s="8" t="n">
        <v>6.75</v>
      </c>
      <c r="K524" s="8" t="n">
        <v>7.6</v>
      </c>
      <c r="L524" s="8" t="n">
        <v>6.55</v>
      </c>
      <c r="M524" s="8" t="n">
        <v>8.19</v>
      </c>
      <c r="N524" s="4" t="n">
        <v>7.92</v>
      </c>
    </row>
    <row r="525">
      <c r="A525" s="2" t="inlineStr">
        <is>
          <t>FHL0331</t>
        </is>
      </c>
      <c r="B525" s="8" t="inlineStr">
        <is>
          <t>2026-11-01 00:00:00</t>
        </is>
      </c>
      <c r="C525" s="8" t="n">
        <v>4.72</v>
      </c>
      <c r="D525" s="8" t="n">
        <v>7.25</v>
      </c>
      <c r="E525" s="8" t="n">
        <v>10.43</v>
      </c>
      <c r="F525" s="8" t="n">
        <v>9.75</v>
      </c>
      <c r="G525" s="8" t="n">
        <v>10.34</v>
      </c>
      <c r="H525" s="8" t="n">
        <v>8.41</v>
      </c>
      <c r="I525" s="8" t="n">
        <v>4.68</v>
      </c>
      <c r="J525" s="8" t="n">
        <v>4.19</v>
      </c>
      <c r="K525" s="8" t="n">
        <v>6.87</v>
      </c>
      <c r="L525" s="8" t="n">
        <v>5.98</v>
      </c>
      <c r="M525" s="8" t="n">
        <v>6.83</v>
      </c>
      <c r="N525" s="4" t="n">
        <v>6.48</v>
      </c>
    </row>
    <row r="526">
      <c r="A526" s="2" t="inlineStr">
        <is>
          <t>FHL0331</t>
        </is>
      </c>
      <c r="B526" s="8" t="inlineStr">
        <is>
          <t>2026-12-01 00:00:00</t>
        </is>
      </c>
      <c r="C526" s="8" t="n">
        <v>5.42</v>
      </c>
      <c r="D526" s="8" t="n">
        <v>5.96</v>
      </c>
      <c r="E526" s="8" t="n">
        <v>9.710000000000001</v>
      </c>
      <c r="F526" s="8" t="n">
        <v>8.970000000000001</v>
      </c>
      <c r="G526" s="8" t="n">
        <v>8.6</v>
      </c>
      <c r="H526" s="8" t="n">
        <v>7.07</v>
      </c>
      <c r="I526" s="8" t="n">
        <v>5.17</v>
      </c>
      <c r="J526" s="8" t="n">
        <v>4.84</v>
      </c>
      <c r="K526" s="8" t="n">
        <v>6.73</v>
      </c>
      <c r="L526" s="8" t="n">
        <v>6.59</v>
      </c>
      <c r="M526" s="8" t="n">
        <v>7.08</v>
      </c>
      <c r="N526" s="4" t="n">
        <v>6.26</v>
      </c>
    </row>
    <row r="527">
      <c r="A527" s="2" t="inlineStr">
        <is>
          <t>FHL0331</t>
        </is>
      </c>
      <c r="B527" s="8" t="inlineStr">
        <is>
          <t>2027-01-01 00:00:00</t>
        </is>
      </c>
      <c r="C527" s="8" t="n">
        <v>11.07</v>
      </c>
      <c r="D527" s="8" t="n">
        <v>11.68</v>
      </c>
      <c r="E527" s="8" t="n">
        <v>15.11</v>
      </c>
      <c r="F527" s="8" t="n">
        <v>16.26</v>
      </c>
      <c r="G527" s="8" t="n">
        <v>17.08</v>
      </c>
      <c r="H527" s="8" t="n">
        <v>14.75</v>
      </c>
      <c r="I527" s="8" t="n">
        <v>8.42</v>
      </c>
      <c r="J527" s="8" t="n">
        <v>7.35</v>
      </c>
      <c r="K527" s="8" t="n">
        <v>9.5</v>
      </c>
      <c r="L527" s="8" t="n">
        <v>9.92</v>
      </c>
      <c r="M527" s="8" t="n">
        <v>11.72</v>
      </c>
      <c r="N527" s="4" t="n">
        <v>10.57</v>
      </c>
    </row>
    <row r="528">
      <c r="A528" s="2" t="inlineStr">
        <is>
          <t>FHL0331</t>
        </is>
      </c>
      <c r="B528" s="8" t="inlineStr">
        <is>
          <t>2027-02-01 00:00:00</t>
        </is>
      </c>
      <c r="C528" s="8" t="n">
        <v>10.2</v>
      </c>
      <c r="D528" s="8" t="n">
        <v>12.31</v>
      </c>
      <c r="E528" s="8" t="n">
        <v>15.26</v>
      </c>
      <c r="F528" s="8" t="n">
        <v>14.76</v>
      </c>
      <c r="G528" s="8" t="n">
        <v>16.48</v>
      </c>
      <c r="H528" s="8" t="n">
        <v>14.35</v>
      </c>
      <c r="I528" s="8" t="n">
        <v>9.02</v>
      </c>
      <c r="J528" s="8" t="n">
        <v>7.56</v>
      </c>
      <c r="K528" s="8" t="n">
        <v>11.2</v>
      </c>
      <c r="L528" s="8" t="n">
        <v>11.43</v>
      </c>
      <c r="M528" s="8" t="n">
        <v>13.32</v>
      </c>
      <c r="N528" s="4" t="n">
        <v>11.85</v>
      </c>
    </row>
    <row r="529">
      <c r="A529" s="2" t="inlineStr">
        <is>
          <t>FHL0331</t>
        </is>
      </c>
      <c r="B529" s="8" t="inlineStr">
        <is>
          <t>2027-03-01 00:00:00</t>
        </is>
      </c>
      <c r="C529" s="8" t="n">
        <v>10.44</v>
      </c>
      <c r="D529" s="8" t="n">
        <v>12.77</v>
      </c>
      <c r="E529" s="8" t="n">
        <v>14.49</v>
      </c>
      <c r="F529" s="8" t="n">
        <v>13.75</v>
      </c>
      <c r="G529" s="8" t="n">
        <v>14.58</v>
      </c>
      <c r="H529" s="8" t="n">
        <v>13.28</v>
      </c>
      <c r="I529" s="8" t="n">
        <v>10.25</v>
      </c>
      <c r="J529" s="8" t="n">
        <v>10.02</v>
      </c>
      <c r="K529" s="8" t="n">
        <v>13.15</v>
      </c>
      <c r="L529" s="8" t="n">
        <v>12.12</v>
      </c>
      <c r="M529" s="8" t="n">
        <v>13.34</v>
      </c>
      <c r="N529" s="4" t="n">
        <v>12.32</v>
      </c>
    </row>
    <row r="530">
      <c r="A530" s="2" t="inlineStr">
        <is>
          <t>FHL0331</t>
        </is>
      </c>
      <c r="B530" s="8" t="inlineStr">
        <is>
          <t>2027-04-01 00:00:00</t>
        </is>
      </c>
      <c r="C530" s="8" t="n">
        <v>15.54</v>
      </c>
      <c r="D530" s="8" t="n">
        <v>18.07</v>
      </c>
      <c r="E530" s="8" t="n">
        <v>19.32</v>
      </c>
      <c r="F530" s="8" t="n">
        <v>19.46</v>
      </c>
      <c r="G530" s="8" t="n">
        <v>21.39</v>
      </c>
      <c r="H530" s="8" t="n">
        <v>18.37</v>
      </c>
      <c r="I530" s="8" t="n">
        <v>13.25</v>
      </c>
      <c r="J530" s="8" t="n">
        <v>13.62</v>
      </c>
      <c r="K530" s="8" t="n">
        <v>17.24</v>
      </c>
      <c r="L530" s="8" t="n">
        <v>15.54</v>
      </c>
      <c r="M530" s="8" t="n">
        <v>18.29</v>
      </c>
      <c r="N530" s="4" t="n">
        <v>16.03</v>
      </c>
    </row>
    <row r="531">
      <c r="A531" s="2" t="inlineStr">
        <is>
          <t>FHL0331</t>
        </is>
      </c>
      <c r="B531" s="8" t="inlineStr">
        <is>
          <t>2027-05-01 00:00:00</t>
        </is>
      </c>
      <c r="C531" s="8" t="n">
        <v>15.35</v>
      </c>
      <c r="D531" s="8" t="n">
        <v>20.38</v>
      </c>
      <c r="E531" s="8" t="n">
        <v>23.6</v>
      </c>
      <c r="F531" s="8" t="n">
        <v>20</v>
      </c>
      <c r="G531" s="8" t="n">
        <v>25.61</v>
      </c>
      <c r="H531" s="8" t="n">
        <v>18.78</v>
      </c>
      <c r="I531" s="8" t="n">
        <v>15.59</v>
      </c>
      <c r="J531" s="8" t="n">
        <v>15.9</v>
      </c>
      <c r="K531" s="8" t="n">
        <v>17.12</v>
      </c>
      <c r="L531" s="8" t="n">
        <v>16.38</v>
      </c>
      <c r="M531" s="8" t="n">
        <v>18.72</v>
      </c>
      <c r="N531" s="4" t="n">
        <v>16.9</v>
      </c>
    </row>
    <row r="532">
      <c r="A532" s="2" t="inlineStr">
        <is>
          <t>FHL0331</t>
        </is>
      </c>
      <c r="B532" s="8" t="inlineStr">
        <is>
          <t>2027-06-01 00:00:00</t>
        </is>
      </c>
      <c r="C532" s="8" t="n">
        <v>14.71</v>
      </c>
      <c r="D532" s="8" t="n">
        <v>18.7</v>
      </c>
      <c r="E532" s="8" t="n">
        <v>26.99</v>
      </c>
      <c r="F532" s="8" t="n">
        <v>18.64</v>
      </c>
      <c r="G532" s="8" t="n">
        <v>28.09</v>
      </c>
      <c r="H532" s="8" t="n">
        <v>18.19</v>
      </c>
      <c r="I532" s="8" t="n">
        <v>13.42</v>
      </c>
      <c r="J532" s="8" t="n">
        <v>12.8</v>
      </c>
      <c r="K532" s="8" t="n">
        <v>15.79</v>
      </c>
      <c r="L532" s="8" t="n">
        <v>14.99</v>
      </c>
      <c r="M532" s="8" t="n">
        <v>18.63</v>
      </c>
      <c r="N532" s="4" t="n">
        <v>17.13</v>
      </c>
    </row>
    <row r="533">
      <c r="A533" s="2" t="inlineStr">
        <is>
          <t>FHL0331</t>
        </is>
      </c>
      <c r="B533" s="8" t="inlineStr">
        <is>
          <t>2027-07-01 00:00:00</t>
        </is>
      </c>
      <c r="C533" s="8" t="n">
        <v>14.21</v>
      </c>
      <c r="D533" s="8" t="n">
        <v>17.29</v>
      </c>
      <c r="E533" s="8" t="n">
        <v>25.48</v>
      </c>
      <c r="F533" s="8" t="n">
        <v>19.03</v>
      </c>
      <c r="G533" s="8" t="n">
        <v>27.45</v>
      </c>
      <c r="H533" s="8" t="n">
        <v>18.14</v>
      </c>
      <c r="I533" s="8" t="n">
        <v>14.17</v>
      </c>
      <c r="J533" s="8" t="n">
        <v>13.62</v>
      </c>
      <c r="K533" s="8" t="n">
        <v>17.58</v>
      </c>
      <c r="L533" s="8" t="n">
        <v>15.12</v>
      </c>
      <c r="M533" s="8" t="n">
        <v>19.82</v>
      </c>
      <c r="N533" s="4" t="n">
        <v>16.96</v>
      </c>
    </row>
    <row r="534">
      <c r="A534" s="2" t="inlineStr">
        <is>
          <t>FHL0331</t>
        </is>
      </c>
      <c r="B534" s="8" t="inlineStr">
        <is>
          <t>2027-08-01 00:00:00</t>
        </is>
      </c>
      <c r="C534" s="8" t="n">
        <v>14.31</v>
      </c>
      <c r="D534" s="8" t="n">
        <v>17.93</v>
      </c>
      <c r="E534" s="8" t="n">
        <v>18.86</v>
      </c>
      <c r="F534" s="8" t="n">
        <v>17.39</v>
      </c>
      <c r="G534" s="8" t="n">
        <v>19.92</v>
      </c>
      <c r="H534" s="8" t="n">
        <v>18.01</v>
      </c>
      <c r="I534" s="8" t="n">
        <v>16.1</v>
      </c>
      <c r="J534" s="8" t="n">
        <v>15.73</v>
      </c>
      <c r="K534" s="8" t="n">
        <v>18.3</v>
      </c>
      <c r="L534" s="8" t="n">
        <v>17.02</v>
      </c>
      <c r="M534" s="8" t="n">
        <v>19.98</v>
      </c>
      <c r="N534" s="4" t="n">
        <v>17.65</v>
      </c>
    </row>
    <row r="535">
      <c r="A535" s="2" t="inlineStr">
        <is>
          <t>FHL0331</t>
        </is>
      </c>
      <c r="B535" s="8" t="inlineStr">
        <is>
          <t>2027-09-01 00:00:00</t>
        </is>
      </c>
      <c r="C535" s="8" t="n">
        <v>10.31</v>
      </c>
      <c r="D535" s="8" t="n">
        <v>17.8</v>
      </c>
      <c r="E535" s="8" t="n">
        <v>21.97</v>
      </c>
      <c r="F535" s="8" t="n">
        <v>19</v>
      </c>
      <c r="G535" s="8" t="n">
        <v>25.08</v>
      </c>
      <c r="H535" s="8" t="n">
        <v>18.51</v>
      </c>
      <c r="I535" s="8" t="n">
        <v>8.800000000000001</v>
      </c>
      <c r="J535" s="8" t="n">
        <v>9.699999999999999</v>
      </c>
      <c r="K535" s="8" t="n">
        <v>14.37</v>
      </c>
      <c r="L535" s="8" t="n">
        <v>12.74</v>
      </c>
      <c r="M535" s="8" t="n">
        <v>18.58</v>
      </c>
      <c r="N535" s="4" t="n">
        <v>15.11</v>
      </c>
    </row>
    <row r="536">
      <c r="A536" s="2" t="inlineStr">
        <is>
          <t>FHL0331</t>
        </is>
      </c>
      <c r="B536" s="8" t="inlineStr">
        <is>
          <t>2027-10-01 00:00:00</t>
        </is>
      </c>
      <c r="C536" s="8" t="n">
        <v>5.87</v>
      </c>
      <c r="D536" s="8" t="n">
        <v>7.89</v>
      </c>
      <c r="E536" s="8" t="n">
        <v>9.25</v>
      </c>
      <c r="F536" s="8" t="n">
        <v>7.93</v>
      </c>
      <c r="G536" s="8" t="n">
        <v>9.41</v>
      </c>
      <c r="H536" s="8" t="n">
        <v>9.33</v>
      </c>
      <c r="I536" s="8" t="n">
        <v>6.62</v>
      </c>
      <c r="J536" s="8" t="n">
        <v>6.53</v>
      </c>
      <c r="K536" s="8" t="n">
        <v>7.35</v>
      </c>
      <c r="L536" s="8" t="n">
        <v>6.34</v>
      </c>
      <c r="M536" s="8" t="n">
        <v>7.92</v>
      </c>
      <c r="N536" s="4" t="n">
        <v>7.65</v>
      </c>
    </row>
    <row r="537">
      <c r="A537" s="2" t="inlineStr">
        <is>
          <t>FHL0331</t>
        </is>
      </c>
      <c r="B537" s="8" t="inlineStr">
        <is>
          <t>2027-11-01 00:00:00</t>
        </is>
      </c>
      <c r="C537" s="8" t="n">
        <v>4.68</v>
      </c>
      <c r="D537" s="8" t="n">
        <v>7.19</v>
      </c>
      <c r="E537" s="8" t="n">
        <v>10.33</v>
      </c>
      <c r="F537" s="8" t="n">
        <v>9.66</v>
      </c>
      <c r="G537" s="8" t="n">
        <v>10.24</v>
      </c>
      <c r="H537" s="8" t="n">
        <v>8.33</v>
      </c>
      <c r="I537" s="8" t="n">
        <v>4.65</v>
      </c>
      <c r="J537" s="8" t="n">
        <v>4.16</v>
      </c>
      <c r="K537" s="8" t="n">
        <v>6.81</v>
      </c>
      <c r="L537" s="8" t="n">
        <v>5.93</v>
      </c>
      <c r="M537" s="8" t="n">
        <v>6.77</v>
      </c>
      <c r="N537" s="4" t="n">
        <v>6.42</v>
      </c>
    </row>
    <row r="538">
      <c r="A538" s="2" t="inlineStr">
        <is>
          <t>FHL0331</t>
        </is>
      </c>
      <c r="B538" s="8" t="inlineStr">
        <is>
          <t>2027-12-01 00:00:00</t>
        </is>
      </c>
      <c r="C538" s="8" t="n">
        <v>5.86</v>
      </c>
      <c r="D538" s="8" t="n">
        <v>6.44</v>
      </c>
      <c r="E538" s="8" t="n">
        <v>10.52</v>
      </c>
      <c r="F538" s="8" t="n">
        <v>9.720000000000001</v>
      </c>
      <c r="G538" s="8" t="n">
        <v>9.31</v>
      </c>
      <c r="H538" s="8" t="n">
        <v>7.66</v>
      </c>
      <c r="I538" s="8" t="n">
        <v>5.59</v>
      </c>
      <c r="J538" s="8" t="n">
        <v>5.23</v>
      </c>
      <c r="K538" s="8" t="n">
        <v>7.29</v>
      </c>
      <c r="L538" s="8" t="n">
        <v>7.13</v>
      </c>
      <c r="M538" s="8" t="n">
        <v>7.66</v>
      </c>
      <c r="N538" s="4" t="n">
        <v>6.78</v>
      </c>
    </row>
    <row r="539">
      <c r="A539" s="2" t="inlineStr">
        <is>
          <t>FHL0331</t>
        </is>
      </c>
      <c r="B539" s="8" t="inlineStr">
        <is>
          <t>2028-01-01 00:00:00</t>
        </is>
      </c>
      <c r="C539" s="8" t="n">
        <v>10.53</v>
      </c>
      <c r="D539" s="8" t="n">
        <v>11.11</v>
      </c>
      <c r="E539" s="8" t="n">
        <v>14.36</v>
      </c>
      <c r="F539" s="8" t="n">
        <v>15.46</v>
      </c>
      <c r="G539" s="8" t="n">
        <v>16.24</v>
      </c>
      <c r="H539" s="8" t="n">
        <v>14.03</v>
      </c>
      <c r="I539" s="8" t="n">
        <v>8.029999999999999</v>
      </c>
      <c r="J539" s="8" t="n">
        <v>7.01</v>
      </c>
      <c r="K539" s="8" t="n">
        <v>9.050000000000001</v>
      </c>
      <c r="L539" s="8" t="n">
        <v>9.44</v>
      </c>
      <c r="M539" s="8" t="n">
        <v>11.15</v>
      </c>
      <c r="N539" s="4" t="n">
        <v>10.06</v>
      </c>
    </row>
    <row r="540">
      <c r="A540" s="2" t="inlineStr">
        <is>
          <t>FHL0331</t>
        </is>
      </c>
      <c r="B540" s="8" t="inlineStr">
        <is>
          <t>2028-02-01 00:00:00</t>
        </is>
      </c>
      <c r="C540" s="8" t="n">
        <v>9.69</v>
      </c>
      <c r="D540" s="8" t="n">
        <v>11.68</v>
      </c>
      <c r="E540" s="8" t="n">
        <v>14.48</v>
      </c>
      <c r="F540" s="8" t="n">
        <v>14</v>
      </c>
      <c r="G540" s="8" t="n">
        <v>15.62</v>
      </c>
      <c r="H540" s="8" t="n">
        <v>13.61</v>
      </c>
      <c r="I540" s="8" t="n">
        <v>8.57</v>
      </c>
      <c r="J540" s="8" t="n">
        <v>7.19</v>
      </c>
      <c r="K540" s="8" t="n">
        <v>10.64</v>
      </c>
      <c r="L540" s="8" t="n">
        <v>10.85</v>
      </c>
      <c r="M540" s="8" t="n">
        <v>12.63</v>
      </c>
      <c r="N540" s="4" t="n">
        <v>11.24</v>
      </c>
    </row>
    <row r="541">
      <c r="A541" s="2" t="inlineStr">
        <is>
          <t>FHL0331</t>
        </is>
      </c>
      <c r="B541" s="8" t="inlineStr">
        <is>
          <t>2028-03-01 00:00:00</t>
        </is>
      </c>
      <c r="C541" s="8" t="n">
        <v>9.869999999999999</v>
      </c>
      <c r="D541" s="8" t="n">
        <v>12.07</v>
      </c>
      <c r="E541" s="8" t="n">
        <v>13.69</v>
      </c>
      <c r="F541" s="8" t="n">
        <v>12.99</v>
      </c>
      <c r="G541" s="8" t="n">
        <v>13.78</v>
      </c>
      <c r="H541" s="8" t="n">
        <v>12.55</v>
      </c>
      <c r="I541" s="8" t="n">
        <v>9.699999999999999</v>
      </c>
      <c r="J541" s="8" t="n">
        <v>9.470000000000001</v>
      </c>
      <c r="K541" s="8" t="n">
        <v>12.42</v>
      </c>
      <c r="L541" s="8" t="n">
        <v>11.46</v>
      </c>
      <c r="M541" s="8" t="n">
        <v>12.61</v>
      </c>
      <c r="N541" s="4" t="n">
        <v>11.64</v>
      </c>
    </row>
    <row r="542">
      <c r="A542" s="2" t="inlineStr">
        <is>
          <t>FHL0331</t>
        </is>
      </c>
      <c r="B542" s="8" t="inlineStr">
        <is>
          <t>2028-04-01 00:00:00</t>
        </is>
      </c>
      <c r="C542" s="8" t="n">
        <v>15.15</v>
      </c>
      <c r="D542" s="8" t="n">
        <v>17.6</v>
      </c>
      <c r="E542" s="8" t="n">
        <v>18.82</v>
      </c>
      <c r="F542" s="8" t="n">
        <v>18.96</v>
      </c>
      <c r="G542" s="8" t="n">
        <v>20.83</v>
      </c>
      <c r="H542" s="8" t="n">
        <v>17.89</v>
      </c>
      <c r="I542" s="8" t="n">
        <v>12.91</v>
      </c>
      <c r="J542" s="8" t="n">
        <v>13.27</v>
      </c>
      <c r="K542" s="8" t="n">
        <v>16.8</v>
      </c>
      <c r="L542" s="8" t="n">
        <v>15.14</v>
      </c>
      <c r="M542" s="8" t="n">
        <v>17.82</v>
      </c>
      <c r="N542" s="4" t="n">
        <v>15.62</v>
      </c>
    </row>
    <row r="543">
      <c r="A543" s="2" t="inlineStr">
        <is>
          <t>FHL0331</t>
        </is>
      </c>
      <c r="B543" s="8" t="inlineStr">
        <is>
          <t>2028-05-01 00:00:00</t>
        </is>
      </c>
      <c r="C543" s="8" t="n">
        <v>14.45</v>
      </c>
      <c r="D543" s="8" t="n">
        <v>19.16</v>
      </c>
      <c r="E543" s="8" t="n">
        <v>22.18</v>
      </c>
      <c r="F543" s="8" t="n">
        <v>18.81</v>
      </c>
      <c r="G543" s="8" t="n">
        <v>24.06</v>
      </c>
      <c r="H543" s="8" t="n">
        <v>17.66</v>
      </c>
      <c r="I543" s="8" t="n">
        <v>14.67</v>
      </c>
      <c r="J543" s="8" t="n">
        <v>14.96</v>
      </c>
      <c r="K543" s="8" t="n">
        <v>16.11</v>
      </c>
      <c r="L543" s="8" t="n">
        <v>15.42</v>
      </c>
      <c r="M543" s="8" t="n">
        <v>17.6</v>
      </c>
      <c r="N543" s="4" t="n">
        <v>15.9</v>
      </c>
    </row>
    <row r="544">
      <c r="A544" s="2" t="inlineStr">
        <is>
          <t>FHL0331</t>
        </is>
      </c>
      <c r="B544" s="8" t="inlineStr">
        <is>
          <t>2028-06-01 00:00:00</t>
        </is>
      </c>
      <c r="C544" s="8" t="n">
        <v>13.93</v>
      </c>
      <c r="D544" s="8" t="n">
        <v>17.7</v>
      </c>
      <c r="E544" s="8" t="n">
        <v>25.86</v>
      </c>
      <c r="F544" s="8" t="n">
        <v>17.64</v>
      </c>
      <c r="G544" s="8" t="n">
        <v>26.9</v>
      </c>
      <c r="H544" s="8" t="n">
        <v>17.22</v>
      </c>
      <c r="I544" s="8" t="n">
        <v>12.72</v>
      </c>
      <c r="J544" s="8" t="n">
        <v>12.13</v>
      </c>
      <c r="K544" s="8" t="n">
        <v>14.95</v>
      </c>
      <c r="L544" s="8" t="n">
        <v>14.19</v>
      </c>
      <c r="M544" s="8" t="n">
        <v>17.63</v>
      </c>
      <c r="N544" s="4" t="n">
        <v>16.22</v>
      </c>
    </row>
    <row r="545">
      <c r="A545" s="2" t="inlineStr">
        <is>
          <t>FHL0331</t>
        </is>
      </c>
      <c r="B545" s="8" t="inlineStr">
        <is>
          <t>2028-07-01 00:00:00</t>
        </is>
      </c>
      <c r="C545" s="8" t="n">
        <v>13.63</v>
      </c>
      <c r="D545" s="8" t="n">
        <v>16.57</v>
      </c>
      <c r="E545" s="8" t="n">
        <v>24.67</v>
      </c>
      <c r="F545" s="8" t="n">
        <v>18.24</v>
      </c>
      <c r="G545" s="8" t="n">
        <v>26.55</v>
      </c>
      <c r="H545" s="8" t="n">
        <v>17.38</v>
      </c>
      <c r="I545" s="8" t="n">
        <v>13.59</v>
      </c>
      <c r="J545" s="8" t="n">
        <v>13.06</v>
      </c>
      <c r="K545" s="8" t="n">
        <v>16.84</v>
      </c>
      <c r="L545" s="8" t="n">
        <v>14.49</v>
      </c>
      <c r="M545" s="8" t="n">
        <v>18.98</v>
      </c>
      <c r="N545" s="4" t="n">
        <v>16.25</v>
      </c>
    </row>
    <row r="546">
      <c r="A546" s="2" t="inlineStr">
        <is>
          <t>FHL0331</t>
        </is>
      </c>
      <c r="B546" s="8" t="inlineStr">
        <is>
          <t>2028-08-01 00:00:00</t>
        </is>
      </c>
      <c r="C546" s="8" t="n">
        <v>13.61</v>
      </c>
      <c r="D546" s="8" t="n">
        <v>17.04</v>
      </c>
      <c r="E546" s="8" t="n">
        <v>17.92</v>
      </c>
      <c r="F546" s="8" t="n">
        <v>16.54</v>
      </c>
      <c r="G546" s="8" t="n">
        <v>18.93</v>
      </c>
      <c r="H546" s="8" t="n">
        <v>17.12</v>
      </c>
      <c r="I546" s="8" t="n">
        <v>15.31</v>
      </c>
      <c r="J546" s="8" t="n">
        <v>14.96</v>
      </c>
      <c r="K546" s="8" t="n">
        <v>17.39</v>
      </c>
      <c r="L546" s="8" t="n">
        <v>16.18</v>
      </c>
      <c r="M546" s="8" t="n">
        <v>18.98</v>
      </c>
      <c r="N546" s="4" t="n">
        <v>16.78</v>
      </c>
    </row>
    <row r="547">
      <c r="A547" s="2" t="inlineStr">
        <is>
          <t>FHL0331</t>
        </is>
      </c>
      <c r="B547" s="8" t="inlineStr">
        <is>
          <t>2028-09-01 00:00:00</t>
        </is>
      </c>
      <c r="C547" s="8" t="n">
        <v>9.92</v>
      </c>
      <c r="D547" s="8" t="n">
        <v>17.1</v>
      </c>
      <c r="E547" s="8" t="n">
        <v>21.1</v>
      </c>
      <c r="F547" s="8" t="n">
        <v>18.25</v>
      </c>
      <c r="G547" s="8" t="n">
        <v>24.09</v>
      </c>
      <c r="H547" s="8" t="n">
        <v>17.78</v>
      </c>
      <c r="I547" s="8" t="n">
        <v>8.470000000000001</v>
      </c>
      <c r="J547" s="8" t="n">
        <v>9.34</v>
      </c>
      <c r="K547" s="8" t="n">
        <v>13.81</v>
      </c>
      <c r="L547" s="8" t="n">
        <v>12.25</v>
      </c>
      <c r="M547" s="8" t="n">
        <v>17.85</v>
      </c>
      <c r="N547" s="4" t="n">
        <v>14.52</v>
      </c>
    </row>
    <row r="548">
      <c r="A548" s="2" t="inlineStr">
        <is>
          <t>FHL0331</t>
        </is>
      </c>
      <c r="B548" s="8" t="inlineStr">
        <is>
          <t>2028-10-01 00:00:00</t>
        </is>
      </c>
      <c r="C548" s="8" t="n">
        <v>5.8</v>
      </c>
      <c r="D548" s="8" t="n">
        <v>7.8</v>
      </c>
      <c r="E548" s="8" t="n">
        <v>9.130000000000001</v>
      </c>
      <c r="F548" s="8" t="n">
        <v>7.83</v>
      </c>
      <c r="G548" s="8" t="n">
        <v>9.289999999999999</v>
      </c>
      <c r="H548" s="8" t="n">
        <v>9.210000000000001</v>
      </c>
      <c r="I548" s="8" t="n">
        <v>6.54</v>
      </c>
      <c r="J548" s="8" t="n">
        <v>6.45</v>
      </c>
      <c r="K548" s="8" t="n">
        <v>7.26</v>
      </c>
      <c r="L548" s="8" t="n">
        <v>6.26</v>
      </c>
      <c r="M548" s="8" t="n">
        <v>7.82</v>
      </c>
      <c r="N548" s="4" t="n">
        <v>7.56</v>
      </c>
    </row>
    <row r="549">
      <c r="A549" s="2" t="inlineStr">
        <is>
          <t>FHL0331</t>
        </is>
      </c>
      <c r="B549" s="8" t="inlineStr">
        <is>
          <t>2028-11-01 00:00:00</t>
        </is>
      </c>
      <c r="C549" s="8" t="n">
        <v>4.66</v>
      </c>
      <c r="D549" s="8" t="n">
        <v>7.13</v>
      </c>
      <c r="E549" s="8" t="n">
        <v>10.25</v>
      </c>
      <c r="F549" s="8" t="n">
        <v>9.58</v>
      </c>
      <c r="G549" s="8" t="n">
        <v>10.16</v>
      </c>
      <c r="H549" s="8" t="n">
        <v>8.27</v>
      </c>
      <c r="I549" s="8" t="n">
        <v>4.62</v>
      </c>
      <c r="J549" s="8" t="n">
        <v>4.14</v>
      </c>
      <c r="K549" s="8" t="n">
        <v>6.76</v>
      </c>
      <c r="L549" s="8" t="n">
        <v>5.89</v>
      </c>
      <c r="M549" s="8" t="n">
        <v>6.73</v>
      </c>
      <c r="N549" s="4" t="n">
        <v>6.38</v>
      </c>
    </row>
    <row r="550">
      <c r="A550" s="2" t="inlineStr">
        <is>
          <t>FHL0331</t>
        </is>
      </c>
      <c r="B550" s="8" t="inlineStr">
        <is>
          <t>2028-12-01 00:00:00</t>
        </is>
      </c>
      <c r="C550" s="8" t="n">
        <v>5.9</v>
      </c>
      <c r="D550" s="8" t="n">
        <v>6.48</v>
      </c>
      <c r="E550" s="8" t="n">
        <v>10.58</v>
      </c>
      <c r="F550" s="8" t="n">
        <v>9.779999999999999</v>
      </c>
      <c r="G550" s="8" t="n">
        <v>9.369999999999999</v>
      </c>
      <c r="H550" s="8" t="n">
        <v>7.71</v>
      </c>
      <c r="I550" s="8" t="n">
        <v>5.63</v>
      </c>
      <c r="J550" s="8" t="n">
        <v>5.27</v>
      </c>
      <c r="K550" s="8" t="n">
        <v>7.34</v>
      </c>
      <c r="L550" s="8" t="n">
        <v>7.17</v>
      </c>
      <c r="M550" s="8" t="n">
        <v>7.71</v>
      </c>
      <c r="N550" s="4" t="n">
        <v>6.82</v>
      </c>
    </row>
    <row r="551">
      <c r="A551" s="2" t="inlineStr">
        <is>
          <t>FHL0331</t>
        </is>
      </c>
      <c r="B551" s="8" t="inlineStr">
        <is>
          <t>2029-01-01 00:00:00</t>
        </is>
      </c>
      <c r="C551" s="8" t="n">
        <v>10.15</v>
      </c>
      <c r="D551" s="8" t="n">
        <v>10.71</v>
      </c>
      <c r="E551" s="8" t="n">
        <v>13.84</v>
      </c>
      <c r="F551" s="8" t="n">
        <v>14.89</v>
      </c>
      <c r="G551" s="8" t="n">
        <v>15.63</v>
      </c>
      <c r="H551" s="8" t="n">
        <v>13.52</v>
      </c>
      <c r="I551" s="8" t="n">
        <v>7.74</v>
      </c>
      <c r="J551" s="8" t="n">
        <v>6.77</v>
      </c>
      <c r="K551" s="8" t="n">
        <v>8.73</v>
      </c>
      <c r="L551" s="8" t="n">
        <v>9.109999999999999</v>
      </c>
      <c r="M551" s="8" t="n">
        <v>10.75</v>
      </c>
      <c r="N551" s="4" t="n">
        <v>9.699999999999999</v>
      </c>
    </row>
    <row r="552">
      <c r="A552" s="2" t="inlineStr">
        <is>
          <t>FHL0331</t>
        </is>
      </c>
      <c r="B552" s="8" t="inlineStr">
        <is>
          <t>2029-02-01 00:00:00</t>
        </is>
      </c>
      <c r="C552" s="8" t="n">
        <v>9.58</v>
      </c>
      <c r="D552" s="8" t="n">
        <v>11.55</v>
      </c>
      <c r="E552" s="8" t="n">
        <v>14.31</v>
      </c>
      <c r="F552" s="8" t="n">
        <v>13.85</v>
      </c>
      <c r="G552" s="8" t="n">
        <v>15.45</v>
      </c>
      <c r="H552" s="8" t="n">
        <v>13.46</v>
      </c>
      <c r="I552" s="8" t="n">
        <v>8.470000000000001</v>
      </c>
      <c r="J552" s="8" t="n">
        <v>7.11</v>
      </c>
      <c r="K552" s="8" t="n">
        <v>10.52</v>
      </c>
      <c r="L552" s="8" t="n">
        <v>10.73</v>
      </c>
      <c r="M552" s="8" t="n">
        <v>12.49</v>
      </c>
      <c r="N552" s="4" t="n">
        <v>11.12</v>
      </c>
    </row>
    <row r="553">
      <c r="A553" s="2" t="inlineStr">
        <is>
          <t>FHL0331</t>
        </is>
      </c>
      <c r="B553" s="8" t="inlineStr">
        <is>
          <t>2029-03-01 00:00:00</t>
        </is>
      </c>
      <c r="C553" s="8" t="n">
        <v>9.800000000000001</v>
      </c>
      <c r="D553" s="8" t="n">
        <v>11.98</v>
      </c>
      <c r="E553" s="8" t="n">
        <v>13.6</v>
      </c>
      <c r="F553" s="8" t="n">
        <v>12.9</v>
      </c>
      <c r="G553" s="8" t="n">
        <v>13.68</v>
      </c>
      <c r="H553" s="8" t="n">
        <v>12.46</v>
      </c>
      <c r="I553" s="8" t="n">
        <v>9.630000000000001</v>
      </c>
      <c r="J553" s="8" t="n">
        <v>9.41</v>
      </c>
      <c r="K553" s="8" t="n">
        <v>12.34</v>
      </c>
      <c r="L553" s="8" t="n">
        <v>11.38</v>
      </c>
      <c r="M553" s="8" t="n">
        <v>12.52</v>
      </c>
      <c r="N553" s="4" t="n">
        <v>11.56</v>
      </c>
    </row>
    <row r="554">
      <c r="A554" s="2" t="inlineStr">
        <is>
          <t>FHL0331</t>
        </is>
      </c>
      <c r="B554" s="8" t="inlineStr">
        <is>
          <t>2029-04-01 00:00:00</t>
        </is>
      </c>
      <c r="C554" s="8" t="n">
        <v>14.85</v>
      </c>
      <c r="D554" s="8" t="n">
        <v>17.26</v>
      </c>
      <c r="E554" s="8" t="n">
        <v>18.45</v>
      </c>
      <c r="F554" s="8" t="n">
        <v>18.59</v>
      </c>
      <c r="G554" s="8" t="n">
        <v>20.42</v>
      </c>
      <c r="H554" s="8" t="n">
        <v>17.54</v>
      </c>
      <c r="I554" s="8" t="n">
        <v>12.67</v>
      </c>
      <c r="J554" s="8" t="n">
        <v>13.02</v>
      </c>
      <c r="K554" s="8" t="n">
        <v>16.47</v>
      </c>
      <c r="L554" s="8" t="n">
        <v>14.85</v>
      </c>
      <c r="M554" s="8" t="n">
        <v>17.47</v>
      </c>
      <c r="N554" s="4" t="n">
        <v>15.32</v>
      </c>
    </row>
    <row r="555">
      <c r="A555" s="2" t="inlineStr">
        <is>
          <t>FHL0331</t>
        </is>
      </c>
      <c r="B555" s="8" t="inlineStr">
        <is>
          <t>2029-05-01 00:00:00</t>
        </is>
      </c>
      <c r="C555" s="8" t="n">
        <v>14.34</v>
      </c>
      <c r="D555" s="8" t="n">
        <v>19.01</v>
      </c>
      <c r="E555" s="8" t="n">
        <v>22</v>
      </c>
      <c r="F555" s="8" t="n">
        <v>18.66</v>
      </c>
      <c r="G555" s="8" t="n">
        <v>23.87</v>
      </c>
      <c r="H555" s="8" t="n">
        <v>17.53</v>
      </c>
      <c r="I555" s="8" t="n">
        <v>14.56</v>
      </c>
      <c r="J555" s="8" t="n">
        <v>14.85</v>
      </c>
      <c r="K555" s="8" t="n">
        <v>15.98</v>
      </c>
      <c r="L555" s="8" t="n">
        <v>15.3</v>
      </c>
      <c r="M555" s="8" t="n">
        <v>17.47</v>
      </c>
      <c r="N555" s="4" t="n">
        <v>15.77</v>
      </c>
    </row>
    <row r="556">
      <c r="A556" s="2" t="inlineStr">
        <is>
          <t>FHL0331</t>
        </is>
      </c>
      <c r="B556" s="8" t="inlineStr">
        <is>
          <t>2029-06-01 00:00:00</t>
        </is>
      </c>
      <c r="C556" s="8" t="n">
        <v>13.91</v>
      </c>
      <c r="D556" s="8" t="n">
        <v>17.67</v>
      </c>
      <c r="E556" s="8" t="n">
        <v>25.83</v>
      </c>
      <c r="F556" s="8" t="n">
        <v>17.62</v>
      </c>
      <c r="G556" s="8" t="n">
        <v>26.87</v>
      </c>
      <c r="H556" s="8" t="n">
        <v>17.19</v>
      </c>
      <c r="I556" s="8" t="n">
        <v>12.7</v>
      </c>
      <c r="J556" s="8" t="n">
        <v>12.12</v>
      </c>
      <c r="K556" s="8" t="n">
        <v>14.93</v>
      </c>
      <c r="L556" s="8" t="n">
        <v>14.17</v>
      </c>
      <c r="M556" s="8" t="n">
        <v>17.61</v>
      </c>
      <c r="N556" s="4" t="n">
        <v>16.19</v>
      </c>
    </row>
    <row r="557">
      <c r="A557" s="2" t="inlineStr">
        <is>
          <t>FHL0331</t>
        </is>
      </c>
      <c r="B557" s="8" t="inlineStr">
        <is>
          <t>2029-07-01 00:00:00</t>
        </is>
      </c>
      <c r="C557" s="8" t="n">
        <v>13.24</v>
      </c>
      <c r="D557" s="8" t="n">
        <v>16.09</v>
      </c>
      <c r="E557" s="8" t="n">
        <v>24.13</v>
      </c>
      <c r="F557" s="8" t="n">
        <v>17.71</v>
      </c>
      <c r="G557" s="8" t="n">
        <v>25.95</v>
      </c>
      <c r="H557" s="8" t="n">
        <v>16.88</v>
      </c>
      <c r="I557" s="8" t="n">
        <v>13.2</v>
      </c>
      <c r="J557" s="8" t="n">
        <v>12.69</v>
      </c>
      <c r="K557" s="8" t="n">
        <v>16.36</v>
      </c>
      <c r="L557" s="8" t="n">
        <v>14.08</v>
      </c>
      <c r="M557" s="8" t="n">
        <v>18.43</v>
      </c>
      <c r="N557" s="4" t="n">
        <v>15.79</v>
      </c>
    </row>
    <row r="558">
      <c r="A558" s="2" t="inlineStr">
        <is>
          <t>FHL0331</t>
        </is>
      </c>
      <c r="B558" s="8" t="inlineStr">
        <is>
          <t>2029-08-01 00:00:00</t>
        </is>
      </c>
      <c r="C558" s="8" t="n">
        <v>13.28</v>
      </c>
      <c r="D558" s="8" t="n">
        <v>16.62</v>
      </c>
      <c r="E558" s="8" t="n">
        <v>17.47</v>
      </c>
      <c r="F558" s="8" t="n">
        <v>16.12</v>
      </c>
      <c r="G558" s="8" t="n">
        <v>18.45</v>
      </c>
      <c r="H558" s="8" t="n">
        <v>16.69</v>
      </c>
      <c r="I558" s="8" t="n">
        <v>14.93</v>
      </c>
      <c r="J558" s="8" t="n">
        <v>14.59</v>
      </c>
      <c r="K558" s="8" t="n">
        <v>16.96</v>
      </c>
      <c r="L558" s="8" t="n">
        <v>15.78</v>
      </c>
      <c r="M558" s="8" t="n">
        <v>18.5</v>
      </c>
      <c r="N558" s="4" t="n">
        <v>16.36</v>
      </c>
    </row>
    <row r="559">
      <c r="A559" s="2" t="inlineStr">
        <is>
          <t>FHL0331</t>
        </is>
      </c>
      <c r="B559" s="8" t="inlineStr">
        <is>
          <t>2029-09-01 00:00:00</t>
        </is>
      </c>
      <c r="C559" s="8" t="n">
        <v>9.77</v>
      </c>
      <c r="D559" s="8" t="n">
        <v>16.84</v>
      </c>
      <c r="E559" s="8" t="n">
        <v>20.78</v>
      </c>
      <c r="F559" s="8" t="n">
        <v>17.97</v>
      </c>
      <c r="G559" s="8" t="n">
        <v>23.72</v>
      </c>
      <c r="H559" s="8" t="n">
        <v>17.51</v>
      </c>
      <c r="I559" s="8" t="n">
        <v>8.35</v>
      </c>
      <c r="J559" s="8" t="n">
        <v>9.199999999999999</v>
      </c>
      <c r="K559" s="8" t="n">
        <v>13.6</v>
      </c>
      <c r="L559" s="8" t="n">
        <v>12.07</v>
      </c>
      <c r="M559" s="8" t="n">
        <v>17.57</v>
      </c>
      <c r="N559" s="4" t="n">
        <v>14.3</v>
      </c>
    </row>
    <row r="560">
      <c r="A560" s="2" t="inlineStr">
        <is>
          <t>FHL0331</t>
        </is>
      </c>
      <c r="B560" s="8" t="inlineStr">
        <is>
          <t>2029-10-01 00:00:00</t>
        </is>
      </c>
      <c r="C560" s="8" t="n">
        <v>5.65</v>
      </c>
      <c r="D560" s="8" t="n">
        <v>7.59</v>
      </c>
      <c r="E560" s="8" t="n">
        <v>8.880000000000001</v>
      </c>
      <c r="F560" s="8" t="n">
        <v>7.62</v>
      </c>
      <c r="G560" s="8" t="n">
        <v>9.039999999999999</v>
      </c>
      <c r="H560" s="8" t="n">
        <v>8.960000000000001</v>
      </c>
      <c r="I560" s="8" t="n">
        <v>6.36</v>
      </c>
      <c r="J560" s="8" t="n">
        <v>6.28</v>
      </c>
      <c r="K560" s="8" t="n">
        <v>7.07</v>
      </c>
      <c r="L560" s="8" t="n">
        <v>6.1</v>
      </c>
      <c r="M560" s="8" t="n">
        <v>7.61</v>
      </c>
      <c r="N560" s="4" t="n">
        <v>7.36</v>
      </c>
    </row>
    <row r="561">
      <c r="A561" s="2" t="inlineStr">
        <is>
          <t>FHL0331</t>
        </is>
      </c>
      <c r="B561" s="8" t="inlineStr">
        <is>
          <t>2029-11-01 00:00:00</t>
        </is>
      </c>
      <c r="C561" s="8" t="n">
        <v>4.56</v>
      </c>
      <c r="D561" s="8" t="n">
        <v>6.98</v>
      </c>
      <c r="E561" s="8" t="n">
        <v>10.02</v>
      </c>
      <c r="F561" s="8" t="n">
        <v>9.369999999999999</v>
      </c>
      <c r="G561" s="8" t="n">
        <v>9.93</v>
      </c>
      <c r="H561" s="8" t="n">
        <v>8.09</v>
      </c>
      <c r="I561" s="8" t="n">
        <v>4.52</v>
      </c>
      <c r="J561" s="8" t="n">
        <v>4.05</v>
      </c>
      <c r="K561" s="8" t="n">
        <v>6.62</v>
      </c>
      <c r="L561" s="8" t="n">
        <v>5.77</v>
      </c>
      <c r="M561" s="8" t="n">
        <v>6.58</v>
      </c>
      <c r="N561" s="4" t="n">
        <v>6.24</v>
      </c>
    </row>
    <row r="562">
      <c r="A562" s="2" t="inlineStr">
        <is>
          <t>FHL0331</t>
        </is>
      </c>
      <c r="B562" s="8" t="inlineStr">
        <is>
          <t>2029-12-01 00:00:00</t>
        </is>
      </c>
      <c r="C562" s="8" t="n">
        <v>5.78</v>
      </c>
      <c r="D562" s="8" t="n">
        <v>6.35</v>
      </c>
      <c r="E562" s="8" t="n">
        <v>10.35</v>
      </c>
      <c r="F562" s="8" t="n">
        <v>9.57</v>
      </c>
      <c r="G562" s="8" t="n">
        <v>9.16</v>
      </c>
      <c r="H562" s="8" t="n">
        <v>7.54</v>
      </c>
      <c r="I562" s="8" t="n">
        <v>5.51</v>
      </c>
      <c r="J562" s="8" t="n">
        <v>5.15</v>
      </c>
      <c r="K562" s="8" t="n">
        <v>7.18</v>
      </c>
      <c r="L562" s="8" t="n">
        <v>7.02</v>
      </c>
      <c r="M562" s="8" t="n">
        <v>7.54</v>
      </c>
      <c r="N562" s="4" t="n">
        <v>6.67</v>
      </c>
    </row>
    <row r="563">
      <c r="A563" s="2" t="inlineStr">
        <is>
          <t>FHL0331</t>
        </is>
      </c>
      <c r="B563" s="8" t="inlineStr">
        <is>
          <t>2030-01-01 00:00:00</t>
        </is>
      </c>
      <c r="C563" s="8" t="n">
        <v>10.15</v>
      </c>
      <c r="D563" s="8" t="n">
        <v>10.71</v>
      </c>
      <c r="E563" s="8" t="n">
        <v>13.84</v>
      </c>
      <c r="F563" s="8" t="n">
        <v>14.89</v>
      </c>
      <c r="G563" s="8" t="n">
        <v>15.63</v>
      </c>
      <c r="H563" s="8" t="n">
        <v>13.52</v>
      </c>
      <c r="I563" s="8" t="n">
        <v>7.74</v>
      </c>
      <c r="J563" s="8" t="n">
        <v>6.77</v>
      </c>
      <c r="K563" s="8" t="n">
        <v>8.73</v>
      </c>
      <c r="L563" s="8" t="n">
        <v>9.109999999999999</v>
      </c>
      <c r="M563" s="8" t="n">
        <v>10.75</v>
      </c>
      <c r="N563" s="4" t="n">
        <v>9.699999999999999</v>
      </c>
    </row>
    <row r="564">
      <c r="A564" s="2" t="inlineStr">
        <is>
          <t>FHL0331</t>
        </is>
      </c>
      <c r="B564" s="8" t="inlineStr">
        <is>
          <t>2030-02-01 00:00:00</t>
        </is>
      </c>
      <c r="C564" s="8" t="n">
        <v>9.58</v>
      </c>
      <c r="D564" s="8" t="n">
        <v>11.55</v>
      </c>
      <c r="E564" s="8" t="n">
        <v>14.31</v>
      </c>
      <c r="F564" s="8" t="n">
        <v>13.85</v>
      </c>
      <c r="G564" s="8" t="n">
        <v>15.45</v>
      </c>
      <c r="H564" s="8" t="n">
        <v>13.46</v>
      </c>
      <c r="I564" s="8" t="n">
        <v>8.470000000000001</v>
      </c>
      <c r="J564" s="8" t="n">
        <v>7.11</v>
      </c>
      <c r="K564" s="8" t="n">
        <v>10.52</v>
      </c>
      <c r="L564" s="8" t="n">
        <v>10.73</v>
      </c>
      <c r="M564" s="8" t="n">
        <v>12.49</v>
      </c>
      <c r="N564" s="4" t="n">
        <v>11.12</v>
      </c>
    </row>
    <row r="565">
      <c r="A565" s="2" t="inlineStr">
        <is>
          <t>FHL0331</t>
        </is>
      </c>
      <c r="B565" s="8" t="inlineStr">
        <is>
          <t>2030-03-01 00:00:00</t>
        </is>
      </c>
      <c r="C565" s="8" t="n">
        <v>9.800000000000001</v>
      </c>
      <c r="D565" s="8" t="n">
        <v>11.98</v>
      </c>
      <c r="E565" s="8" t="n">
        <v>13.6</v>
      </c>
      <c r="F565" s="8" t="n">
        <v>12.9</v>
      </c>
      <c r="G565" s="8" t="n">
        <v>13.68</v>
      </c>
      <c r="H565" s="8" t="n">
        <v>12.46</v>
      </c>
      <c r="I565" s="8" t="n">
        <v>9.630000000000001</v>
      </c>
      <c r="J565" s="8" t="n">
        <v>9.41</v>
      </c>
      <c r="K565" s="8" t="n">
        <v>12.34</v>
      </c>
      <c r="L565" s="8" t="n">
        <v>11.38</v>
      </c>
      <c r="M565" s="8" t="n">
        <v>12.52</v>
      </c>
      <c r="N565" s="4" t="n">
        <v>11.56</v>
      </c>
    </row>
    <row r="566">
      <c r="A566" s="2" t="inlineStr">
        <is>
          <t>FHL0331</t>
        </is>
      </c>
      <c r="B566" s="8" t="inlineStr">
        <is>
          <t>2030-04-01 00:00:00</t>
        </is>
      </c>
      <c r="C566" s="8" t="n">
        <v>14.85</v>
      </c>
      <c r="D566" s="8" t="n">
        <v>17.26</v>
      </c>
      <c r="E566" s="8" t="n">
        <v>18.45</v>
      </c>
      <c r="F566" s="8" t="n">
        <v>18.59</v>
      </c>
      <c r="G566" s="8" t="n">
        <v>20.42</v>
      </c>
      <c r="H566" s="8" t="n">
        <v>17.54</v>
      </c>
      <c r="I566" s="8" t="n">
        <v>12.67</v>
      </c>
      <c r="J566" s="8" t="n">
        <v>13.02</v>
      </c>
      <c r="K566" s="8" t="n">
        <v>16.47</v>
      </c>
      <c r="L566" s="8" t="n">
        <v>14.85</v>
      </c>
      <c r="M566" s="8" t="n">
        <v>17.47</v>
      </c>
      <c r="N566" s="4" t="n">
        <v>15.32</v>
      </c>
    </row>
    <row r="567">
      <c r="A567" s="2" t="inlineStr">
        <is>
          <t>FHL0331</t>
        </is>
      </c>
      <c r="B567" s="8" t="inlineStr">
        <is>
          <t>2030-05-01 00:00:00</t>
        </is>
      </c>
      <c r="C567" s="8" t="n">
        <v>14.34</v>
      </c>
      <c r="D567" s="8" t="n">
        <v>19.01</v>
      </c>
      <c r="E567" s="8" t="n">
        <v>22</v>
      </c>
      <c r="F567" s="8" t="n">
        <v>18.66</v>
      </c>
      <c r="G567" s="8" t="n">
        <v>23.87</v>
      </c>
      <c r="H567" s="8" t="n">
        <v>17.53</v>
      </c>
      <c r="I567" s="8" t="n">
        <v>14.56</v>
      </c>
      <c r="J567" s="8" t="n">
        <v>14.85</v>
      </c>
      <c r="K567" s="8" t="n">
        <v>15.98</v>
      </c>
      <c r="L567" s="8" t="n">
        <v>15.3</v>
      </c>
      <c r="M567" s="8" t="n">
        <v>17.47</v>
      </c>
      <c r="N567" s="4" t="n">
        <v>15.77</v>
      </c>
    </row>
    <row r="568">
      <c r="A568" s="2" t="inlineStr">
        <is>
          <t>FHL0331</t>
        </is>
      </c>
      <c r="B568" s="8" t="inlineStr">
        <is>
          <t>2030-06-01 00:00:00</t>
        </is>
      </c>
      <c r="C568" s="8" t="n">
        <v>13.91</v>
      </c>
      <c r="D568" s="8" t="n">
        <v>17.67</v>
      </c>
      <c r="E568" s="8" t="n">
        <v>25.83</v>
      </c>
      <c r="F568" s="8" t="n">
        <v>17.62</v>
      </c>
      <c r="G568" s="8" t="n">
        <v>26.87</v>
      </c>
      <c r="H568" s="8" t="n">
        <v>17.19</v>
      </c>
      <c r="I568" s="8" t="n">
        <v>12.7</v>
      </c>
      <c r="J568" s="8" t="n">
        <v>12.12</v>
      </c>
      <c r="K568" s="8" t="n">
        <v>14.93</v>
      </c>
      <c r="L568" s="8" t="n">
        <v>14.17</v>
      </c>
      <c r="M568" s="8" t="n">
        <v>17.61</v>
      </c>
      <c r="N568" s="4" t="n">
        <v>16.19</v>
      </c>
    </row>
    <row r="569">
      <c r="A569" s="2" t="inlineStr">
        <is>
          <t>FHL0331</t>
        </is>
      </c>
      <c r="B569" s="8" t="inlineStr">
        <is>
          <t>2030-07-01 00:00:00</t>
        </is>
      </c>
      <c r="C569" s="8" t="n">
        <v>13.24</v>
      </c>
      <c r="D569" s="8" t="n">
        <v>16.09</v>
      </c>
      <c r="E569" s="8" t="n">
        <v>24.13</v>
      </c>
      <c r="F569" s="8" t="n">
        <v>17.71</v>
      </c>
      <c r="G569" s="8" t="n">
        <v>25.95</v>
      </c>
      <c r="H569" s="8" t="n">
        <v>16.88</v>
      </c>
      <c r="I569" s="8" t="n">
        <v>13.2</v>
      </c>
      <c r="J569" s="8" t="n">
        <v>12.69</v>
      </c>
      <c r="K569" s="8" t="n">
        <v>16.36</v>
      </c>
      <c r="L569" s="8" t="n">
        <v>14.08</v>
      </c>
      <c r="M569" s="8" t="n">
        <v>18.43</v>
      </c>
      <c r="N569" s="4" t="n">
        <v>15.79</v>
      </c>
    </row>
    <row r="570">
      <c r="A570" s="2" t="inlineStr">
        <is>
          <t>FHL0331</t>
        </is>
      </c>
      <c r="B570" s="8" t="inlineStr">
        <is>
          <t>2030-08-01 00:00:00</t>
        </is>
      </c>
      <c r="C570" s="8" t="n">
        <v>13.28</v>
      </c>
      <c r="D570" s="8" t="n">
        <v>16.62</v>
      </c>
      <c r="E570" s="8" t="n">
        <v>17.47</v>
      </c>
      <c r="F570" s="8" t="n">
        <v>16.12</v>
      </c>
      <c r="G570" s="8" t="n">
        <v>18.45</v>
      </c>
      <c r="H570" s="8" t="n">
        <v>16.69</v>
      </c>
      <c r="I570" s="8" t="n">
        <v>14.93</v>
      </c>
      <c r="J570" s="8" t="n">
        <v>14.59</v>
      </c>
      <c r="K570" s="8" t="n">
        <v>16.96</v>
      </c>
      <c r="L570" s="8" t="n">
        <v>15.78</v>
      </c>
      <c r="M570" s="8" t="n">
        <v>18.5</v>
      </c>
      <c r="N570" s="4" t="n">
        <v>16.36</v>
      </c>
    </row>
    <row r="571">
      <c r="A571" s="2" t="inlineStr">
        <is>
          <t>FHL0331</t>
        </is>
      </c>
      <c r="B571" s="8" t="inlineStr">
        <is>
          <t>2030-09-01 00:00:00</t>
        </is>
      </c>
      <c r="C571" s="8" t="n">
        <v>9.77</v>
      </c>
      <c r="D571" s="8" t="n">
        <v>16.84</v>
      </c>
      <c r="E571" s="8" t="n">
        <v>20.78</v>
      </c>
      <c r="F571" s="8" t="n">
        <v>17.97</v>
      </c>
      <c r="G571" s="8" t="n">
        <v>23.72</v>
      </c>
      <c r="H571" s="8" t="n">
        <v>17.51</v>
      </c>
      <c r="I571" s="8" t="n">
        <v>8.35</v>
      </c>
      <c r="J571" s="8" t="n">
        <v>9.199999999999999</v>
      </c>
      <c r="K571" s="8" t="n">
        <v>13.6</v>
      </c>
      <c r="L571" s="8" t="n">
        <v>12.07</v>
      </c>
      <c r="M571" s="8" t="n">
        <v>17.57</v>
      </c>
      <c r="N571" s="4" t="n">
        <v>14.3</v>
      </c>
    </row>
    <row r="572">
      <c r="A572" s="2" t="inlineStr">
        <is>
          <t>FHL0331</t>
        </is>
      </c>
      <c r="B572" s="8" t="inlineStr">
        <is>
          <t>2030-10-01 00:00:00</t>
        </is>
      </c>
      <c r="C572" s="8" t="n">
        <v>5.65</v>
      </c>
      <c r="D572" s="8" t="n">
        <v>7.59</v>
      </c>
      <c r="E572" s="8" t="n">
        <v>8.880000000000001</v>
      </c>
      <c r="F572" s="8" t="n">
        <v>7.62</v>
      </c>
      <c r="G572" s="8" t="n">
        <v>9.039999999999999</v>
      </c>
      <c r="H572" s="8" t="n">
        <v>8.960000000000001</v>
      </c>
      <c r="I572" s="8" t="n">
        <v>6.36</v>
      </c>
      <c r="J572" s="8" t="n">
        <v>6.28</v>
      </c>
      <c r="K572" s="8" t="n">
        <v>7.07</v>
      </c>
      <c r="L572" s="8" t="n">
        <v>6.1</v>
      </c>
      <c r="M572" s="8" t="n">
        <v>7.61</v>
      </c>
      <c r="N572" s="4" t="n">
        <v>7.36</v>
      </c>
    </row>
    <row r="573">
      <c r="A573" s="2" t="inlineStr">
        <is>
          <t>FHL0331</t>
        </is>
      </c>
      <c r="B573" s="8" t="inlineStr">
        <is>
          <t>2030-11-01 00:00:00</t>
        </is>
      </c>
      <c r="C573" s="8" t="n">
        <v>4.56</v>
      </c>
      <c r="D573" s="8" t="n">
        <v>6.98</v>
      </c>
      <c r="E573" s="8" t="n">
        <v>10.02</v>
      </c>
      <c r="F573" s="8" t="n">
        <v>9.369999999999999</v>
      </c>
      <c r="G573" s="8" t="n">
        <v>9.93</v>
      </c>
      <c r="H573" s="8" t="n">
        <v>8.09</v>
      </c>
      <c r="I573" s="8" t="n">
        <v>4.52</v>
      </c>
      <c r="J573" s="8" t="n">
        <v>4.05</v>
      </c>
      <c r="K573" s="8" t="n">
        <v>6.62</v>
      </c>
      <c r="L573" s="8" t="n">
        <v>5.77</v>
      </c>
      <c r="M573" s="8" t="n">
        <v>6.58</v>
      </c>
      <c r="N573" s="4" t="n">
        <v>6.24</v>
      </c>
    </row>
    <row r="574">
      <c r="A574" s="2" t="inlineStr">
        <is>
          <t>FHL0331</t>
        </is>
      </c>
      <c r="B574" s="8" t="inlineStr">
        <is>
          <t>2030-12-01 00:00:00</t>
        </is>
      </c>
      <c r="C574" s="8" t="n">
        <v>5.78</v>
      </c>
      <c r="D574" s="8" t="n">
        <v>6.35</v>
      </c>
      <c r="E574" s="8" t="n">
        <v>10.35</v>
      </c>
      <c r="F574" s="8" t="n">
        <v>9.57</v>
      </c>
      <c r="G574" s="8" t="n">
        <v>9.16</v>
      </c>
      <c r="H574" s="8" t="n">
        <v>7.54</v>
      </c>
      <c r="I574" s="8" t="n">
        <v>5.51</v>
      </c>
      <c r="J574" s="8" t="n">
        <v>5.15</v>
      </c>
      <c r="K574" s="8" t="n">
        <v>7.18</v>
      </c>
      <c r="L574" s="8" t="n">
        <v>7.02</v>
      </c>
      <c r="M574" s="8" t="n">
        <v>7.54</v>
      </c>
      <c r="N574" s="4" t="n">
        <v>6.67</v>
      </c>
    </row>
    <row r="575">
      <c r="A575" s="2" t="inlineStr">
        <is>
          <t>FHL0331</t>
        </is>
      </c>
      <c r="B575" s="8" t="inlineStr">
        <is>
          <t>2031-01-01 00:00:00</t>
        </is>
      </c>
      <c r="C575" s="8" t="n">
        <v>10.15</v>
      </c>
      <c r="D575" s="8" t="n">
        <v>10.71</v>
      </c>
      <c r="E575" s="8" t="n">
        <v>13.84</v>
      </c>
      <c r="F575" s="8" t="n">
        <v>14.89</v>
      </c>
      <c r="G575" s="8" t="n">
        <v>15.63</v>
      </c>
      <c r="H575" s="8" t="n">
        <v>13.52</v>
      </c>
      <c r="I575" s="8" t="n">
        <v>7.74</v>
      </c>
      <c r="J575" s="8" t="n">
        <v>6.77</v>
      </c>
      <c r="K575" s="8" t="n">
        <v>8.73</v>
      </c>
      <c r="L575" s="8" t="n">
        <v>9.109999999999999</v>
      </c>
      <c r="M575" s="8" t="n">
        <v>10.75</v>
      </c>
      <c r="N575" s="4" t="n">
        <v>9.699999999999999</v>
      </c>
    </row>
    <row r="576">
      <c r="A576" s="2" t="inlineStr">
        <is>
          <t>FHL0331</t>
        </is>
      </c>
      <c r="B576" s="8" t="inlineStr">
        <is>
          <t>2031-02-01 00:00:00</t>
        </is>
      </c>
      <c r="C576" s="8" t="n">
        <v>9.58</v>
      </c>
      <c r="D576" s="8" t="n">
        <v>11.55</v>
      </c>
      <c r="E576" s="8" t="n">
        <v>14.31</v>
      </c>
      <c r="F576" s="8" t="n">
        <v>13.85</v>
      </c>
      <c r="G576" s="8" t="n">
        <v>15.45</v>
      </c>
      <c r="H576" s="8" t="n">
        <v>13.46</v>
      </c>
      <c r="I576" s="8" t="n">
        <v>8.470000000000001</v>
      </c>
      <c r="J576" s="8" t="n">
        <v>7.11</v>
      </c>
      <c r="K576" s="8" t="n">
        <v>10.52</v>
      </c>
      <c r="L576" s="8" t="n">
        <v>10.73</v>
      </c>
      <c r="M576" s="8" t="n">
        <v>12.49</v>
      </c>
      <c r="N576" s="4" t="n">
        <v>11.12</v>
      </c>
    </row>
    <row r="577">
      <c r="A577" s="2" t="inlineStr">
        <is>
          <t>FHL0331</t>
        </is>
      </c>
      <c r="B577" s="8" t="inlineStr">
        <is>
          <t>2031-03-01 00:00:00</t>
        </is>
      </c>
      <c r="C577" s="8" t="n">
        <v>9.800000000000001</v>
      </c>
      <c r="D577" s="8" t="n">
        <v>11.98</v>
      </c>
      <c r="E577" s="8" t="n">
        <v>13.6</v>
      </c>
      <c r="F577" s="8" t="n">
        <v>12.9</v>
      </c>
      <c r="G577" s="8" t="n">
        <v>13.68</v>
      </c>
      <c r="H577" s="8" t="n">
        <v>12.46</v>
      </c>
      <c r="I577" s="8" t="n">
        <v>9.630000000000001</v>
      </c>
      <c r="J577" s="8" t="n">
        <v>9.41</v>
      </c>
      <c r="K577" s="8" t="n">
        <v>12.34</v>
      </c>
      <c r="L577" s="8" t="n">
        <v>11.38</v>
      </c>
      <c r="M577" s="8" t="n">
        <v>12.52</v>
      </c>
      <c r="N577" s="4" t="n">
        <v>11.56</v>
      </c>
    </row>
    <row r="578">
      <c r="A578" s="2" t="inlineStr">
        <is>
          <t>FHL0331</t>
        </is>
      </c>
      <c r="B578" s="8" t="inlineStr">
        <is>
          <t>2031-04-01 00:00:00</t>
        </is>
      </c>
      <c r="C578" s="8" t="n">
        <v>14.85</v>
      </c>
      <c r="D578" s="8" t="n">
        <v>17.26</v>
      </c>
      <c r="E578" s="8" t="n">
        <v>18.45</v>
      </c>
      <c r="F578" s="8" t="n">
        <v>18.59</v>
      </c>
      <c r="G578" s="8" t="n">
        <v>20.42</v>
      </c>
      <c r="H578" s="8" t="n">
        <v>17.54</v>
      </c>
      <c r="I578" s="8" t="n">
        <v>12.67</v>
      </c>
      <c r="J578" s="8" t="n">
        <v>13.02</v>
      </c>
      <c r="K578" s="8" t="n">
        <v>16.47</v>
      </c>
      <c r="L578" s="8" t="n">
        <v>14.85</v>
      </c>
      <c r="M578" s="8" t="n">
        <v>17.47</v>
      </c>
      <c r="N578" s="4" t="n">
        <v>15.32</v>
      </c>
    </row>
    <row r="579">
      <c r="A579" s="2" t="inlineStr">
        <is>
          <t>FHL0331</t>
        </is>
      </c>
      <c r="B579" s="8" t="inlineStr">
        <is>
          <t>2031-05-01 00:00:00</t>
        </is>
      </c>
      <c r="C579" s="8" t="n">
        <v>14.34</v>
      </c>
      <c r="D579" s="8" t="n">
        <v>19.01</v>
      </c>
      <c r="E579" s="8" t="n">
        <v>22</v>
      </c>
      <c r="F579" s="8" t="n">
        <v>18.66</v>
      </c>
      <c r="G579" s="8" t="n">
        <v>23.87</v>
      </c>
      <c r="H579" s="8" t="n">
        <v>17.53</v>
      </c>
      <c r="I579" s="8" t="n">
        <v>14.56</v>
      </c>
      <c r="J579" s="8" t="n">
        <v>14.85</v>
      </c>
      <c r="K579" s="8" t="n">
        <v>15.98</v>
      </c>
      <c r="L579" s="8" t="n">
        <v>15.3</v>
      </c>
      <c r="M579" s="8" t="n">
        <v>17.47</v>
      </c>
      <c r="N579" s="4" t="n">
        <v>15.77</v>
      </c>
    </row>
    <row r="580">
      <c r="A580" s="2" t="inlineStr">
        <is>
          <t>FHL0331</t>
        </is>
      </c>
      <c r="B580" s="8" t="inlineStr">
        <is>
          <t>2031-06-01 00:00:00</t>
        </is>
      </c>
      <c r="C580" s="8" t="n">
        <v>13.91</v>
      </c>
      <c r="D580" s="8" t="n">
        <v>17.67</v>
      </c>
      <c r="E580" s="8" t="n">
        <v>25.83</v>
      </c>
      <c r="F580" s="8" t="n">
        <v>17.62</v>
      </c>
      <c r="G580" s="8" t="n">
        <v>26.87</v>
      </c>
      <c r="H580" s="8" t="n">
        <v>17.19</v>
      </c>
      <c r="I580" s="8" t="n">
        <v>12.7</v>
      </c>
      <c r="J580" s="8" t="n">
        <v>12.12</v>
      </c>
      <c r="K580" s="8" t="n">
        <v>14.93</v>
      </c>
      <c r="L580" s="8" t="n">
        <v>14.17</v>
      </c>
      <c r="M580" s="8" t="n">
        <v>17.61</v>
      </c>
      <c r="N580" s="4" t="n">
        <v>16.19</v>
      </c>
    </row>
    <row r="581">
      <c r="A581" s="2" t="inlineStr">
        <is>
          <t>KMO0331</t>
        </is>
      </c>
      <c r="B581" s="8" t="inlineStr">
        <is>
          <t>2026-07-01 00:00:00</t>
        </is>
      </c>
      <c r="C581" s="8" t="n">
        <v>11.65</v>
      </c>
      <c r="D581" s="8" t="n">
        <v>14.13</v>
      </c>
      <c r="E581" s="8" t="n">
        <v>21.91</v>
      </c>
      <c r="F581" s="8" t="n">
        <v>15.55</v>
      </c>
      <c r="G581" s="8" t="n">
        <v>23.5</v>
      </c>
      <c r="H581" s="8" t="n">
        <v>14.83</v>
      </c>
      <c r="I581" s="8" t="n">
        <v>11.62</v>
      </c>
      <c r="J581" s="8" t="n">
        <v>11.18</v>
      </c>
      <c r="K581" s="8" t="n">
        <v>14.37</v>
      </c>
      <c r="L581" s="8" t="n">
        <v>12.38</v>
      </c>
      <c r="M581" s="8" t="n">
        <v>16.18</v>
      </c>
      <c r="N581" s="4" t="n">
        <v>13.87</v>
      </c>
    </row>
    <row r="582">
      <c r="A582" s="2" t="inlineStr">
        <is>
          <t>KMO0331</t>
        </is>
      </c>
      <c r="B582" s="8" t="inlineStr">
        <is>
          <t>2026-08-01 00:00:00</t>
        </is>
      </c>
      <c r="C582" s="8" t="n">
        <v>11.95</v>
      </c>
      <c r="D582" s="8" t="n">
        <v>14.93</v>
      </c>
      <c r="E582" s="8" t="n">
        <v>15.69</v>
      </c>
      <c r="F582" s="8" t="n">
        <v>14.49</v>
      </c>
      <c r="G582" s="8" t="n">
        <v>16.56</v>
      </c>
      <c r="H582" s="8" t="n">
        <v>15</v>
      </c>
      <c r="I582" s="8" t="n">
        <v>13.42</v>
      </c>
      <c r="J582" s="8" t="n">
        <v>13.12</v>
      </c>
      <c r="K582" s="8" t="n">
        <v>15.23</v>
      </c>
      <c r="L582" s="8" t="n">
        <v>14.18</v>
      </c>
      <c r="M582" s="8" t="n">
        <v>16.61</v>
      </c>
      <c r="N582" s="4" t="n">
        <v>14.7</v>
      </c>
    </row>
    <row r="583">
      <c r="A583" s="2" t="inlineStr">
        <is>
          <t>KMO0331</t>
        </is>
      </c>
      <c r="B583" s="8" t="inlineStr">
        <is>
          <t>2026-09-01 00:00:00</t>
        </is>
      </c>
      <c r="C583" s="8" t="n">
        <v>6.22</v>
      </c>
      <c r="D583" s="8" t="n">
        <v>10.59</v>
      </c>
      <c r="E583" s="8" t="n">
        <v>13.03</v>
      </c>
      <c r="F583" s="8" t="n">
        <v>11.29</v>
      </c>
      <c r="G583" s="8" t="n">
        <v>14.84</v>
      </c>
      <c r="H583" s="8" t="n">
        <v>11</v>
      </c>
      <c r="I583" s="8" t="n">
        <v>5.34</v>
      </c>
      <c r="J583" s="8" t="n">
        <v>5.86</v>
      </c>
      <c r="K583" s="8" t="n">
        <v>8.59</v>
      </c>
      <c r="L583" s="8" t="n">
        <v>7.64</v>
      </c>
      <c r="M583" s="8" t="n">
        <v>11.04</v>
      </c>
      <c r="N583" s="4" t="n">
        <v>9.02</v>
      </c>
    </row>
    <row r="584">
      <c r="A584" s="2" t="inlineStr">
        <is>
          <t>KMO0331</t>
        </is>
      </c>
      <c r="B584" s="8" t="inlineStr">
        <is>
          <t>2026-10-01 00:00:00</t>
        </is>
      </c>
      <c r="C584" s="8" t="n">
        <v>6.07</v>
      </c>
      <c r="D584" s="8" t="n">
        <v>8.18</v>
      </c>
      <c r="E584" s="8" t="n">
        <v>9.59</v>
      </c>
      <c r="F584" s="8" t="n">
        <v>8.220000000000001</v>
      </c>
      <c r="G584" s="8" t="n">
        <v>9.76</v>
      </c>
      <c r="H584" s="8" t="n">
        <v>9.68</v>
      </c>
      <c r="I584" s="8" t="n">
        <v>6.85</v>
      </c>
      <c r="J584" s="8" t="n">
        <v>6.76</v>
      </c>
      <c r="K584" s="8" t="n">
        <v>7.62</v>
      </c>
      <c r="L584" s="8" t="n">
        <v>6.56</v>
      </c>
      <c r="M584" s="8" t="n">
        <v>8.210000000000001</v>
      </c>
      <c r="N584" s="4" t="n">
        <v>7.93</v>
      </c>
    </row>
    <row r="585">
      <c r="A585" s="2" t="inlineStr">
        <is>
          <t>KMO0331</t>
        </is>
      </c>
      <c r="B585" s="8" t="inlineStr">
        <is>
          <t>2026-11-01 00:00:00</t>
        </is>
      </c>
      <c r="C585" s="8" t="n">
        <v>4.72</v>
      </c>
      <c r="D585" s="8" t="n">
        <v>7.24</v>
      </c>
      <c r="E585" s="8" t="n">
        <v>10.42</v>
      </c>
      <c r="F585" s="8" t="n">
        <v>9.74</v>
      </c>
      <c r="G585" s="8" t="n">
        <v>10.33</v>
      </c>
      <c r="H585" s="8" t="n">
        <v>8.4</v>
      </c>
      <c r="I585" s="8" t="n">
        <v>4.68</v>
      </c>
      <c r="J585" s="8" t="n">
        <v>4.19</v>
      </c>
      <c r="K585" s="8" t="n">
        <v>6.86</v>
      </c>
      <c r="L585" s="8" t="n">
        <v>5.98</v>
      </c>
      <c r="M585" s="8" t="n">
        <v>6.83</v>
      </c>
      <c r="N585" s="4" t="n">
        <v>6.48</v>
      </c>
    </row>
    <row r="586">
      <c r="A586" s="2" t="inlineStr">
        <is>
          <t>KMO0331</t>
        </is>
      </c>
      <c r="B586" s="8" t="inlineStr">
        <is>
          <t>2026-12-01 00:00:00</t>
        </is>
      </c>
      <c r="C586" s="8" t="n">
        <v>5.33</v>
      </c>
      <c r="D586" s="8" t="n">
        <v>5.86</v>
      </c>
      <c r="E586" s="8" t="n">
        <v>9.539999999999999</v>
      </c>
      <c r="F586" s="8" t="n">
        <v>8.82</v>
      </c>
      <c r="G586" s="8" t="n">
        <v>8.449999999999999</v>
      </c>
      <c r="H586" s="8" t="n">
        <v>6.95</v>
      </c>
      <c r="I586" s="8" t="n">
        <v>5.09</v>
      </c>
      <c r="J586" s="8" t="n">
        <v>4.76</v>
      </c>
      <c r="K586" s="8" t="n">
        <v>6.62</v>
      </c>
      <c r="L586" s="8" t="n">
        <v>6.47</v>
      </c>
      <c r="M586" s="8" t="n">
        <v>6.96</v>
      </c>
      <c r="N586" s="4" t="n">
        <v>6.16</v>
      </c>
    </row>
    <row r="587">
      <c r="A587" s="2" t="inlineStr">
        <is>
          <t>KMO0331</t>
        </is>
      </c>
      <c r="B587" s="8" t="inlineStr">
        <is>
          <t>2027-01-01 00:00:00</t>
        </is>
      </c>
      <c r="C587" s="8" t="n">
        <v>11.15</v>
      </c>
      <c r="D587" s="8" t="n">
        <v>11.76</v>
      </c>
      <c r="E587" s="8" t="n">
        <v>15.22</v>
      </c>
      <c r="F587" s="8" t="n">
        <v>16.38</v>
      </c>
      <c r="G587" s="8" t="n">
        <v>17.2</v>
      </c>
      <c r="H587" s="8" t="n">
        <v>14.86</v>
      </c>
      <c r="I587" s="8" t="n">
        <v>8.48</v>
      </c>
      <c r="J587" s="8" t="n">
        <v>7.4</v>
      </c>
      <c r="K587" s="8" t="n">
        <v>9.57</v>
      </c>
      <c r="L587" s="8" t="n">
        <v>9.99</v>
      </c>
      <c r="M587" s="8" t="n">
        <v>11.8</v>
      </c>
      <c r="N587" s="4" t="n">
        <v>10.65</v>
      </c>
    </row>
    <row r="588">
      <c r="A588" s="2" t="inlineStr">
        <is>
          <t>KMO0331</t>
        </is>
      </c>
      <c r="B588" s="8" t="inlineStr">
        <is>
          <t>2027-02-01 00:00:00</t>
        </is>
      </c>
      <c r="C588" s="8" t="n">
        <v>9.949999999999999</v>
      </c>
      <c r="D588" s="8" t="n">
        <v>12</v>
      </c>
      <c r="E588" s="8" t="n">
        <v>14.88</v>
      </c>
      <c r="F588" s="8" t="n">
        <v>14.39</v>
      </c>
      <c r="G588" s="8" t="n">
        <v>16.06</v>
      </c>
      <c r="H588" s="8" t="n">
        <v>13.99</v>
      </c>
      <c r="I588" s="8" t="n">
        <v>8.789999999999999</v>
      </c>
      <c r="J588" s="8" t="n">
        <v>7.38</v>
      </c>
      <c r="K588" s="8" t="n">
        <v>10.92</v>
      </c>
      <c r="L588" s="8" t="n">
        <v>11.14</v>
      </c>
      <c r="M588" s="8" t="n">
        <v>12.98</v>
      </c>
      <c r="N588" s="4" t="n">
        <v>11.55</v>
      </c>
    </row>
    <row r="589">
      <c r="A589" s="2" t="inlineStr">
        <is>
          <t>KMO0331</t>
        </is>
      </c>
      <c r="B589" s="8" t="inlineStr">
        <is>
          <t>2027-03-01 00:00:00</t>
        </is>
      </c>
      <c r="C589" s="8" t="n">
        <v>10.39</v>
      </c>
      <c r="D589" s="8" t="n">
        <v>12.71</v>
      </c>
      <c r="E589" s="8" t="n">
        <v>14.43</v>
      </c>
      <c r="F589" s="8" t="n">
        <v>13.69</v>
      </c>
      <c r="G589" s="8" t="n">
        <v>14.52</v>
      </c>
      <c r="H589" s="8" t="n">
        <v>13.22</v>
      </c>
      <c r="I589" s="8" t="n">
        <v>10.21</v>
      </c>
      <c r="J589" s="8" t="n">
        <v>9.970000000000001</v>
      </c>
      <c r="K589" s="8" t="n">
        <v>13.09</v>
      </c>
      <c r="L589" s="8" t="n">
        <v>12.07</v>
      </c>
      <c r="M589" s="8" t="n">
        <v>13.28</v>
      </c>
      <c r="N589" s="4" t="n">
        <v>12.26</v>
      </c>
    </row>
    <row r="590">
      <c r="A590" s="2" t="inlineStr">
        <is>
          <t>KMO0331</t>
        </is>
      </c>
      <c r="B590" s="8" t="inlineStr">
        <is>
          <t>2027-04-01 00:00:00</t>
        </is>
      </c>
      <c r="C590" s="8" t="n">
        <v>15.46</v>
      </c>
      <c r="D590" s="8" t="n">
        <v>17.98</v>
      </c>
      <c r="E590" s="8" t="n">
        <v>19.22</v>
      </c>
      <c r="F590" s="8" t="n">
        <v>19.36</v>
      </c>
      <c r="G590" s="8" t="n">
        <v>21.28</v>
      </c>
      <c r="H590" s="8" t="n">
        <v>18.27</v>
      </c>
      <c r="I590" s="8" t="n">
        <v>13.18</v>
      </c>
      <c r="J590" s="8" t="n">
        <v>13.55</v>
      </c>
      <c r="K590" s="8" t="n">
        <v>17.15</v>
      </c>
      <c r="L590" s="8" t="n">
        <v>15.46</v>
      </c>
      <c r="M590" s="8" t="n">
        <v>18.19</v>
      </c>
      <c r="N590" s="4" t="n">
        <v>15.95</v>
      </c>
    </row>
    <row r="591">
      <c r="A591" s="2" t="inlineStr">
        <is>
          <t>KMO0331</t>
        </is>
      </c>
      <c r="B591" s="8" t="inlineStr">
        <is>
          <t>2027-05-01 00:00:00</t>
        </is>
      </c>
      <c r="C591" s="8" t="n">
        <v>14.33</v>
      </c>
      <c r="D591" s="8" t="n">
        <v>19</v>
      </c>
      <c r="E591" s="8" t="n">
        <v>21.99</v>
      </c>
      <c r="F591" s="8" t="n">
        <v>18.65</v>
      </c>
      <c r="G591" s="8" t="n">
        <v>23.86</v>
      </c>
      <c r="H591" s="8" t="n">
        <v>17.51</v>
      </c>
      <c r="I591" s="8" t="n">
        <v>14.55</v>
      </c>
      <c r="J591" s="8" t="n">
        <v>14.84</v>
      </c>
      <c r="K591" s="8" t="n">
        <v>15.97</v>
      </c>
      <c r="L591" s="8" t="n">
        <v>15.29</v>
      </c>
      <c r="M591" s="8" t="n">
        <v>17.45</v>
      </c>
      <c r="N591" s="4" t="n">
        <v>15.76</v>
      </c>
    </row>
    <row r="592">
      <c r="A592" s="2" t="inlineStr">
        <is>
          <t>KMO0331</t>
        </is>
      </c>
      <c r="B592" s="8" t="inlineStr">
        <is>
          <t>2027-06-01 00:00:00</t>
        </is>
      </c>
      <c r="C592" s="8" t="n">
        <v>14.76</v>
      </c>
      <c r="D592" s="8" t="n">
        <v>18.76</v>
      </c>
      <c r="E592" s="8" t="n">
        <v>27.06</v>
      </c>
      <c r="F592" s="8" t="n">
        <v>18.7</v>
      </c>
      <c r="G592" s="8" t="n">
        <v>28.17</v>
      </c>
      <c r="H592" s="8" t="n">
        <v>18.25</v>
      </c>
      <c r="I592" s="8" t="n">
        <v>13.46</v>
      </c>
      <c r="J592" s="8" t="n">
        <v>12.84</v>
      </c>
      <c r="K592" s="8" t="n">
        <v>15.84</v>
      </c>
      <c r="L592" s="8" t="n">
        <v>15.04</v>
      </c>
      <c r="M592" s="8" t="n">
        <v>18.7</v>
      </c>
      <c r="N592" s="4" t="n">
        <v>17.19</v>
      </c>
    </row>
    <row r="593">
      <c r="A593" s="2" t="inlineStr">
        <is>
          <t>KMO0331</t>
        </is>
      </c>
      <c r="B593" s="8" t="inlineStr">
        <is>
          <t>2027-07-01 00:00:00</t>
        </is>
      </c>
      <c r="C593" s="8" t="n">
        <v>14.45</v>
      </c>
      <c r="D593" s="8" t="n">
        <v>17.58</v>
      </c>
      <c r="E593" s="8" t="n">
        <v>25.81</v>
      </c>
      <c r="F593" s="8" t="n">
        <v>19.35</v>
      </c>
      <c r="G593" s="8" t="n">
        <v>27.81</v>
      </c>
      <c r="H593" s="8" t="n">
        <v>18.45</v>
      </c>
      <c r="I593" s="8" t="n">
        <v>14.41</v>
      </c>
      <c r="J593" s="8" t="n">
        <v>13.85</v>
      </c>
      <c r="K593" s="8" t="n">
        <v>17.87</v>
      </c>
      <c r="L593" s="8" t="n">
        <v>15.37</v>
      </c>
      <c r="M593" s="8" t="n">
        <v>20.15</v>
      </c>
      <c r="N593" s="4" t="n">
        <v>17.25</v>
      </c>
    </row>
    <row r="594">
      <c r="A594" s="2" t="inlineStr">
        <is>
          <t>KMO0331</t>
        </is>
      </c>
      <c r="B594" s="8" t="inlineStr">
        <is>
          <t>2027-08-01 00:00:00</t>
        </is>
      </c>
      <c r="C594" s="8" t="n">
        <v>14.58</v>
      </c>
      <c r="D594" s="8" t="n">
        <v>18.27</v>
      </c>
      <c r="E594" s="8" t="n">
        <v>19.21</v>
      </c>
      <c r="F594" s="8" t="n">
        <v>17.72</v>
      </c>
      <c r="G594" s="8" t="n">
        <v>20.29</v>
      </c>
      <c r="H594" s="8" t="n">
        <v>18.35</v>
      </c>
      <c r="I594" s="8" t="n">
        <v>16.4</v>
      </c>
      <c r="J594" s="8" t="n">
        <v>16.02</v>
      </c>
      <c r="K594" s="8" t="n">
        <v>18.64</v>
      </c>
      <c r="L594" s="8" t="n">
        <v>17.34</v>
      </c>
      <c r="M594" s="8" t="n">
        <v>20.35</v>
      </c>
      <c r="N594" s="4" t="n">
        <v>17.98</v>
      </c>
    </row>
    <row r="595">
      <c r="A595" s="2" t="inlineStr">
        <is>
          <t>KMO0331</t>
        </is>
      </c>
      <c r="B595" s="8" t="inlineStr">
        <is>
          <t>2027-09-01 00:00:00</t>
        </is>
      </c>
      <c r="C595" s="8" t="n">
        <v>10.29</v>
      </c>
      <c r="D595" s="8" t="n">
        <v>17.77</v>
      </c>
      <c r="E595" s="8" t="n">
        <v>21.93</v>
      </c>
      <c r="F595" s="8" t="n">
        <v>18.96</v>
      </c>
      <c r="G595" s="8" t="n">
        <v>25.04</v>
      </c>
      <c r="H595" s="8" t="n">
        <v>18.47</v>
      </c>
      <c r="I595" s="8" t="n">
        <v>8.789999999999999</v>
      </c>
      <c r="J595" s="8" t="n">
        <v>9.69</v>
      </c>
      <c r="K595" s="8" t="n">
        <v>14.34</v>
      </c>
      <c r="L595" s="8" t="n">
        <v>12.72</v>
      </c>
      <c r="M595" s="8" t="n">
        <v>18.54</v>
      </c>
      <c r="N595" s="4" t="n">
        <v>15.08</v>
      </c>
    </row>
    <row r="596">
      <c r="A596" s="2" t="inlineStr">
        <is>
          <t>KMO0331</t>
        </is>
      </c>
      <c r="B596" s="8" t="inlineStr">
        <is>
          <t>2027-10-01 00:00:00</t>
        </is>
      </c>
      <c r="C596" s="8" t="n">
        <v>5.88</v>
      </c>
      <c r="D596" s="8" t="n">
        <v>7.91</v>
      </c>
      <c r="E596" s="8" t="n">
        <v>9.27</v>
      </c>
      <c r="F596" s="8" t="n">
        <v>7.94</v>
      </c>
      <c r="G596" s="8" t="n">
        <v>9.43</v>
      </c>
      <c r="H596" s="8" t="n">
        <v>9.35</v>
      </c>
      <c r="I596" s="8" t="n">
        <v>6.63</v>
      </c>
      <c r="J596" s="8" t="n">
        <v>6.54</v>
      </c>
      <c r="K596" s="8" t="n">
        <v>7.37</v>
      </c>
      <c r="L596" s="8" t="n">
        <v>6.35</v>
      </c>
      <c r="M596" s="8" t="n">
        <v>7.93</v>
      </c>
      <c r="N596" s="4" t="n">
        <v>7.67</v>
      </c>
    </row>
    <row r="597">
      <c r="A597" s="2" t="inlineStr">
        <is>
          <t>KMO0331</t>
        </is>
      </c>
      <c r="B597" s="8" t="inlineStr">
        <is>
          <t>2027-11-01 00:00:00</t>
        </is>
      </c>
      <c r="C597" s="8" t="n">
        <v>4.68</v>
      </c>
      <c r="D597" s="8" t="n">
        <v>7.18</v>
      </c>
      <c r="E597" s="8" t="n">
        <v>10.32</v>
      </c>
      <c r="F597" s="8" t="n">
        <v>9.65</v>
      </c>
      <c r="G597" s="8" t="n">
        <v>10.23</v>
      </c>
      <c r="H597" s="8" t="n">
        <v>8.33</v>
      </c>
      <c r="I597" s="8" t="n">
        <v>4.64</v>
      </c>
      <c r="J597" s="8" t="n">
        <v>4.16</v>
      </c>
      <c r="K597" s="8" t="n">
        <v>6.81</v>
      </c>
      <c r="L597" s="8" t="n">
        <v>5.93</v>
      </c>
      <c r="M597" s="8" t="n">
        <v>6.77</v>
      </c>
      <c r="N597" s="4" t="n">
        <v>6.42</v>
      </c>
    </row>
    <row r="598">
      <c r="A598" s="2" t="inlineStr">
        <is>
          <t>KMO0331</t>
        </is>
      </c>
      <c r="B598" s="8" t="inlineStr">
        <is>
          <t>2027-12-01 00:00:00</t>
        </is>
      </c>
      <c r="C598" s="8" t="n">
        <v>5.77</v>
      </c>
      <c r="D598" s="8" t="n">
        <v>6.33</v>
      </c>
      <c r="E598" s="8" t="n">
        <v>10.34</v>
      </c>
      <c r="F598" s="8" t="n">
        <v>9.550000000000001</v>
      </c>
      <c r="G598" s="8" t="n">
        <v>9.15</v>
      </c>
      <c r="H598" s="8" t="n">
        <v>7.53</v>
      </c>
      <c r="I598" s="8" t="n">
        <v>5.5</v>
      </c>
      <c r="J598" s="8" t="n">
        <v>5.14</v>
      </c>
      <c r="K598" s="8" t="n">
        <v>7.16</v>
      </c>
      <c r="L598" s="8" t="n">
        <v>7.01</v>
      </c>
      <c r="M598" s="8" t="n">
        <v>7.53</v>
      </c>
      <c r="N598" s="4" t="n">
        <v>6.66</v>
      </c>
    </row>
    <row r="599">
      <c r="A599" s="2" t="inlineStr">
        <is>
          <t>KMO0331</t>
        </is>
      </c>
      <c r="B599" s="8" t="inlineStr">
        <is>
          <t>2028-01-01 00:00:00</t>
        </is>
      </c>
      <c r="C599" s="8" t="n">
        <v>10.61</v>
      </c>
      <c r="D599" s="8" t="n">
        <v>11.19</v>
      </c>
      <c r="E599" s="8" t="n">
        <v>14.47</v>
      </c>
      <c r="F599" s="8" t="n">
        <v>15.57</v>
      </c>
      <c r="G599" s="8" t="n">
        <v>16.36</v>
      </c>
      <c r="H599" s="8" t="n">
        <v>14.13</v>
      </c>
      <c r="I599" s="8" t="n">
        <v>8.08</v>
      </c>
      <c r="J599" s="8" t="n">
        <v>7.06</v>
      </c>
      <c r="K599" s="8" t="n">
        <v>9.109999999999999</v>
      </c>
      <c r="L599" s="8" t="n">
        <v>9.51</v>
      </c>
      <c r="M599" s="8" t="n">
        <v>11.23</v>
      </c>
      <c r="N599" s="4" t="n">
        <v>10.14</v>
      </c>
    </row>
    <row r="600">
      <c r="A600" s="2" t="inlineStr">
        <is>
          <t>KMO0331</t>
        </is>
      </c>
      <c r="B600" s="8" t="inlineStr">
        <is>
          <t>2028-02-01 00:00:00</t>
        </is>
      </c>
      <c r="C600" s="8" t="n">
        <v>9.449999999999999</v>
      </c>
      <c r="D600" s="8" t="n">
        <v>11.39</v>
      </c>
      <c r="E600" s="8" t="n">
        <v>14.11</v>
      </c>
      <c r="F600" s="8" t="n">
        <v>13.65</v>
      </c>
      <c r="G600" s="8" t="n">
        <v>15.23</v>
      </c>
      <c r="H600" s="8" t="n">
        <v>13.27</v>
      </c>
      <c r="I600" s="8" t="n">
        <v>8.359999999999999</v>
      </c>
      <c r="J600" s="8" t="n">
        <v>7.02</v>
      </c>
      <c r="K600" s="8" t="n">
        <v>10.37</v>
      </c>
      <c r="L600" s="8" t="n">
        <v>10.58</v>
      </c>
      <c r="M600" s="8" t="n">
        <v>12.32</v>
      </c>
      <c r="N600" s="4" t="n">
        <v>10.96</v>
      </c>
    </row>
    <row r="601">
      <c r="A601" s="2" t="inlineStr">
        <is>
          <t>KMO0331</t>
        </is>
      </c>
      <c r="B601" s="8" t="inlineStr">
        <is>
          <t>2028-03-01 00:00:00</t>
        </is>
      </c>
      <c r="C601" s="8" t="n">
        <v>9.83</v>
      </c>
      <c r="D601" s="8" t="n">
        <v>12.01</v>
      </c>
      <c r="E601" s="8" t="n">
        <v>13.63</v>
      </c>
      <c r="F601" s="8" t="n">
        <v>12.94</v>
      </c>
      <c r="G601" s="8" t="n">
        <v>13.72</v>
      </c>
      <c r="H601" s="8" t="n">
        <v>12.5</v>
      </c>
      <c r="I601" s="8" t="n">
        <v>9.65</v>
      </c>
      <c r="J601" s="8" t="n">
        <v>9.43</v>
      </c>
      <c r="K601" s="8" t="n">
        <v>12.37</v>
      </c>
      <c r="L601" s="8" t="n">
        <v>11.41</v>
      </c>
      <c r="M601" s="8" t="n">
        <v>12.55</v>
      </c>
      <c r="N601" s="4" t="n">
        <v>11.59</v>
      </c>
    </row>
    <row r="602">
      <c r="A602" s="2" t="inlineStr">
        <is>
          <t>KMO0331</t>
        </is>
      </c>
      <c r="B602" s="8" t="inlineStr">
        <is>
          <t>2028-04-01 00:00:00</t>
        </is>
      </c>
      <c r="C602" s="8" t="n">
        <v>15.07</v>
      </c>
      <c r="D602" s="8" t="n">
        <v>17.51</v>
      </c>
      <c r="E602" s="8" t="n">
        <v>18.72</v>
      </c>
      <c r="F602" s="8" t="n">
        <v>18.86</v>
      </c>
      <c r="G602" s="8" t="n">
        <v>20.72</v>
      </c>
      <c r="H602" s="8" t="n">
        <v>17.8</v>
      </c>
      <c r="I602" s="8" t="n">
        <v>12.85</v>
      </c>
      <c r="J602" s="8" t="n">
        <v>13.2</v>
      </c>
      <c r="K602" s="8" t="n">
        <v>16.71</v>
      </c>
      <c r="L602" s="8" t="n">
        <v>15.06</v>
      </c>
      <c r="M602" s="8" t="n">
        <v>17.72</v>
      </c>
      <c r="N602" s="4" t="n">
        <v>15.54</v>
      </c>
    </row>
    <row r="603">
      <c r="A603" s="2" t="inlineStr">
        <is>
          <t>KMO0331</t>
        </is>
      </c>
      <c r="B603" s="8" t="inlineStr">
        <is>
          <t>2028-05-01 00:00:00</t>
        </is>
      </c>
      <c r="C603" s="8" t="n">
        <v>13.49</v>
      </c>
      <c r="D603" s="8" t="n">
        <v>17.87</v>
      </c>
      <c r="E603" s="8" t="n">
        <v>20.67</v>
      </c>
      <c r="F603" s="8" t="n">
        <v>17.54</v>
      </c>
      <c r="G603" s="8" t="n">
        <v>22.42</v>
      </c>
      <c r="H603" s="8" t="n">
        <v>16.48</v>
      </c>
      <c r="I603" s="8" t="n">
        <v>13.69</v>
      </c>
      <c r="J603" s="8" t="n">
        <v>13.96</v>
      </c>
      <c r="K603" s="8" t="n">
        <v>15.03</v>
      </c>
      <c r="L603" s="8" t="n">
        <v>14.39</v>
      </c>
      <c r="M603" s="8" t="n">
        <v>16.42</v>
      </c>
      <c r="N603" s="4" t="n">
        <v>14.84</v>
      </c>
    </row>
    <row r="604">
      <c r="A604" s="2" t="inlineStr">
        <is>
          <t>KMO0331</t>
        </is>
      </c>
      <c r="B604" s="8" t="inlineStr">
        <is>
          <t>2028-06-01 00:00:00</t>
        </is>
      </c>
      <c r="C604" s="8" t="n">
        <v>13.98</v>
      </c>
      <c r="D604" s="8" t="n">
        <v>17.75</v>
      </c>
      <c r="E604" s="8" t="n">
        <v>25.93</v>
      </c>
      <c r="F604" s="8" t="n">
        <v>17.7</v>
      </c>
      <c r="G604" s="8" t="n">
        <v>26.97</v>
      </c>
      <c r="H604" s="8" t="n">
        <v>17.28</v>
      </c>
      <c r="I604" s="8" t="n">
        <v>12.76</v>
      </c>
      <c r="J604" s="8" t="n">
        <v>12.17</v>
      </c>
      <c r="K604" s="8" t="n">
        <v>15</v>
      </c>
      <c r="L604" s="8" t="n">
        <v>14.24</v>
      </c>
      <c r="M604" s="8" t="n">
        <v>17.69</v>
      </c>
      <c r="N604" s="4" t="n">
        <v>16.27</v>
      </c>
    </row>
    <row r="605">
      <c r="A605" s="2" t="inlineStr">
        <is>
          <t>KMO0331</t>
        </is>
      </c>
      <c r="B605" s="8" t="inlineStr">
        <is>
          <t>2028-07-01 00:00:00</t>
        </is>
      </c>
      <c r="C605" s="8" t="n">
        <v>13.85</v>
      </c>
      <c r="D605" s="8" t="n">
        <v>16.84</v>
      </c>
      <c r="E605" s="8" t="n">
        <v>24.98</v>
      </c>
      <c r="F605" s="8" t="n">
        <v>18.54</v>
      </c>
      <c r="G605" s="8" t="n">
        <v>26.89</v>
      </c>
      <c r="H605" s="8" t="n">
        <v>17.68</v>
      </c>
      <c r="I605" s="8" t="n">
        <v>13.81</v>
      </c>
      <c r="J605" s="8" t="n">
        <v>13.28</v>
      </c>
      <c r="K605" s="8" t="n">
        <v>17.13</v>
      </c>
      <c r="L605" s="8" t="n">
        <v>14.73</v>
      </c>
      <c r="M605" s="8" t="n">
        <v>19.31</v>
      </c>
      <c r="N605" s="4" t="n">
        <v>16.53</v>
      </c>
    </row>
    <row r="606">
      <c r="A606" s="2" t="inlineStr">
        <is>
          <t>KMO0331</t>
        </is>
      </c>
      <c r="B606" s="8" t="inlineStr">
        <is>
          <t>2028-08-01 00:00:00</t>
        </is>
      </c>
      <c r="C606" s="8" t="n">
        <v>13.87</v>
      </c>
      <c r="D606" s="8" t="n">
        <v>17.36</v>
      </c>
      <c r="E606" s="8" t="n">
        <v>18.26</v>
      </c>
      <c r="F606" s="8" t="n">
        <v>16.84</v>
      </c>
      <c r="G606" s="8" t="n">
        <v>19.28</v>
      </c>
      <c r="H606" s="8" t="n">
        <v>17.44</v>
      </c>
      <c r="I606" s="8" t="n">
        <v>15.6</v>
      </c>
      <c r="J606" s="8" t="n">
        <v>15.24</v>
      </c>
      <c r="K606" s="8" t="n">
        <v>17.72</v>
      </c>
      <c r="L606" s="8" t="n">
        <v>16.48</v>
      </c>
      <c r="M606" s="8" t="n">
        <v>19.34</v>
      </c>
      <c r="N606" s="4" t="n">
        <v>17.09</v>
      </c>
    </row>
    <row r="607">
      <c r="A607" s="2" t="inlineStr">
        <is>
          <t>KMO0331</t>
        </is>
      </c>
      <c r="B607" s="8" t="inlineStr">
        <is>
          <t>2028-09-01 00:00:00</t>
        </is>
      </c>
      <c r="C607" s="8" t="n">
        <v>9.9</v>
      </c>
      <c r="D607" s="8" t="n">
        <v>17.07</v>
      </c>
      <c r="E607" s="8" t="n">
        <v>21.06</v>
      </c>
      <c r="F607" s="8" t="n">
        <v>18.22</v>
      </c>
      <c r="G607" s="8" t="n">
        <v>24.04</v>
      </c>
      <c r="H607" s="8" t="n">
        <v>17.75</v>
      </c>
      <c r="I607" s="8" t="n">
        <v>8.460000000000001</v>
      </c>
      <c r="J607" s="8" t="n">
        <v>9.32</v>
      </c>
      <c r="K607" s="8" t="n">
        <v>13.79</v>
      </c>
      <c r="L607" s="8" t="n">
        <v>12.23</v>
      </c>
      <c r="M607" s="8" t="n">
        <v>17.81</v>
      </c>
      <c r="N607" s="4" t="n">
        <v>14.49</v>
      </c>
    </row>
    <row r="608">
      <c r="A608" s="2" t="inlineStr">
        <is>
          <t>KMO0331</t>
        </is>
      </c>
      <c r="B608" s="8" t="inlineStr">
        <is>
          <t>2028-10-01 00:00:00</t>
        </is>
      </c>
      <c r="C608" s="8" t="n">
        <v>5.81</v>
      </c>
      <c r="D608" s="8" t="n">
        <v>7.81</v>
      </c>
      <c r="E608" s="8" t="n">
        <v>9.15</v>
      </c>
      <c r="F608" s="8" t="n">
        <v>7.85</v>
      </c>
      <c r="G608" s="8" t="n">
        <v>9.31</v>
      </c>
      <c r="H608" s="8" t="n">
        <v>9.23</v>
      </c>
      <c r="I608" s="8" t="n">
        <v>6.55</v>
      </c>
      <c r="J608" s="8" t="n">
        <v>6.46</v>
      </c>
      <c r="K608" s="8" t="n">
        <v>7.28</v>
      </c>
      <c r="L608" s="8" t="n">
        <v>6.27</v>
      </c>
      <c r="M608" s="8" t="n">
        <v>7.84</v>
      </c>
      <c r="N608" s="4" t="n">
        <v>7.58</v>
      </c>
    </row>
    <row r="609">
      <c r="A609" s="2" t="inlineStr">
        <is>
          <t>KMO0331</t>
        </is>
      </c>
      <c r="B609" s="8" t="inlineStr">
        <is>
          <t>2028-11-01 00:00:00</t>
        </is>
      </c>
      <c r="C609" s="8" t="n">
        <v>4.65</v>
      </c>
      <c r="D609" s="8" t="n">
        <v>7.13</v>
      </c>
      <c r="E609" s="8" t="n">
        <v>10.24</v>
      </c>
      <c r="F609" s="8" t="n">
        <v>9.58</v>
      </c>
      <c r="G609" s="8" t="n">
        <v>10.15</v>
      </c>
      <c r="H609" s="8" t="n">
        <v>8.27</v>
      </c>
      <c r="I609" s="8" t="n">
        <v>4.62</v>
      </c>
      <c r="J609" s="8" t="n">
        <v>4.14</v>
      </c>
      <c r="K609" s="8" t="n">
        <v>6.76</v>
      </c>
      <c r="L609" s="8" t="n">
        <v>5.89</v>
      </c>
      <c r="M609" s="8" t="n">
        <v>6.72</v>
      </c>
      <c r="N609" s="4" t="n">
        <v>6.38</v>
      </c>
    </row>
    <row r="610">
      <c r="A610" s="2" t="inlineStr">
        <is>
          <t>KMO0331</t>
        </is>
      </c>
      <c r="B610" s="8" t="inlineStr">
        <is>
          <t>2028-12-01 00:00:00</t>
        </is>
      </c>
      <c r="C610" s="8" t="n">
        <v>5.8</v>
      </c>
      <c r="D610" s="8" t="n">
        <v>6.37</v>
      </c>
      <c r="E610" s="8" t="n">
        <v>10.4</v>
      </c>
      <c r="F610" s="8" t="n">
        <v>9.609999999999999</v>
      </c>
      <c r="G610" s="8" t="n">
        <v>9.210000000000001</v>
      </c>
      <c r="H610" s="8" t="n">
        <v>7.58</v>
      </c>
      <c r="I610" s="8" t="n">
        <v>5.53</v>
      </c>
      <c r="J610" s="8" t="n">
        <v>5.18</v>
      </c>
      <c r="K610" s="8" t="n">
        <v>7.21</v>
      </c>
      <c r="L610" s="8" t="n">
        <v>7.05</v>
      </c>
      <c r="M610" s="8" t="n">
        <v>7.58</v>
      </c>
      <c r="N610" s="4" t="n">
        <v>6.71</v>
      </c>
    </row>
    <row r="611">
      <c r="A611" s="2" t="inlineStr">
        <is>
          <t>KMO0331</t>
        </is>
      </c>
      <c r="B611" s="8" t="inlineStr">
        <is>
          <t>2029-01-01 00:00:00</t>
        </is>
      </c>
      <c r="C611" s="8" t="n">
        <v>10.23</v>
      </c>
      <c r="D611" s="8" t="n">
        <v>10.79</v>
      </c>
      <c r="E611" s="8" t="n">
        <v>13.94</v>
      </c>
      <c r="F611" s="8" t="n">
        <v>14.99</v>
      </c>
      <c r="G611" s="8" t="n">
        <v>15.75</v>
      </c>
      <c r="H611" s="8" t="n">
        <v>13.61</v>
      </c>
      <c r="I611" s="8" t="n">
        <v>7.8</v>
      </c>
      <c r="J611" s="8" t="n">
        <v>6.81</v>
      </c>
      <c r="K611" s="8" t="n">
        <v>8.789999999999999</v>
      </c>
      <c r="L611" s="8" t="n">
        <v>9.17</v>
      </c>
      <c r="M611" s="8" t="n">
        <v>10.83</v>
      </c>
      <c r="N611" s="4" t="n">
        <v>9.77</v>
      </c>
    </row>
    <row r="612">
      <c r="A612" s="2" t="inlineStr">
        <is>
          <t>KMO0331</t>
        </is>
      </c>
      <c r="B612" s="8" t="inlineStr">
        <is>
          <t>2029-02-01 00:00:00</t>
        </is>
      </c>
      <c r="C612" s="8" t="n">
        <v>9.35</v>
      </c>
      <c r="D612" s="8" t="n">
        <v>11.26</v>
      </c>
      <c r="E612" s="8" t="n">
        <v>13.95</v>
      </c>
      <c r="F612" s="8" t="n">
        <v>13.5</v>
      </c>
      <c r="G612" s="8" t="n">
        <v>15.06</v>
      </c>
      <c r="H612" s="8" t="n">
        <v>13.12</v>
      </c>
      <c r="I612" s="8" t="n">
        <v>8.27</v>
      </c>
      <c r="J612" s="8" t="n">
        <v>6.94</v>
      </c>
      <c r="K612" s="8" t="n">
        <v>10.26</v>
      </c>
      <c r="L612" s="8" t="n">
        <v>10.46</v>
      </c>
      <c r="M612" s="8" t="n">
        <v>12.18</v>
      </c>
      <c r="N612" s="4" t="n">
        <v>10.84</v>
      </c>
    </row>
    <row r="613">
      <c r="A613" s="2" t="inlineStr">
        <is>
          <t>KMO0331</t>
        </is>
      </c>
      <c r="B613" s="8" t="inlineStr">
        <is>
          <t>2029-03-01 00:00:00</t>
        </is>
      </c>
      <c r="C613" s="8" t="n">
        <v>9.76</v>
      </c>
      <c r="D613" s="8" t="n">
        <v>11.93</v>
      </c>
      <c r="E613" s="8" t="n">
        <v>13.53</v>
      </c>
      <c r="F613" s="8" t="n">
        <v>12.84</v>
      </c>
      <c r="G613" s="8" t="n">
        <v>13.62</v>
      </c>
      <c r="H613" s="8" t="n">
        <v>12.41</v>
      </c>
      <c r="I613" s="8" t="n">
        <v>9.59</v>
      </c>
      <c r="J613" s="8" t="n">
        <v>9.369999999999999</v>
      </c>
      <c r="K613" s="8" t="n">
        <v>12.28</v>
      </c>
      <c r="L613" s="8" t="n">
        <v>11.33</v>
      </c>
      <c r="M613" s="8" t="n">
        <v>12.46</v>
      </c>
      <c r="N613" s="4" t="n">
        <v>11.51</v>
      </c>
    </row>
    <row r="614">
      <c r="A614" s="2" t="inlineStr">
        <is>
          <t>KMO0331</t>
        </is>
      </c>
      <c r="B614" s="8" t="inlineStr">
        <is>
          <t>2029-04-01 00:00:00</t>
        </is>
      </c>
      <c r="C614" s="8" t="n">
        <v>14.78</v>
      </c>
      <c r="D614" s="8" t="n">
        <v>17.17</v>
      </c>
      <c r="E614" s="8" t="n">
        <v>18.36</v>
      </c>
      <c r="F614" s="8" t="n">
        <v>18.49</v>
      </c>
      <c r="G614" s="8" t="n">
        <v>20.32</v>
      </c>
      <c r="H614" s="8" t="n">
        <v>17.45</v>
      </c>
      <c r="I614" s="8" t="n">
        <v>12.6</v>
      </c>
      <c r="J614" s="8" t="n">
        <v>12.95</v>
      </c>
      <c r="K614" s="8" t="n">
        <v>16.39</v>
      </c>
      <c r="L614" s="8" t="n">
        <v>14.77</v>
      </c>
      <c r="M614" s="8" t="n">
        <v>17.38</v>
      </c>
      <c r="N614" s="4" t="n">
        <v>15.24</v>
      </c>
    </row>
    <row r="615">
      <c r="A615" s="2" t="inlineStr">
        <is>
          <t>KMO0331</t>
        </is>
      </c>
      <c r="B615" s="8" t="inlineStr">
        <is>
          <t>2029-05-01 00:00:00</t>
        </is>
      </c>
      <c r="C615" s="8" t="n">
        <v>13.38</v>
      </c>
      <c r="D615" s="8" t="n">
        <v>17.73</v>
      </c>
      <c r="E615" s="8" t="n">
        <v>20.51</v>
      </c>
      <c r="F615" s="8" t="n">
        <v>17.4</v>
      </c>
      <c r="G615" s="8" t="n">
        <v>22.24</v>
      </c>
      <c r="H615" s="8" t="n">
        <v>16.35</v>
      </c>
      <c r="I615" s="8" t="n">
        <v>13.59</v>
      </c>
      <c r="J615" s="8" t="n">
        <v>13.86</v>
      </c>
      <c r="K615" s="8" t="n">
        <v>14.91</v>
      </c>
      <c r="L615" s="8" t="n">
        <v>14.28</v>
      </c>
      <c r="M615" s="8" t="n">
        <v>16.29</v>
      </c>
      <c r="N615" s="4" t="n">
        <v>14.72</v>
      </c>
    </row>
    <row r="616">
      <c r="A616" s="2" t="inlineStr">
        <is>
          <t>KMO0331</t>
        </is>
      </c>
      <c r="B616" s="8" t="inlineStr">
        <is>
          <t>2029-06-01 00:00:00</t>
        </is>
      </c>
      <c r="C616" s="8" t="n">
        <v>13.96</v>
      </c>
      <c r="D616" s="8" t="n">
        <v>17.73</v>
      </c>
      <c r="E616" s="8" t="n">
        <v>25.9</v>
      </c>
      <c r="F616" s="8" t="n">
        <v>17.67</v>
      </c>
      <c r="G616" s="8" t="n">
        <v>26.94</v>
      </c>
      <c r="H616" s="8" t="n">
        <v>17.25</v>
      </c>
      <c r="I616" s="8" t="n">
        <v>12.74</v>
      </c>
      <c r="J616" s="8" t="n">
        <v>12.16</v>
      </c>
      <c r="K616" s="8" t="n">
        <v>14.98</v>
      </c>
      <c r="L616" s="8" t="n">
        <v>14.22</v>
      </c>
      <c r="M616" s="8" t="n">
        <v>17.67</v>
      </c>
      <c r="N616" s="4" t="n">
        <v>16.25</v>
      </c>
    </row>
    <row r="617">
      <c r="A617" s="2" t="inlineStr">
        <is>
          <t>KMO0331</t>
        </is>
      </c>
      <c r="B617" s="8" t="inlineStr">
        <is>
          <t>2029-07-01 00:00:00</t>
        </is>
      </c>
      <c r="C617" s="8" t="n">
        <v>13.46</v>
      </c>
      <c r="D617" s="8" t="n">
        <v>16.36</v>
      </c>
      <c r="E617" s="8" t="n">
        <v>24.43</v>
      </c>
      <c r="F617" s="8" t="n">
        <v>18.01</v>
      </c>
      <c r="G617" s="8" t="n">
        <v>26.29</v>
      </c>
      <c r="H617" s="8" t="n">
        <v>17.17</v>
      </c>
      <c r="I617" s="8" t="n">
        <v>13.42</v>
      </c>
      <c r="J617" s="8" t="n">
        <v>12.9</v>
      </c>
      <c r="K617" s="8" t="n">
        <v>16.63</v>
      </c>
      <c r="L617" s="8" t="n">
        <v>14.31</v>
      </c>
      <c r="M617" s="8" t="n">
        <v>18.75</v>
      </c>
      <c r="N617" s="4" t="n">
        <v>16.05</v>
      </c>
    </row>
    <row r="618">
      <c r="A618" s="2" t="inlineStr">
        <is>
          <t>KMO0331</t>
        </is>
      </c>
      <c r="B618" s="8" t="inlineStr">
        <is>
          <t>2029-08-01 00:00:00</t>
        </is>
      </c>
      <c r="C618" s="8" t="n">
        <v>13.52</v>
      </c>
      <c r="D618" s="8" t="n">
        <v>16.93</v>
      </c>
      <c r="E618" s="8" t="n">
        <v>17.8</v>
      </c>
      <c r="F618" s="8" t="n">
        <v>16.42</v>
      </c>
      <c r="G618" s="8" t="n">
        <v>18.79</v>
      </c>
      <c r="H618" s="8" t="n">
        <v>17</v>
      </c>
      <c r="I618" s="8" t="n">
        <v>15.21</v>
      </c>
      <c r="J618" s="8" t="n">
        <v>14.86</v>
      </c>
      <c r="K618" s="8" t="n">
        <v>17.27</v>
      </c>
      <c r="L618" s="8" t="n">
        <v>16.07</v>
      </c>
      <c r="M618" s="8" t="n">
        <v>18.85</v>
      </c>
      <c r="N618" s="4" t="n">
        <v>16.66</v>
      </c>
    </row>
    <row r="619">
      <c r="A619" s="2" t="inlineStr">
        <is>
          <t>KMO0331</t>
        </is>
      </c>
      <c r="B619" s="8" t="inlineStr">
        <is>
          <t>2029-09-01 00:00:00</t>
        </is>
      </c>
      <c r="C619" s="8" t="n">
        <v>9.76</v>
      </c>
      <c r="D619" s="8" t="n">
        <v>16.81</v>
      </c>
      <c r="E619" s="8" t="n">
        <v>20.74</v>
      </c>
      <c r="F619" s="8" t="n">
        <v>17.94</v>
      </c>
      <c r="G619" s="8" t="n">
        <v>23.67</v>
      </c>
      <c r="H619" s="8" t="n">
        <v>17.48</v>
      </c>
      <c r="I619" s="8" t="n">
        <v>8.34</v>
      </c>
      <c r="J619" s="8" t="n">
        <v>9.18</v>
      </c>
      <c r="K619" s="8" t="n">
        <v>13.58</v>
      </c>
      <c r="L619" s="8" t="n">
        <v>12.05</v>
      </c>
      <c r="M619" s="8" t="n">
        <v>17.54</v>
      </c>
      <c r="N619" s="4" t="n">
        <v>14.27</v>
      </c>
    </row>
    <row r="620">
      <c r="A620" s="2" t="inlineStr">
        <is>
          <t>KMO0331</t>
        </is>
      </c>
      <c r="B620" s="8" t="inlineStr">
        <is>
          <t>2029-10-01 00:00:00</t>
        </is>
      </c>
      <c r="C620" s="8" t="n">
        <v>5.66</v>
      </c>
      <c r="D620" s="8" t="n">
        <v>7.6</v>
      </c>
      <c r="E620" s="8" t="n">
        <v>8.9</v>
      </c>
      <c r="F620" s="8" t="n">
        <v>7.64</v>
      </c>
      <c r="G620" s="8" t="n">
        <v>9.06</v>
      </c>
      <c r="H620" s="8" t="n">
        <v>8.98</v>
      </c>
      <c r="I620" s="8" t="n">
        <v>6.38</v>
      </c>
      <c r="J620" s="8" t="n">
        <v>6.29</v>
      </c>
      <c r="K620" s="8" t="n">
        <v>7.09</v>
      </c>
      <c r="L620" s="8" t="n">
        <v>6.11</v>
      </c>
      <c r="M620" s="8" t="n">
        <v>7.63</v>
      </c>
      <c r="N620" s="4" t="n">
        <v>7.37</v>
      </c>
    </row>
    <row r="621">
      <c r="A621" s="2" t="inlineStr">
        <is>
          <t>KMO0331</t>
        </is>
      </c>
      <c r="B621" s="8" t="inlineStr">
        <is>
          <t>2029-11-01 00:00:00</t>
        </is>
      </c>
      <c r="C621" s="8" t="n">
        <v>4.56</v>
      </c>
      <c r="D621" s="8" t="n">
        <v>6.98</v>
      </c>
      <c r="E621" s="8" t="n">
        <v>10.01</v>
      </c>
      <c r="F621" s="8" t="n">
        <v>9.359999999999999</v>
      </c>
      <c r="G621" s="8" t="n">
        <v>9.93</v>
      </c>
      <c r="H621" s="8" t="n">
        <v>8.08</v>
      </c>
      <c r="I621" s="8" t="n">
        <v>4.52</v>
      </c>
      <c r="J621" s="8" t="n">
        <v>4.05</v>
      </c>
      <c r="K621" s="8" t="n">
        <v>6.61</v>
      </c>
      <c r="L621" s="8" t="n">
        <v>5.76</v>
      </c>
      <c r="M621" s="8" t="n">
        <v>6.58</v>
      </c>
      <c r="N621" s="4" t="n">
        <v>6.24</v>
      </c>
    </row>
    <row r="622">
      <c r="A622" s="2" t="inlineStr">
        <is>
          <t>KMO0331</t>
        </is>
      </c>
      <c r="B622" s="8" t="inlineStr">
        <is>
          <t>2029-12-01 00:00:00</t>
        </is>
      </c>
      <c r="C622" s="8" t="n">
        <v>5.68</v>
      </c>
      <c r="D622" s="8" t="n">
        <v>6.24</v>
      </c>
      <c r="E622" s="8" t="n">
        <v>10.17</v>
      </c>
      <c r="F622" s="8" t="n">
        <v>9.4</v>
      </c>
      <c r="G622" s="8" t="n">
        <v>9.01</v>
      </c>
      <c r="H622" s="8" t="n">
        <v>7.41</v>
      </c>
      <c r="I622" s="8" t="n">
        <v>5.42</v>
      </c>
      <c r="J622" s="8" t="n">
        <v>5.07</v>
      </c>
      <c r="K622" s="8" t="n">
        <v>7.05</v>
      </c>
      <c r="L622" s="8" t="n">
        <v>6.9</v>
      </c>
      <c r="M622" s="8" t="n">
        <v>7.41</v>
      </c>
      <c r="N622" s="4" t="n">
        <v>6.56</v>
      </c>
    </row>
    <row r="623">
      <c r="A623" s="2" t="inlineStr">
        <is>
          <t>KMO0331</t>
        </is>
      </c>
      <c r="B623" s="8" t="inlineStr">
        <is>
          <t>2030-01-01 00:00:00</t>
        </is>
      </c>
      <c r="C623" s="8" t="n">
        <v>10.23</v>
      </c>
      <c r="D623" s="8" t="n">
        <v>10.79</v>
      </c>
      <c r="E623" s="8" t="n">
        <v>13.94</v>
      </c>
      <c r="F623" s="8" t="n">
        <v>14.99</v>
      </c>
      <c r="G623" s="8" t="n">
        <v>15.75</v>
      </c>
      <c r="H623" s="8" t="n">
        <v>13.61</v>
      </c>
      <c r="I623" s="8" t="n">
        <v>7.8</v>
      </c>
      <c r="J623" s="8" t="n">
        <v>6.81</v>
      </c>
      <c r="K623" s="8" t="n">
        <v>8.789999999999999</v>
      </c>
      <c r="L623" s="8" t="n">
        <v>9.17</v>
      </c>
      <c r="M623" s="8" t="n">
        <v>10.83</v>
      </c>
      <c r="N623" s="4" t="n">
        <v>9.77</v>
      </c>
    </row>
    <row r="624">
      <c r="A624" s="2" t="inlineStr">
        <is>
          <t>KMO0331</t>
        </is>
      </c>
      <c r="B624" s="8" t="inlineStr">
        <is>
          <t>2030-02-01 00:00:00</t>
        </is>
      </c>
      <c r="C624" s="8" t="n">
        <v>9.35</v>
      </c>
      <c r="D624" s="8" t="n">
        <v>11.26</v>
      </c>
      <c r="E624" s="8" t="n">
        <v>13.95</v>
      </c>
      <c r="F624" s="8" t="n">
        <v>13.5</v>
      </c>
      <c r="G624" s="8" t="n">
        <v>15.06</v>
      </c>
      <c r="H624" s="8" t="n">
        <v>13.12</v>
      </c>
      <c r="I624" s="8" t="n">
        <v>8.27</v>
      </c>
      <c r="J624" s="8" t="n">
        <v>6.94</v>
      </c>
      <c r="K624" s="8" t="n">
        <v>10.26</v>
      </c>
      <c r="L624" s="8" t="n">
        <v>10.46</v>
      </c>
      <c r="M624" s="8" t="n">
        <v>12.18</v>
      </c>
      <c r="N624" s="4" t="n">
        <v>10.84</v>
      </c>
    </row>
    <row r="625">
      <c r="A625" s="2" t="inlineStr">
        <is>
          <t>KMO0331</t>
        </is>
      </c>
      <c r="B625" s="8" t="inlineStr">
        <is>
          <t>2030-03-01 00:00:00</t>
        </is>
      </c>
      <c r="C625" s="8" t="n">
        <v>9.76</v>
      </c>
      <c r="D625" s="8" t="n">
        <v>11.93</v>
      </c>
      <c r="E625" s="8" t="n">
        <v>13.53</v>
      </c>
      <c r="F625" s="8" t="n">
        <v>12.84</v>
      </c>
      <c r="G625" s="8" t="n">
        <v>13.62</v>
      </c>
      <c r="H625" s="8" t="n">
        <v>12.41</v>
      </c>
      <c r="I625" s="8" t="n">
        <v>9.59</v>
      </c>
      <c r="J625" s="8" t="n">
        <v>9.369999999999999</v>
      </c>
      <c r="K625" s="8" t="n">
        <v>12.28</v>
      </c>
      <c r="L625" s="8" t="n">
        <v>11.33</v>
      </c>
      <c r="M625" s="8" t="n">
        <v>12.46</v>
      </c>
      <c r="N625" s="4" t="n">
        <v>11.51</v>
      </c>
    </row>
    <row r="626">
      <c r="A626" s="2" t="inlineStr">
        <is>
          <t>KMO0331</t>
        </is>
      </c>
      <c r="B626" s="8" t="inlineStr">
        <is>
          <t>2030-04-01 00:00:00</t>
        </is>
      </c>
      <c r="C626" s="8" t="n">
        <v>14.78</v>
      </c>
      <c r="D626" s="8" t="n">
        <v>17.17</v>
      </c>
      <c r="E626" s="8" t="n">
        <v>18.36</v>
      </c>
      <c r="F626" s="8" t="n">
        <v>18.49</v>
      </c>
      <c r="G626" s="8" t="n">
        <v>20.32</v>
      </c>
      <c r="H626" s="8" t="n">
        <v>17.45</v>
      </c>
      <c r="I626" s="8" t="n">
        <v>12.6</v>
      </c>
      <c r="J626" s="8" t="n">
        <v>12.95</v>
      </c>
      <c r="K626" s="8" t="n">
        <v>16.39</v>
      </c>
      <c r="L626" s="8" t="n">
        <v>14.77</v>
      </c>
      <c r="M626" s="8" t="n">
        <v>17.38</v>
      </c>
      <c r="N626" s="4" t="n">
        <v>15.24</v>
      </c>
    </row>
    <row r="627">
      <c r="A627" s="2" t="inlineStr">
        <is>
          <t>KMO0331</t>
        </is>
      </c>
      <c r="B627" s="8" t="inlineStr">
        <is>
          <t>2030-05-01 00:00:00</t>
        </is>
      </c>
      <c r="C627" s="8" t="n">
        <v>13.38</v>
      </c>
      <c r="D627" s="8" t="n">
        <v>17.73</v>
      </c>
      <c r="E627" s="8" t="n">
        <v>20.51</v>
      </c>
      <c r="F627" s="8" t="n">
        <v>17.4</v>
      </c>
      <c r="G627" s="8" t="n">
        <v>22.24</v>
      </c>
      <c r="H627" s="8" t="n">
        <v>16.35</v>
      </c>
      <c r="I627" s="8" t="n">
        <v>13.59</v>
      </c>
      <c r="J627" s="8" t="n">
        <v>13.86</v>
      </c>
      <c r="K627" s="8" t="n">
        <v>14.91</v>
      </c>
      <c r="L627" s="8" t="n">
        <v>14.28</v>
      </c>
      <c r="M627" s="8" t="n">
        <v>16.29</v>
      </c>
      <c r="N627" s="4" t="n">
        <v>14.72</v>
      </c>
    </row>
    <row r="628">
      <c r="A628" s="2" t="inlineStr">
        <is>
          <t>KMO0331</t>
        </is>
      </c>
      <c r="B628" s="8" t="inlineStr">
        <is>
          <t>2030-06-01 00:00:00</t>
        </is>
      </c>
      <c r="C628" s="8" t="n">
        <v>13.96</v>
      </c>
      <c r="D628" s="8" t="n">
        <v>17.73</v>
      </c>
      <c r="E628" s="8" t="n">
        <v>25.9</v>
      </c>
      <c r="F628" s="8" t="n">
        <v>17.67</v>
      </c>
      <c r="G628" s="8" t="n">
        <v>26.94</v>
      </c>
      <c r="H628" s="8" t="n">
        <v>17.25</v>
      </c>
      <c r="I628" s="8" t="n">
        <v>12.74</v>
      </c>
      <c r="J628" s="8" t="n">
        <v>12.16</v>
      </c>
      <c r="K628" s="8" t="n">
        <v>14.98</v>
      </c>
      <c r="L628" s="8" t="n">
        <v>14.22</v>
      </c>
      <c r="M628" s="8" t="n">
        <v>17.67</v>
      </c>
      <c r="N628" s="4" t="n">
        <v>16.25</v>
      </c>
    </row>
    <row r="629">
      <c r="A629" s="2" t="inlineStr">
        <is>
          <t>KMO0331</t>
        </is>
      </c>
      <c r="B629" s="8" t="inlineStr">
        <is>
          <t>2030-07-01 00:00:00</t>
        </is>
      </c>
      <c r="C629" s="8" t="n">
        <v>13.46</v>
      </c>
      <c r="D629" s="8" t="n">
        <v>16.36</v>
      </c>
      <c r="E629" s="8" t="n">
        <v>24.43</v>
      </c>
      <c r="F629" s="8" t="n">
        <v>18.01</v>
      </c>
      <c r="G629" s="8" t="n">
        <v>26.29</v>
      </c>
      <c r="H629" s="8" t="n">
        <v>17.17</v>
      </c>
      <c r="I629" s="8" t="n">
        <v>13.42</v>
      </c>
      <c r="J629" s="8" t="n">
        <v>12.9</v>
      </c>
      <c r="K629" s="8" t="n">
        <v>16.63</v>
      </c>
      <c r="L629" s="8" t="n">
        <v>14.31</v>
      </c>
      <c r="M629" s="8" t="n">
        <v>18.75</v>
      </c>
      <c r="N629" s="4" t="n">
        <v>16.05</v>
      </c>
    </row>
    <row r="630">
      <c r="A630" s="2" t="inlineStr">
        <is>
          <t>KMO0331</t>
        </is>
      </c>
      <c r="B630" s="8" t="inlineStr">
        <is>
          <t>2030-08-01 00:00:00</t>
        </is>
      </c>
      <c r="C630" s="8" t="n">
        <v>13.52</v>
      </c>
      <c r="D630" s="8" t="n">
        <v>16.93</v>
      </c>
      <c r="E630" s="8" t="n">
        <v>17.8</v>
      </c>
      <c r="F630" s="8" t="n">
        <v>16.42</v>
      </c>
      <c r="G630" s="8" t="n">
        <v>18.79</v>
      </c>
      <c r="H630" s="8" t="n">
        <v>17</v>
      </c>
      <c r="I630" s="8" t="n">
        <v>15.21</v>
      </c>
      <c r="J630" s="8" t="n">
        <v>14.86</v>
      </c>
      <c r="K630" s="8" t="n">
        <v>17.27</v>
      </c>
      <c r="L630" s="8" t="n">
        <v>16.07</v>
      </c>
      <c r="M630" s="8" t="n">
        <v>18.85</v>
      </c>
      <c r="N630" s="4" t="n">
        <v>16.66</v>
      </c>
    </row>
    <row r="631">
      <c r="A631" s="2" t="inlineStr">
        <is>
          <t>KMO0331</t>
        </is>
      </c>
      <c r="B631" s="8" t="inlineStr">
        <is>
          <t>2030-09-01 00:00:00</t>
        </is>
      </c>
      <c r="C631" s="8" t="n">
        <v>9.76</v>
      </c>
      <c r="D631" s="8" t="n">
        <v>16.81</v>
      </c>
      <c r="E631" s="8" t="n">
        <v>20.74</v>
      </c>
      <c r="F631" s="8" t="n">
        <v>17.94</v>
      </c>
      <c r="G631" s="8" t="n">
        <v>23.67</v>
      </c>
      <c r="H631" s="8" t="n">
        <v>17.48</v>
      </c>
      <c r="I631" s="8" t="n">
        <v>8.34</v>
      </c>
      <c r="J631" s="8" t="n">
        <v>9.18</v>
      </c>
      <c r="K631" s="8" t="n">
        <v>13.58</v>
      </c>
      <c r="L631" s="8" t="n">
        <v>12.05</v>
      </c>
      <c r="M631" s="8" t="n">
        <v>17.54</v>
      </c>
      <c r="N631" s="4" t="n">
        <v>14.27</v>
      </c>
    </row>
    <row r="632">
      <c r="A632" s="2" t="inlineStr">
        <is>
          <t>KMO0331</t>
        </is>
      </c>
      <c r="B632" s="8" t="inlineStr">
        <is>
          <t>2030-10-01 00:00:00</t>
        </is>
      </c>
      <c r="C632" s="8" t="n">
        <v>5.66</v>
      </c>
      <c r="D632" s="8" t="n">
        <v>7.6</v>
      </c>
      <c r="E632" s="8" t="n">
        <v>8.9</v>
      </c>
      <c r="F632" s="8" t="n">
        <v>7.64</v>
      </c>
      <c r="G632" s="8" t="n">
        <v>9.06</v>
      </c>
      <c r="H632" s="8" t="n">
        <v>8.98</v>
      </c>
      <c r="I632" s="8" t="n">
        <v>6.38</v>
      </c>
      <c r="J632" s="8" t="n">
        <v>6.29</v>
      </c>
      <c r="K632" s="8" t="n">
        <v>7.09</v>
      </c>
      <c r="L632" s="8" t="n">
        <v>6.11</v>
      </c>
      <c r="M632" s="8" t="n">
        <v>7.63</v>
      </c>
      <c r="N632" s="4" t="n">
        <v>7.37</v>
      </c>
    </row>
    <row r="633">
      <c r="A633" s="2" t="inlineStr">
        <is>
          <t>KMO0331</t>
        </is>
      </c>
      <c r="B633" s="8" t="inlineStr">
        <is>
          <t>2030-11-01 00:00:00</t>
        </is>
      </c>
      <c r="C633" s="8" t="n">
        <v>4.56</v>
      </c>
      <c r="D633" s="8" t="n">
        <v>6.98</v>
      </c>
      <c r="E633" s="8" t="n">
        <v>10.01</v>
      </c>
      <c r="F633" s="8" t="n">
        <v>9.359999999999999</v>
      </c>
      <c r="G633" s="8" t="n">
        <v>9.93</v>
      </c>
      <c r="H633" s="8" t="n">
        <v>8.08</v>
      </c>
      <c r="I633" s="8" t="n">
        <v>4.52</v>
      </c>
      <c r="J633" s="8" t="n">
        <v>4.05</v>
      </c>
      <c r="K633" s="8" t="n">
        <v>6.61</v>
      </c>
      <c r="L633" s="8" t="n">
        <v>5.76</v>
      </c>
      <c r="M633" s="8" t="n">
        <v>6.58</v>
      </c>
      <c r="N633" s="4" t="n">
        <v>6.24</v>
      </c>
    </row>
    <row r="634">
      <c r="A634" s="2" t="inlineStr">
        <is>
          <t>KMO0331</t>
        </is>
      </c>
      <c r="B634" s="8" t="inlineStr">
        <is>
          <t>2030-12-01 00:00:00</t>
        </is>
      </c>
      <c r="C634" s="8" t="n">
        <v>5.68</v>
      </c>
      <c r="D634" s="8" t="n">
        <v>6.24</v>
      </c>
      <c r="E634" s="8" t="n">
        <v>10.17</v>
      </c>
      <c r="F634" s="8" t="n">
        <v>9.4</v>
      </c>
      <c r="G634" s="8" t="n">
        <v>9.01</v>
      </c>
      <c r="H634" s="8" t="n">
        <v>7.41</v>
      </c>
      <c r="I634" s="8" t="n">
        <v>5.42</v>
      </c>
      <c r="J634" s="8" t="n">
        <v>5.07</v>
      </c>
      <c r="K634" s="8" t="n">
        <v>7.05</v>
      </c>
      <c r="L634" s="8" t="n">
        <v>6.9</v>
      </c>
      <c r="M634" s="8" t="n">
        <v>7.41</v>
      </c>
      <c r="N634" s="4" t="n">
        <v>6.56</v>
      </c>
    </row>
    <row r="635">
      <c r="A635" s="2" t="inlineStr">
        <is>
          <t>KMO0331</t>
        </is>
      </c>
      <c r="B635" s="8" t="inlineStr">
        <is>
          <t>2031-01-01 00:00:00</t>
        </is>
      </c>
      <c r="C635" s="8" t="n">
        <v>10.23</v>
      </c>
      <c r="D635" s="8" t="n">
        <v>10.79</v>
      </c>
      <c r="E635" s="8" t="n">
        <v>13.94</v>
      </c>
      <c r="F635" s="8" t="n">
        <v>14.99</v>
      </c>
      <c r="G635" s="8" t="n">
        <v>15.75</v>
      </c>
      <c r="H635" s="8" t="n">
        <v>13.61</v>
      </c>
      <c r="I635" s="8" t="n">
        <v>7.8</v>
      </c>
      <c r="J635" s="8" t="n">
        <v>6.81</v>
      </c>
      <c r="K635" s="8" t="n">
        <v>8.789999999999999</v>
      </c>
      <c r="L635" s="8" t="n">
        <v>9.17</v>
      </c>
      <c r="M635" s="8" t="n">
        <v>10.83</v>
      </c>
      <c r="N635" s="4" t="n">
        <v>9.77</v>
      </c>
    </row>
    <row r="636">
      <c r="A636" s="2" t="inlineStr">
        <is>
          <t>KMO0331</t>
        </is>
      </c>
      <c r="B636" s="8" t="inlineStr">
        <is>
          <t>2031-02-01 00:00:00</t>
        </is>
      </c>
      <c r="C636" s="8" t="n">
        <v>9.35</v>
      </c>
      <c r="D636" s="8" t="n">
        <v>11.26</v>
      </c>
      <c r="E636" s="8" t="n">
        <v>13.95</v>
      </c>
      <c r="F636" s="8" t="n">
        <v>13.5</v>
      </c>
      <c r="G636" s="8" t="n">
        <v>15.06</v>
      </c>
      <c r="H636" s="8" t="n">
        <v>13.12</v>
      </c>
      <c r="I636" s="8" t="n">
        <v>8.27</v>
      </c>
      <c r="J636" s="8" t="n">
        <v>6.94</v>
      </c>
      <c r="K636" s="8" t="n">
        <v>10.26</v>
      </c>
      <c r="L636" s="8" t="n">
        <v>10.46</v>
      </c>
      <c r="M636" s="8" t="n">
        <v>12.18</v>
      </c>
      <c r="N636" s="4" t="n">
        <v>10.84</v>
      </c>
    </row>
    <row r="637">
      <c r="A637" s="2" t="inlineStr">
        <is>
          <t>KMO0331</t>
        </is>
      </c>
      <c r="B637" s="8" t="inlineStr">
        <is>
          <t>2031-03-01 00:00:00</t>
        </is>
      </c>
      <c r="C637" s="8" t="n">
        <v>9.76</v>
      </c>
      <c r="D637" s="8" t="n">
        <v>11.93</v>
      </c>
      <c r="E637" s="8" t="n">
        <v>13.53</v>
      </c>
      <c r="F637" s="8" t="n">
        <v>12.84</v>
      </c>
      <c r="G637" s="8" t="n">
        <v>13.62</v>
      </c>
      <c r="H637" s="8" t="n">
        <v>12.41</v>
      </c>
      <c r="I637" s="8" t="n">
        <v>9.59</v>
      </c>
      <c r="J637" s="8" t="n">
        <v>9.369999999999999</v>
      </c>
      <c r="K637" s="8" t="n">
        <v>12.28</v>
      </c>
      <c r="L637" s="8" t="n">
        <v>11.33</v>
      </c>
      <c r="M637" s="8" t="n">
        <v>12.46</v>
      </c>
      <c r="N637" s="4" t="n">
        <v>11.51</v>
      </c>
    </row>
    <row r="638">
      <c r="A638" s="2" t="inlineStr">
        <is>
          <t>KMO0331</t>
        </is>
      </c>
      <c r="B638" s="8" t="inlineStr">
        <is>
          <t>2031-04-01 00:00:00</t>
        </is>
      </c>
      <c r="C638" s="8" t="n">
        <v>14.78</v>
      </c>
      <c r="D638" s="8" t="n">
        <v>17.17</v>
      </c>
      <c r="E638" s="8" t="n">
        <v>18.36</v>
      </c>
      <c r="F638" s="8" t="n">
        <v>18.49</v>
      </c>
      <c r="G638" s="8" t="n">
        <v>20.32</v>
      </c>
      <c r="H638" s="8" t="n">
        <v>17.45</v>
      </c>
      <c r="I638" s="8" t="n">
        <v>12.6</v>
      </c>
      <c r="J638" s="8" t="n">
        <v>12.95</v>
      </c>
      <c r="K638" s="8" t="n">
        <v>16.39</v>
      </c>
      <c r="L638" s="8" t="n">
        <v>14.77</v>
      </c>
      <c r="M638" s="8" t="n">
        <v>17.38</v>
      </c>
      <c r="N638" s="4" t="n">
        <v>15.24</v>
      </c>
    </row>
    <row r="639">
      <c r="A639" s="2" t="inlineStr">
        <is>
          <t>KMO0331</t>
        </is>
      </c>
      <c r="B639" s="8" t="inlineStr">
        <is>
          <t>2031-05-01 00:00:00</t>
        </is>
      </c>
      <c r="C639" s="8" t="n">
        <v>13.38</v>
      </c>
      <c r="D639" s="8" t="n">
        <v>17.73</v>
      </c>
      <c r="E639" s="8" t="n">
        <v>20.51</v>
      </c>
      <c r="F639" s="8" t="n">
        <v>17.4</v>
      </c>
      <c r="G639" s="8" t="n">
        <v>22.24</v>
      </c>
      <c r="H639" s="8" t="n">
        <v>16.35</v>
      </c>
      <c r="I639" s="8" t="n">
        <v>13.59</v>
      </c>
      <c r="J639" s="8" t="n">
        <v>13.86</v>
      </c>
      <c r="K639" s="8" t="n">
        <v>14.91</v>
      </c>
      <c r="L639" s="8" t="n">
        <v>14.28</v>
      </c>
      <c r="M639" s="8" t="n">
        <v>16.29</v>
      </c>
      <c r="N639" s="4" t="n">
        <v>14.72</v>
      </c>
    </row>
    <row r="640">
      <c r="A640" s="2" t="inlineStr">
        <is>
          <t>KMO0331</t>
        </is>
      </c>
      <c r="B640" s="8" t="inlineStr">
        <is>
          <t>2031-06-01 00:00:00</t>
        </is>
      </c>
      <c r="C640" s="8" t="n">
        <v>13.96</v>
      </c>
      <c r="D640" s="8" t="n">
        <v>17.73</v>
      </c>
      <c r="E640" s="8" t="n">
        <v>25.9</v>
      </c>
      <c r="F640" s="8" t="n">
        <v>17.67</v>
      </c>
      <c r="G640" s="8" t="n">
        <v>26.94</v>
      </c>
      <c r="H640" s="8" t="n">
        <v>17.25</v>
      </c>
      <c r="I640" s="8" t="n">
        <v>12.74</v>
      </c>
      <c r="J640" s="8" t="n">
        <v>12.16</v>
      </c>
      <c r="K640" s="8" t="n">
        <v>14.98</v>
      </c>
      <c r="L640" s="8" t="n">
        <v>14.22</v>
      </c>
      <c r="M640" s="8" t="n">
        <v>17.67</v>
      </c>
      <c r="N640" s="4" t="n">
        <v>16.25</v>
      </c>
    </row>
    <row r="641">
      <c r="A641" s="2" t="inlineStr">
        <is>
          <t>STK0331</t>
        </is>
      </c>
      <c r="B641" s="8" t="inlineStr">
        <is>
          <t>2026-07-01 00:00:00</t>
        </is>
      </c>
      <c r="C641" s="8" t="n">
        <v>14.09</v>
      </c>
      <c r="D641" s="8" t="n">
        <v>16.01</v>
      </c>
      <c r="E641" s="8" t="n">
        <v>22.73</v>
      </c>
      <c r="F641" s="8" t="n">
        <v>16.57</v>
      </c>
      <c r="G641" s="8" t="n">
        <v>24.08</v>
      </c>
      <c r="H641" s="8" t="n">
        <v>16.49</v>
      </c>
      <c r="I641" s="8" t="n">
        <v>13.98</v>
      </c>
      <c r="J641" s="8" t="n">
        <v>13.18</v>
      </c>
      <c r="K641" s="8" t="n">
        <v>15.72</v>
      </c>
      <c r="L641" s="8" t="n">
        <v>13.75</v>
      </c>
      <c r="M641" s="8" t="n">
        <v>17.33</v>
      </c>
      <c r="N641" s="4" t="n">
        <v>15.6</v>
      </c>
    </row>
    <row r="642">
      <c r="A642" s="2" t="inlineStr">
        <is>
          <t>STK0331</t>
        </is>
      </c>
      <c r="B642" s="8" t="inlineStr">
        <is>
          <t>2026-08-01 00:00:00</t>
        </is>
      </c>
      <c r="C642" s="8" t="n">
        <v>14.45</v>
      </c>
      <c r="D642" s="8" t="n">
        <v>16.61</v>
      </c>
      <c r="E642" s="8" t="n">
        <v>16.57</v>
      </c>
      <c r="F642" s="8" t="n">
        <v>15.5</v>
      </c>
      <c r="G642" s="8" t="n">
        <v>17.28</v>
      </c>
      <c r="H642" s="8" t="n">
        <v>16.8</v>
      </c>
      <c r="I642" s="8" t="n">
        <v>16.29</v>
      </c>
      <c r="J642" s="8" t="n">
        <v>15.6</v>
      </c>
      <c r="K642" s="8" t="n">
        <v>17.47</v>
      </c>
      <c r="L642" s="8" t="n">
        <v>16.26</v>
      </c>
      <c r="M642" s="8" t="n">
        <v>18.4</v>
      </c>
      <c r="N642" s="4" t="n">
        <v>16.98</v>
      </c>
    </row>
    <row r="643">
      <c r="A643" s="2" t="inlineStr">
        <is>
          <t>STK0331</t>
        </is>
      </c>
      <c r="B643" s="8" t="inlineStr">
        <is>
          <t>2026-09-01 00:00:00</t>
        </is>
      </c>
      <c r="C643" s="8" t="n">
        <v>7.65</v>
      </c>
      <c r="D643" s="8" t="n">
        <v>12.1</v>
      </c>
      <c r="E643" s="8" t="n">
        <v>14</v>
      </c>
      <c r="F643" s="8" t="n">
        <v>11.72</v>
      </c>
      <c r="G643" s="8" t="n">
        <v>15.77</v>
      </c>
      <c r="H643" s="8" t="n">
        <v>12.75</v>
      </c>
      <c r="I643" s="8" t="n">
        <v>6.75</v>
      </c>
      <c r="J643" s="8" t="n">
        <v>6.86</v>
      </c>
      <c r="K643" s="8" t="n">
        <v>9.449999999999999</v>
      </c>
      <c r="L643" s="8" t="n">
        <v>8.4</v>
      </c>
      <c r="M643" s="8" t="n">
        <v>12.29</v>
      </c>
      <c r="N643" s="4" t="n">
        <v>9.880000000000001</v>
      </c>
    </row>
    <row r="644">
      <c r="A644" s="2" t="inlineStr">
        <is>
          <t>STK0331</t>
        </is>
      </c>
      <c r="B644" s="8" t="inlineStr">
        <is>
          <t>2026-10-01 00:00:00</t>
        </is>
      </c>
      <c r="C644" s="8" t="n">
        <v>7.44</v>
      </c>
      <c r="D644" s="8" t="n">
        <v>8.970000000000001</v>
      </c>
      <c r="E644" s="8" t="n">
        <v>10.15</v>
      </c>
      <c r="F644" s="8" t="n">
        <v>8.77</v>
      </c>
      <c r="G644" s="8" t="n">
        <v>10.61</v>
      </c>
      <c r="H644" s="8" t="n">
        <v>11.19</v>
      </c>
      <c r="I644" s="8" t="n">
        <v>8.42</v>
      </c>
      <c r="J644" s="8" t="n">
        <v>8.01</v>
      </c>
      <c r="K644" s="8" t="n">
        <v>8.76</v>
      </c>
      <c r="L644" s="8" t="n">
        <v>7.31</v>
      </c>
      <c r="M644" s="8" t="n">
        <v>9.42</v>
      </c>
      <c r="N644" s="4" t="n">
        <v>9.43</v>
      </c>
    </row>
    <row r="645">
      <c r="A645" s="2" t="inlineStr">
        <is>
          <t>STK0331</t>
        </is>
      </c>
      <c r="B645" s="8" t="inlineStr">
        <is>
          <t>2026-11-01 00:00:00</t>
        </is>
      </c>
      <c r="C645" s="8" t="n">
        <v>5.68</v>
      </c>
      <c r="D645" s="8" t="n">
        <v>7.85</v>
      </c>
      <c r="E645" s="8" t="n">
        <v>9.65</v>
      </c>
      <c r="F645" s="8" t="n">
        <v>8.92</v>
      </c>
      <c r="G645" s="8" t="n">
        <v>10.35</v>
      </c>
      <c r="H645" s="8" t="n">
        <v>9.23</v>
      </c>
      <c r="I645" s="8" t="n">
        <v>5.7</v>
      </c>
      <c r="J645" s="8" t="n">
        <v>5</v>
      </c>
      <c r="K645" s="8" t="n">
        <v>7.61</v>
      </c>
      <c r="L645" s="8" t="n">
        <v>6.54</v>
      </c>
      <c r="M645" s="8" t="n">
        <v>7.61</v>
      </c>
      <c r="N645" s="4" t="n">
        <v>7.48</v>
      </c>
    </row>
    <row r="646">
      <c r="A646" s="2" t="inlineStr">
        <is>
          <t>STK0331</t>
        </is>
      </c>
      <c r="B646" s="8" t="inlineStr">
        <is>
          <t>2026-12-01 00:00:00</t>
        </is>
      </c>
      <c r="C646" s="8" t="n">
        <v>6.63</v>
      </c>
      <c r="D646" s="8" t="n">
        <v>6.53</v>
      </c>
      <c r="E646" s="8" t="n">
        <v>8.66</v>
      </c>
      <c r="F646" s="8" t="n">
        <v>8.74</v>
      </c>
      <c r="G646" s="8" t="n">
        <v>8.300000000000001</v>
      </c>
      <c r="H646" s="8" t="n">
        <v>7.73</v>
      </c>
      <c r="I646" s="8" t="n">
        <v>6.42</v>
      </c>
      <c r="J646" s="8" t="n">
        <v>5.9</v>
      </c>
      <c r="K646" s="8" t="n">
        <v>7.64</v>
      </c>
      <c r="L646" s="8" t="n">
        <v>7.51</v>
      </c>
      <c r="M646" s="8" t="n">
        <v>7.85</v>
      </c>
      <c r="N646" s="4" t="n">
        <v>7.32</v>
      </c>
    </row>
    <row r="647">
      <c r="A647" s="2" t="inlineStr">
        <is>
          <t>STK0331</t>
        </is>
      </c>
      <c r="B647" s="8" t="inlineStr">
        <is>
          <t>2027-01-01 00:00:00</t>
        </is>
      </c>
      <c r="C647" s="8" t="n">
        <v>12.26</v>
      </c>
      <c r="D647" s="8" t="n">
        <v>12.29</v>
      </c>
      <c r="E647" s="8" t="n">
        <v>14.57</v>
      </c>
      <c r="F647" s="8" t="n">
        <v>15.19</v>
      </c>
      <c r="G647" s="8" t="n">
        <v>15.97</v>
      </c>
      <c r="H647" s="8" t="n">
        <v>15.18</v>
      </c>
      <c r="I647" s="8" t="n">
        <v>9.4</v>
      </c>
      <c r="J647" s="8" t="n">
        <v>8.08</v>
      </c>
      <c r="K647" s="8" t="n">
        <v>9.84</v>
      </c>
      <c r="L647" s="8" t="n">
        <v>10.22</v>
      </c>
      <c r="M647" s="8" t="n">
        <v>11.96</v>
      </c>
      <c r="N647" s="4" t="n">
        <v>11.32</v>
      </c>
    </row>
    <row r="648">
      <c r="A648" s="2" t="inlineStr">
        <is>
          <t>STK0331</t>
        </is>
      </c>
      <c r="B648" s="8" t="inlineStr">
        <is>
          <t>2027-02-01 00:00:00</t>
        </is>
      </c>
      <c r="C648" s="8" t="n">
        <v>12.63</v>
      </c>
      <c r="D648" s="8" t="n">
        <v>13.29</v>
      </c>
      <c r="E648" s="8" t="n">
        <v>14.04</v>
      </c>
      <c r="F648" s="8" t="n">
        <v>13.25</v>
      </c>
      <c r="G648" s="8" t="n">
        <v>15.92</v>
      </c>
      <c r="H648" s="8" t="n">
        <v>15.73</v>
      </c>
      <c r="I648" s="8" t="n">
        <v>10.75</v>
      </c>
      <c r="J648" s="8" t="n">
        <v>8.18</v>
      </c>
      <c r="K648" s="8" t="n">
        <v>8.93</v>
      </c>
      <c r="L648" s="8" t="n">
        <v>8.91</v>
      </c>
      <c r="M648" s="8" t="n">
        <v>10.5</v>
      </c>
      <c r="N648" s="4" t="n">
        <v>10.9</v>
      </c>
    </row>
    <row r="649">
      <c r="A649" s="2" t="inlineStr">
        <is>
          <t>STK0331</t>
        </is>
      </c>
      <c r="B649" s="8" t="inlineStr">
        <is>
          <t>2027-03-01 00:00:00</t>
        </is>
      </c>
      <c r="C649" s="8" t="n">
        <v>11.85</v>
      </c>
      <c r="D649" s="8" t="n">
        <v>12.97</v>
      </c>
      <c r="E649" s="8" t="n">
        <v>13.02</v>
      </c>
      <c r="F649" s="8" t="n">
        <v>12.08</v>
      </c>
      <c r="G649" s="8" t="n">
        <v>13.57</v>
      </c>
      <c r="H649" s="8" t="n">
        <v>13.59</v>
      </c>
      <c r="I649" s="8" t="n">
        <v>12.07</v>
      </c>
      <c r="J649" s="8" t="n">
        <v>11.66</v>
      </c>
      <c r="K649" s="8" t="n">
        <v>12.95</v>
      </c>
      <c r="L649" s="8" t="n">
        <v>12.15</v>
      </c>
      <c r="M649" s="8" t="n">
        <v>13.5</v>
      </c>
      <c r="N649" s="4" t="n">
        <v>13.32</v>
      </c>
    </row>
    <row r="650">
      <c r="A650" s="2" t="inlineStr">
        <is>
          <t>STK0331</t>
        </is>
      </c>
      <c r="B650" s="8" t="inlineStr">
        <is>
          <t>2027-04-01 00:00:00</t>
        </is>
      </c>
      <c r="C650" s="8" t="n">
        <v>18.21</v>
      </c>
      <c r="D650" s="8" t="n">
        <v>19.2</v>
      </c>
      <c r="E650" s="8" t="n">
        <v>18.45</v>
      </c>
      <c r="F650" s="8" t="n">
        <v>18.11</v>
      </c>
      <c r="G650" s="8" t="n">
        <v>20.61</v>
      </c>
      <c r="H650" s="8" t="n">
        <v>19.54</v>
      </c>
      <c r="I650" s="8" t="n">
        <v>16.33</v>
      </c>
      <c r="J650" s="8" t="n">
        <v>15.65</v>
      </c>
      <c r="K650" s="8" t="n">
        <v>17.17</v>
      </c>
      <c r="L650" s="8" t="n">
        <v>16.05</v>
      </c>
      <c r="M650" s="8" t="n">
        <v>19.11</v>
      </c>
      <c r="N650" s="4" t="n">
        <v>17.58</v>
      </c>
    </row>
    <row r="651">
      <c r="A651" s="2" t="inlineStr">
        <is>
          <t>STK0331</t>
        </is>
      </c>
      <c r="B651" s="8" t="inlineStr">
        <is>
          <t>2027-05-01 00:00:00</t>
        </is>
      </c>
      <c r="C651" s="8" t="n">
        <v>17.23</v>
      </c>
      <c r="D651" s="8" t="n">
        <v>20.4</v>
      </c>
      <c r="E651" s="8" t="n">
        <v>21.41</v>
      </c>
      <c r="F651" s="8" t="n">
        <v>18.11</v>
      </c>
      <c r="G651" s="8" t="n">
        <v>23.58</v>
      </c>
      <c r="H651" s="8" t="n">
        <v>18.69</v>
      </c>
      <c r="I651" s="8" t="n">
        <v>17.03</v>
      </c>
      <c r="J651" s="8" t="n">
        <v>16.98</v>
      </c>
      <c r="K651" s="8" t="n">
        <v>17.3</v>
      </c>
      <c r="L651" s="8" t="n">
        <v>16.56</v>
      </c>
      <c r="M651" s="8" t="n">
        <v>18.08</v>
      </c>
      <c r="N651" s="4" t="n">
        <v>17.29</v>
      </c>
    </row>
    <row r="652">
      <c r="A652" s="2" t="inlineStr">
        <is>
          <t>STK0331</t>
        </is>
      </c>
      <c r="B652" s="8" t="inlineStr">
        <is>
          <t>2027-06-01 00:00:00</t>
        </is>
      </c>
      <c r="C652" s="8" t="n">
        <v>17.33</v>
      </c>
      <c r="D652" s="8" t="n">
        <v>20.44</v>
      </c>
      <c r="E652" s="8" t="n">
        <v>27.07</v>
      </c>
      <c r="F652" s="8" t="n">
        <v>18.52</v>
      </c>
      <c r="G652" s="8" t="n">
        <v>27.86</v>
      </c>
      <c r="H652" s="8" t="n">
        <v>19.21</v>
      </c>
      <c r="I652" s="8" t="n">
        <v>16.7</v>
      </c>
      <c r="J652" s="8" t="n">
        <v>15.59</v>
      </c>
      <c r="K652" s="8" t="n">
        <v>17.76</v>
      </c>
      <c r="L652" s="8" t="n">
        <v>16.74</v>
      </c>
      <c r="M652" s="8" t="n">
        <v>19.75</v>
      </c>
      <c r="N652" s="4" t="n">
        <v>19.47</v>
      </c>
    </row>
    <row r="653">
      <c r="A653" s="2" t="inlineStr">
        <is>
          <t>STK0331</t>
        </is>
      </c>
      <c r="B653" s="8" t="inlineStr">
        <is>
          <t>2027-07-01 00:00:00</t>
        </is>
      </c>
      <c r="C653" s="8" t="n">
        <v>16.58</v>
      </c>
      <c r="D653" s="8" t="n">
        <v>18.87</v>
      </c>
      <c r="E653" s="8" t="n">
        <v>25.73</v>
      </c>
      <c r="F653" s="8" t="n">
        <v>19.54</v>
      </c>
      <c r="G653" s="8" t="n">
        <v>27.33</v>
      </c>
      <c r="H653" s="8" t="n">
        <v>19.44</v>
      </c>
      <c r="I653" s="8" t="n">
        <v>16.46</v>
      </c>
      <c r="J653" s="8" t="n">
        <v>15.51</v>
      </c>
      <c r="K653" s="8" t="n">
        <v>18.53</v>
      </c>
      <c r="L653" s="8" t="n">
        <v>16.19</v>
      </c>
      <c r="M653" s="8" t="n">
        <v>20.44</v>
      </c>
      <c r="N653" s="4" t="n">
        <v>18.38</v>
      </c>
    </row>
    <row r="654">
      <c r="A654" s="2" t="inlineStr">
        <is>
          <t>STK0331</t>
        </is>
      </c>
      <c r="B654" s="8" t="inlineStr">
        <is>
          <t>2027-08-01 00:00:00</t>
        </is>
      </c>
      <c r="C654" s="8" t="n">
        <v>16.53</v>
      </c>
      <c r="D654" s="8" t="n">
        <v>19.03</v>
      </c>
      <c r="E654" s="8" t="n">
        <v>18.98</v>
      </c>
      <c r="F654" s="8" t="n">
        <v>17.75</v>
      </c>
      <c r="G654" s="8" t="n">
        <v>19.81</v>
      </c>
      <c r="H654" s="8" t="n">
        <v>19.24</v>
      </c>
      <c r="I654" s="8" t="n">
        <v>18.65</v>
      </c>
      <c r="J654" s="8" t="n">
        <v>17.86</v>
      </c>
      <c r="K654" s="8" t="n">
        <v>20.02</v>
      </c>
      <c r="L654" s="8" t="n">
        <v>18.62</v>
      </c>
      <c r="M654" s="8" t="n">
        <v>21.09</v>
      </c>
      <c r="N654" s="4" t="n">
        <v>19.45</v>
      </c>
    </row>
    <row r="655">
      <c r="A655" s="2" t="inlineStr">
        <is>
          <t>STK0331</t>
        </is>
      </c>
      <c r="B655" s="8" t="inlineStr">
        <is>
          <t>2027-09-01 00:00:00</t>
        </is>
      </c>
      <c r="C655" s="8" t="n">
        <v>12.06</v>
      </c>
      <c r="D655" s="8" t="n">
        <v>19.26</v>
      </c>
      <c r="E655" s="8" t="n">
        <v>22.33</v>
      </c>
      <c r="F655" s="8" t="n">
        <v>18.64</v>
      </c>
      <c r="G655" s="8" t="n">
        <v>25.2</v>
      </c>
      <c r="H655" s="8" t="n">
        <v>20.31</v>
      </c>
      <c r="I655" s="8" t="n">
        <v>10.6</v>
      </c>
      <c r="J655" s="8" t="n">
        <v>10.78</v>
      </c>
      <c r="K655" s="8" t="n">
        <v>14.97</v>
      </c>
      <c r="L655" s="8" t="n">
        <v>13.27</v>
      </c>
      <c r="M655" s="8" t="n">
        <v>19.56</v>
      </c>
      <c r="N655" s="4" t="n">
        <v>15.67</v>
      </c>
    </row>
    <row r="656">
      <c r="A656" s="2" t="inlineStr">
        <is>
          <t>STK0331</t>
        </is>
      </c>
      <c r="B656" s="8" t="inlineStr">
        <is>
          <t>2027-10-01 00:00:00</t>
        </is>
      </c>
      <c r="C656" s="8" t="n">
        <v>6.56</v>
      </c>
      <c r="D656" s="8" t="n">
        <v>7.9</v>
      </c>
      <c r="E656" s="8" t="n">
        <v>8.93</v>
      </c>
      <c r="F656" s="8" t="n">
        <v>7.73</v>
      </c>
      <c r="G656" s="8" t="n">
        <v>9.33</v>
      </c>
      <c r="H656" s="8" t="n">
        <v>9.83</v>
      </c>
      <c r="I656" s="8" t="n">
        <v>7.41</v>
      </c>
      <c r="J656" s="8" t="n">
        <v>7.06</v>
      </c>
      <c r="K656" s="8" t="n">
        <v>7.72</v>
      </c>
      <c r="L656" s="8" t="n">
        <v>6.45</v>
      </c>
      <c r="M656" s="8" t="n">
        <v>8.289999999999999</v>
      </c>
      <c r="N656" s="4" t="n">
        <v>8.300000000000001</v>
      </c>
    </row>
    <row r="657">
      <c r="A657" s="2" t="inlineStr">
        <is>
          <t>STK0331</t>
        </is>
      </c>
      <c r="B657" s="8" t="inlineStr">
        <is>
          <t>2027-11-01 00:00:00</t>
        </is>
      </c>
      <c r="C657" s="8" t="n">
        <v>5.7</v>
      </c>
      <c r="D657" s="8" t="n">
        <v>7.87</v>
      </c>
      <c r="E657" s="8" t="n">
        <v>9.68</v>
      </c>
      <c r="F657" s="8" t="n">
        <v>8.94</v>
      </c>
      <c r="G657" s="8" t="n">
        <v>10.38</v>
      </c>
      <c r="H657" s="8" t="n">
        <v>9.26</v>
      </c>
      <c r="I657" s="8" t="n">
        <v>5.72</v>
      </c>
      <c r="J657" s="8" t="n">
        <v>5.01</v>
      </c>
      <c r="K657" s="8" t="n">
        <v>7.63</v>
      </c>
      <c r="L657" s="8" t="n">
        <v>6.56</v>
      </c>
      <c r="M657" s="8" t="n">
        <v>7.63</v>
      </c>
      <c r="N657" s="4" t="n">
        <v>7.5</v>
      </c>
    </row>
    <row r="658">
      <c r="A658" s="2" t="inlineStr">
        <is>
          <t>STK0331</t>
        </is>
      </c>
      <c r="B658" s="8" t="inlineStr">
        <is>
          <t>2027-12-01 00:00:00</t>
        </is>
      </c>
      <c r="C658" s="8" t="n">
        <v>7.18</v>
      </c>
      <c r="D658" s="8" t="n">
        <v>7.07</v>
      </c>
      <c r="E658" s="8" t="n">
        <v>9.380000000000001</v>
      </c>
      <c r="F658" s="8" t="n">
        <v>9.470000000000001</v>
      </c>
      <c r="G658" s="8" t="n">
        <v>8.98</v>
      </c>
      <c r="H658" s="8" t="n">
        <v>8.369999999999999</v>
      </c>
      <c r="I658" s="8" t="n">
        <v>6.94</v>
      </c>
      <c r="J658" s="8" t="n">
        <v>6.37</v>
      </c>
      <c r="K658" s="8" t="n">
        <v>8.27</v>
      </c>
      <c r="L658" s="8" t="n">
        <v>8.130000000000001</v>
      </c>
      <c r="M658" s="8" t="n">
        <v>8.5</v>
      </c>
      <c r="N658" s="4" t="n">
        <v>7.92</v>
      </c>
    </row>
    <row r="659">
      <c r="A659" s="2" t="inlineStr">
        <is>
          <t>STK0331</t>
        </is>
      </c>
      <c r="B659" s="8" t="inlineStr">
        <is>
          <t>2028-01-01 00:00:00</t>
        </is>
      </c>
      <c r="C659" s="8" t="n">
        <v>11.99</v>
      </c>
      <c r="D659" s="8" t="n">
        <v>12.02</v>
      </c>
      <c r="E659" s="8" t="n">
        <v>14.24</v>
      </c>
      <c r="F659" s="8" t="n">
        <v>14.85</v>
      </c>
      <c r="G659" s="8" t="n">
        <v>15.61</v>
      </c>
      <c r="H659" s="8" t="n">
        <v>14.84</v>
      </c>
      <c r="I659" s="8" t="n">
        <v>9.199999999999999</v>
      </c>
      <c r="J659" s="8" t="n">
        <v>7.91</v>
      </c>
      <c r="K659" s="8" t="n">
        <v>9.630000000000001</v>
      </c>
      <c r="L659" s="8" t="n">
        <v>10</v>
      </c>
      <c r="M659" s="8" t="n">
        <v>11.7</v>
      </c>
      <c r="N659" s="4" t="n">
        <v>11.07</v>
      </c>
    </row>
    <row r="660">
      <c r="A660" s="2" t="inlineStr">
        <is>
          <t>STK0331</t>
        </is>
      </c>
      <c r="B660" s="8" t="inlineStr">
        <is>
          <t>2028-02-01 00:00:00</t>
        </is>
      </c>
      <c r="C660" s="8" t="n">
        <v>12.3</v>
      </c>
      <c r="D660" s="8" t="n">
        <v>12.95</v>
      </c>
      <c r="E660" s="8" t="n">
        <v>13.67</v>
      </c>
      <c r="F660" s="8" t="n">
        <v>12.91</v>
      </c>
      <c r="G660" s="8" t="n">
        <v>15.5</v>
      </c>
      <c r="H660" s="8" t="n">
        <v>15.31</v>
      </c>
      <c r="I660" s="8" t="n">
        <v>10.48</v>
      </c>
      <c r="J660" s="8" t="n">
        <v>7.97</v>
      </c>
      <c r="K660" s="8" t="n">
        <v>8.710000000000001</v>
      </c>
      <c r="L660" s="8" t="n">
        <v>8.69</v>
      </c>
      <c r="M660" s="8" t="n">
        <v>10.23</v>
      </c>
      <c r="N660" s="4" t="n">
        <v>10.62</v>
      </c>
    </row>
    <row r="661">
      <c r="A661" s="2" t="inlineStr">
        <is>
          <t>STK0331</t>
        </is>
      </c>
      <c r="B661" s="8" t="inlineStr">
        <is>
          <t>2028-03-01 00:00:00</t>
        </is>
      </c>
      <c r="C661" s="8" t="n">
        <v>11.57</v>
      </c>
      <c r="D661" s="8" t="n">
        <v>12.67</v>
      </c>
      <c r="E661" s="8" t="n">
        <v>12.72</v>
      </c>
      <c r="F661" s="8" t="n">
        <v>11.81</v>
      </c>
      <c r="G661" s="8" t="n">
        <v>13.25</v>
      </c>
      <c r="H661" s="8" t="n">
        <v>13.27</v>
      </c>
      <c r="I661" s="8" t="n">
        <v>11.79</v>
      </c>
      <c r="J661" s="8" t="n">
        <v>11.4</v>
      </c>
      <c r="K661" s="8" t="n">
        <v>12.65</v>
      </c>
      <c r="L661" s="8" t="n">
        <v>11.87</v>
      </c>
      <c r="M661" s="8" t="n">
        <v>13.19</v>
      </c>
      <c r="N661" s="4" t="n">
        <v>13.01</v>
      </c>
    </row>
    <row r="662">
      <c r="A662" s="2" t="inlineStr">
        <is>
          <t>STK0331</t>
        </is>
      </c>
      <c r="B662" s="8" t="inlineStr">
        <is>
          <t>2028-04-01 00:00:00</t>
        </is>
      </c>
      <c r="C662" s="8" t="n">
        <v>17.66</v>
      </c>
      <c r="D662" s="8" t="n">
        <v>18.62</v>
      </c>
      <c r="E662" s="8" t="n">
        <v>17.9</v>
      </c>
      <c r="F662" s="8" t="n">
        <v>17.57</v>
      </c>
      <c r="G662" s="8" t="n">
        <v>19.98</v>
      </c>
      <c r="H662" s="8" t="n">
        <v>18.95</v>
      </c>
      <c r="I662" s="8" t="n">
        <v>15.84</v>
      </c>
      <c r="J662" s="8" t="n">
        <v>15.18</v>
      </c>
      <c r="K662" s="8" t="n">
        <v>16.66</v>
      </c>
      <c r="L662" s="8" t="n">
        <v>15.56</v>
      </c>
      <c r="M662" s="8" t="n">
        <v>18.53</v>
      </c>
      <c r="N662" s="4" t="n">
        <v>17.05</v>
      </c>
    </row>
    <row r="663">
      <c r="A663" s="2" t="inlineStr">
        <is>
          <t>STK0331</t>
        </is>
      </c>
      <c r="B663" s="8" t="inlineStr">
        <is>
          <t>2028-05-01 00:00:00</t>
        </is>
      </c>
      <c r="C663" s="8" t="n">
        <v>16.33</v>
      </c>
      <c r="D663" s="8" t="n">
        <v>19.32</v>
      </c>
      <c r="E663" s="8" t="n">
        <v>20.28</v>
      </c>
      <c r="F663" s="8" t="n">
        <v>17.16</v>
      </c>
      <c r="G663" s="8" t="n">
        <v>22.33</v>
      </c>
      <c r="H663" s="8" t="n">
        <v>17.7</v>
      </c>
      <c r="I663" s="8" t="n">
        <v>16.14</v>
      </c>
      <c r="J663" s="8" t="n">
        <v>16.08</v>
      </c>
      <c r="K663" s="8" t="n">
        <v>16.39</v>
      </c>
      <c r="L663" s="8" t="n">
        <v>15.69</v>
      </c>
      <c r="M663" s="8" t="n">
        <v>17.13</v>
      </c>
      <c r="N663" s="4" t="n">
        <v>16.39</v>
      </c>
    </row>
    <row r="664">
      <c r="A664" s="2" t="inlineStr">
        <is>
          <t>STK0331</t>
        </is>
      </c>
      <c r="B664" s="8" t="inlineStr">
        <is>
          <t>2028-06-01 00:00:00</t>
        </is>
      </c>
      <c r="C664" s="8" t="n">
        <v>16.51</v>
      </c>
      <c r="D664" s="8" t="n">
        <v>19.46</v>
      </c>
      <c r="E664" s="8" t="n">
        <v>26.06</v>
      </c>
      <c r="F664" s="8" t="n">
        <v>17.64</v>
      </c>
      <c r="G664" s="8" t="n">
        <v>26.81</v>
      </c>
      <c r="H664" s="8" t="n">
        <v>18.3</v>
      </c>
      <c r="I664" s="8" t="n">
        <v>15.91</v>
      </c>
      <c r="J664" s="8" t="n">
        <v>14.86</v>
      </c>
      <c r="K664" s="8" t="n">
        <v>16.91</v>
      </c>
      <c r="L664" s="8" t="n">
        <v>15.95</v>
      </c>
      <c r="M664" s="8" t="n">
        <v>18.81</v>
      </c>
      <c r="N664" s="4" t="n">
        <v>18.54</v>
      </c>
    </row>
    <row r="665">
      <c r="A665" s="2" t="inlineStr">
        <is>
          <t>STK0331</t>
        </is>
      </c>
      <c r="B665" s="8" t="inlineStr">
        <is>
          <t>2028-07-01 00:00:00</t>
        </is>
      </c>
      <c r="C665" s="8" t="n">
        <v>16.18</v>
      </c>
      <c r="D665" s="8" t="n">
        <v>18.4</v>
      </c>
      <c r="E665" s="8" t="n">
        <v>25.24</v>
      </c>
      <c r="F665" s="8" t="n">
        <v>19.06</v>
      </c>
      <c r="G665" s="8" t="n">
        <v>26.8</v>
      </c>
      <c r="H665" s="8" t="n">
        <v>18.96</v>
      </c>
      <c r="I665" s="8" t="n">
        <v>16.06</v>
      </c>
      <c r="J665" s="8" t="n">
        <v>15.13</v>
      </c>
      <c r="K665" s="8" t="n">
        <v>18.07</v>
      </c>
      <c r="L665" s="8" t="n">
        <v>15.79</v>
      </c>
      <c r="M665" s="8" t="n">
        <v>19.94</v>
      </c>
      <c r="N665" s="4" t="n">
        <v>17.93</v>
      </c>
    </row>
    <row r="666">
      <c r="A666" s="2" t="inlineStr">
        <is>
          <t>STK0331</t>
        </is>
      </c>
      <c r="B666" s="8" t="inlineStr">
        <is>
          <t>2028-08-01 00:00:00</t>
        </is>
      </c>
      <c r="C666" s="8" t="n">
        <v>16.06</v>
      </c>
      <c r="D666" s="8" t="n">
        <v>18.48</v>
      </c>
      <c r="E666" s="8" t="n">
        <v>18.43</v>
      </c>
      <c r="F666" s="8" t="n">
        <v>17.24</v>
      </c>
      <c r="G666" s="8" t="n">
        <v>19.23</v>
      </c>
      <c r="H666" s="8" t="n">
        <v>18.69</v>
      </c>
      <c r="I666" s="8" t="n">
        <v>18.11</v>
      </c>
      <c r="J666" s="8" t="n">
        <v>17.35</v>
      </c>
      <c r="K666" s="8" t="n">
        <v>19.44</v>
      </c>
      <c r="L666" s="8" t="n">
        <v>18.08</v>
      </c>
      <c r="M666" s="8" t="n">
        <v>20.48</v>
      </c>
      <c r="N666" s="4" t="n">
        <v>18.89</v>
      </c>
    </row>
    <row r="667">
      <c r="A667" s="2" t="inlineStr">
        <is>
          <t>STK0331</t>
        </is>
      </c>
      <c r="B667" s="8" t="inlineStr">
        <is>
          <t>2028-09-01 00:00:00</t>
        </is>
      </c>
      <c r="C667" s="8" t="n">
        <v>11.82</v>
      </c>
      <c r="D667" s="8" t="n">
        <v>18.87</v>
      </c>
      <c r="E667" s="8" t="n">
        <v>21.87</v>
      </c>
      <c r="F667" s="8" t="n">
        <v>18.26</v>
      </c>
      <c r="G667" s="8" t="n">
        <v>24.67</v>
      </c>
      <c r="H667" s="8" t="n">
        <v>19.89</v>
      </c>
      <c r="I667" s="8" t="n">
        <v>10.39</v>
      </c>
      <c r="J667" s="8" t="n">
        <v>10.57</v>
      </c>
      <c r="K667" s="8" t="n">
        <v>14.67</v>
      </c>
      <c r="L667" s="8" t="n">
        <v>13</v>
      </c>
      <c r="M667" s="8" t="n">
        <v>19.16</v>
      </c>
      <c r="N667" s="4" t="n">
        <v>15.35</v>
      </c>
    </row>
    <row r="668">
      <c r="A668" s="2" t="inlineStr">
        <is>
          <t>STK0331</t>
        </is>
      </c>
      <c r="B668" s="8" t="inlineStr">
        <is>
          <t>2028-10-01 00:00:00</t>
        </is>
      </c>
      <c r="C668" s="8" t="n">
        <v>6.37</v>
      </c>
      <c r="D668" s="8" t="n">
        <v>7.66</v>
      </c>
      <c r="E668" s="8" t="n">
        <v>8.65</v>
      </c>
      <c r="F668" s="8" t="n">
        <v>7.49</v>
      </c>
      <c r="G668" s="8" t="n">
        <v>9.039999999999999</v>
      </c>
      <c r="H668" s="8" t="n">
        <v>9.529999999999999</v>
      </c>
      <c r="I668" s="8" t="n">
        <v>7.19</v>
      </c>
      <c r="J668" s="8" t="n">
        <v>6.85</v>
      </c>
      <c r="K668" s="8" t="n">
        <v>7.48</v>
      </c>
      <c r="L668" s="8" t="n">
        <v>6.26</v>
      </c>
      <c r="M668" s="8" t="n">
        <v>8.039999999999999</v>
      </c>
      <c r="N668" s="4" t="n">
        <v>8.039999999999999</v>
      </c>
    </row>
    <row r="669">
      <c r="A669" s="2" t="inlineStr">
        <is>
          <t>STK0331</t>
        </is>
      </c>
      <c r="B669" s="8" t="inlineStr">
        <is>
          <t>2028-11-01 00:00:00</t>
        </is>
      </c>
      <c r="C669" s="8" t="n">
        <v>5.55</v>
      </c>
      <c r="D669" s="8" t="n">
        <v>7.66</v>
      </c>
      <c r="E669" s="8" t="n">
        <v>9.41</v>
      </c>
      <c r="F669" s="8" t="n">
        <v>8.69</v>
      </c>
      <c r="G669" s="8" t="n">
        <v>10.09</v>
      </c>
      <c r="H669" s="8" t="n">
        <v>9</v>
      </c>
      <c r="I669" s="8" t="n">
        <v>5.57</v>
      </c>
      <c r="J669" s="8" t="n">
        <v>4.89</v>
      </c>
      <c r="K669" s="8" t="n">
        <v>7.42</v>
      </c>
      <c r="L669" s="8" t="n">
        <v>6.39</v>
      </c>
      <c r="M669" s="8" t="n">
        <v>7.42</v>
      </c>
      <c r="N669" s="4" t="n">
        <v>7.3</v>
      </c>
    </row>
    <row r="670">
      <c r="A670" s="2" t="inlineStr">
        <is>
          <t>STK0331</t>
        </is>
      </c>
      <c r="B670" s="8" t="inlineStr">
        <is>
          <t>2028-12-01 00:00:00</t>
        </is>
      </c>
      <c r="C670" s="8" t="n">
        <v>7.02</v>
      </c>
      <c r="D670" s="8" t="n">
        <v>6.92</v>
      </c>
      <c r="E670" s="8" t="n">
        <v>9.18</v>
      </c>
      <c r="F670" s="8" t="n">
        <v>9.26</v>
      </c>
      <c r="G670" s="8" t="n">
        <v>8.789999999999999</v>
      </c>
      <c r="H670" s="8" t="n">
        <v>8.19</v>
      </c>
      <c r="I670" s="8" t="n">
        <v>6.8</v>
      </c>
      <c r="J670" s="8" t="n">
        <v>6.24</v>
      </c>
      <c r="K670" s="8" t="n">
        <v>8.1</v>
      </c>
      <c r="L670" s="8" t="n">
        <v>7.96</v>
      </c>
      <c r="M670" s="8" t="n">
        <v>8.31</v>
      </c>
      <c r="N670" s="4" t="n">
        <v>7.75</v>
      </c>
    </row>
    <row r="671">
      <c r="A671" s="2" t="inlineStr">
        <is>
          <t>STK0331</t>
        </is>
      </c>
      <c r="B671" s="8" t="inlineStr">
        <is>
          <t>2029-01-01 00:00:00</t>
        </is>
      </c>
      <c r="C671" s="8" t="n">
        <v>11.52</v>
      </c>
      <c r="D671" s="8" t="n">
        <v>11.56</v>
      </c>
      <c r="E671" s="8" t="n">
        <v>13.68</v>
      </c>
      <c r="F671" s="8" t="n">
        <v>14.27</v>
      </c>
      <c r="G671" s="8" t="n">
        <v>15</v>
      </c>
      <c r="H671" s="8" t="n">
        <v>14.25</v>
      </c>
      <c r="I671" s="8" t="n">
        <v>8.85</v>
      </c>
      <c r="J671" s="8" t="n">
        <v>7.62</v>
      </c>
      <c r="K671" s="8" t="n">
        <v>9.26</v>
      </c>
      <c r="L671" s="8" t="n">
        <v>9.619999999999999</v>
      </c>
      <c r="M671" s="8" t="n">
        <v>11.24</v>
      </c>
      <c r="N671" s="4" t="n">
        <v>10.65</v>
      </c>
    </row>
    <row r="672">
      <c r="A672" s="2" t="inlineStr">
        <is>
          <t>STK0331</t>
        </is>
      </c>
      <c r="B672" s="8" t="inlineStr">
        <is>
          <t>2029-02-01 00:00:00</t>
        </is>
      </c>
      <c r="C672" s="8" t="n">
        <v>12.1</v>
      </c>
      <c r="D672" s="8" t="n">
        <v>12.74</v>
      </c>
      <c r="E672" s="8" t="n">
        <v>13.45</v>
      </c>
      <c r="F672" s="8" t="n">
        <v>12.7</v>
      </c>
      <c r="G672" s="8" t="n">
        <v>15.25</v>
      </c>
      <c r="H672" s="8" t="n">
        <v>15.07</v>
      </c>
      <c r="I672" s="8" t="n">
        <v>10.32</v>
      </c>
      <c r="J672" s="8" t="n">
        <v>7.85</v>
      </c>
      <c r="K672" s="8" t="n">
        <v>8.57</v>
      </c>
      <c r="L672" s="8" t="n">
        <v>8.550000000000001</v>
      </c>
      <c r="M672" s="8" t="n">
        <v>10.07</v>
      </c>
      <c r="N672" s="4" t="n">
        <v>10.45</v>
      </c>
    </row>
    <row r="673">
      <c r="A673" s="2" t="inlineStr">
        <is>
          <t>STK0331</t>
        </is>
      </c>
      <c r="B673" s="8" t="inlineStr">
        <is>
          <t>2029-03-01 00:00:00</t>
        </is>
      </c>
      <c r="C673" s="8" t="n">
        <v>11.36</v>
      </c>
      <c r="D673" s="8" t="n">
        <v>12.43</v>
      </c>
      <c r="E673" s="8" t="n">
        <v>12.48</v>
      </c>
      <c r="F673" s="8" t="n">
        <v>11.59</v>
      </c>
      <c r="G673" s="8" t="n">
        <v>13</v>
      </c>
      <c r="H673" s="8" t="n">
        <v>13.02</v>
      </c>
      <c r="I673" s="8" t="n">
        <v>11.57</v>
      </c>
      <c r="J673" s="8" t="n">
        <v>11.18</v>
      </c>
      <c r="K673" s="8" t="n">
        <v>12.42</v>
      </c>
      <c r="L673" s="8" t="n">
        <v>11.65</v>
      </c>
      <c r="M673" s="8" t="n">
        <v>12.94</v>
      </c>
      <c r="N673" s="4" t="n">
        <v>12.76</v>
      </c>
    </row>
    <row r="674">
      <c r="A674" s="2" t="inlineStr">
        <is>
          <t>STK0331</t>
        </is>
      </c>
      <c r="B674" s="8" t="inlineStr">
        <is>
          <t>2029-04-01 00:00:00</t>
        </is>
      </c>
      <c r="C674" s="8" t="n">
        <v>17.23</v>
      </c>
      <c r="D674" s="8" t="n">
        <v>18.16</v>
      </c>
      <c r="E674" s="8" t="n">
        <v>17.46</v>
      </c>
      <c r="F674" s="8" t="n">
        <v>17.14</v>
      </c>
      <c r="G674" s="8" t="n">
        <v>19.49</v>
      </c>
      <c r="H674" s="8" t="n">
        <v>18.48</v>
      </c>
      <c r="I674" s="8" t="n">
        <v>15.46</v>
      </c>
      <c r="J674" s="8" t="n">
        <v>14.81</v>
      </c>
      <c r="K674" s="8" t="n">
        <v>16.25</v>
      </c>
      <c r="L674" s="8" t="n">
        <v>15.19</v>
      </c>
      <c r="M674" s="8" t="n">
        <v>18.07</v>
      </c>
      <c r="N674" s="4" t="n">
        <v>16.63</v>
      </c>
    </row>
    <row r="675">
      <c r="A675" s="2" t="inlineStr">
        <is>
          <t>STK0331</t>
        </is>
      </c>
      <c r="B675" s="8" t="inlineStr">
        <is>
          <t>2029-05-01 00:00:00</t>
        </is>
      </c>
      <c r="C675" s="8" t="n">
        <v>16.06</v>
      </c>
      <c r="D675" s="8" t="n">
        <v>19</v>
      </c>
      <c r="E675" s="8" t="n">
        <v>19.94</v>
      </c>
      <c r="F675" s="8" t="n">
        <v>16.87</v>
      </c>
      <c r="G675" s="8" t="n">
        <v>21.95</v>
      </c>
      <c r="H675" s="8" t="n">
        <v>17.41</v>
      </c>
      <c r="I675" s="8" t="n">
        <v>15.87</v>
      </c>
      <c r="J675" s="8" t="n">
        <v>15.82</v>
      </c>
      <c r="K675" s="8" t="n">
        <v>16.12</v>
      </c>
      <c r="L675" s="8" t="n">
        <v>15.43</v>
      </c>
      <c r="M675" s="8" t="n">
        <v>16.85</v>
      </c>
      <c r="N675" s="4" t="n">
        <v>16.11</v>
      </c>
    </row>
    <row r="676">
      <c r="A676" s="2" t="inlineStr">
        <is>
          <t>STK0331</t>
        </is>
      </c>
      <c r="B676" s="8" t="inlineStr">
        <is>
          <t>2029-06-01 00:00:00</t>
        </is>
      </c>
      <c r="C676" s="8" t="n">
        <v>16.3</v>
      </c>
      <c r="D676" s="8" t="n">
        <v>19.21</v>
      </c>
      <c r="E676" s="8" t="n">
        <v>25.79</v>
      </c>
      <c r="F676" s="8" t="n">
        <v>17.41</v>
      </c>
      <c r="G676" s="8" t="n">
        <v>26.54</v>
      </c>
      <c r="H676" s="8" t="n">
        <v>18.06</v>
      </c>
      <c r="I676" s="8" t="n">
        <v>15.7</v>
      </c>
      <c r="J676" s="8" t="n">
        <v>14.67</v>
      </c>
      <c r="K676" s="8" t="n">
        <v>16.69</v>
      </c>
      <c r="L676" s="8" t="n">
        <v>15.74</v>
      </c>
      <c r="M676" s="8" t="n">
        <v>18.56</v>
      </c>
      <c r="N676" s="4" t="n">
        <v>18.3</v>
      </c>
    </row>
    <row r="677">
      <c r="A677" s="2" t="inlineStr">
        <is>
          <t>STK0331</t>
        </is>
      </c>
      <c r="B677" s="8" t="inlineStr">
        <is>
          <t>2029-07-01 00:00:00</t>
        </is>
      </c>
      <c r="C677" s="8" t="n">
        <v>15.89</v>
      </c>
      <c r="D677" s="8" t="n">
        <v>18.07</v>
      </c>
      <c r="E677" s="8" t="n">
        <v>24.89</v>
      </c>
      <c r="F677" s="8" t="n">
        <v>18.71</v>
      </c>
      <c r="G677" s="8" t="n">
        <v>26.43</v>
      </c>
      <c r="H677" s="8" t="n">
        <v>18.62</v>
      </c>
      <c r="I677" s="8" t="n">
        <v>15.77</v>
      </c>
      <c r="J677" s="8" t="n">
        <v>14.86</v>
      </c>
      <c r="K677" s="8" t="n">
        <v>17.75</v>
      </c>
      <c r="L677" s="8" t="n">
        <v>15.51</v>
      </c>
      <c r="M677" s="8" t="n">
        <v>19.57</v>
      </c>
      <c r="N677" s="4" t="n">
        <v>17.61</v>
      </c>
    </row>
    <row r="678">
      <c r="A678" s="2" t="inlineStr">
        <is>
          <t>STK0331</t>
        </is>
      </c>
      <c r="B678" s="8" t="inlineStr">
        <is>
          <t>2029-08-01 00:00:00</t>
        </is>
      </c>
      <c r="C678" s="8" t="n">
        <v>15.81</v>
      </c>
      <c r="D678" s="8" t="n">
        <v>18.2</v>
      </c>
      <c r="E678" s="8" t="n">
        <v>18.15</v>
      </c>
      <c r="F678" s="8" t="n">
        <v>16.97</v>
      </c>
      <c r="G678" s="8" t="n">
        <v>18.94</v>
      </c>
      <c r="H678" s="8" t="n">
        <v>18.4</v>
      </c>
      <c r="I678" s="8" t="n">
        <v>17.84</v>
      </c>
      <c r="J678" s="8" t="n">
        <v>17.08</v>
      </c>
      <c r="K678" s="8" t="n">
        <v>19.14</v>
      </c>
      <c r="L678" s="8" t="n">
        <v>17.81</v>
      </c>
      <c r="M678" s="8" t="n">
        <v>20.16</v>
      </c>
      <c r="N678" s="4" t="n">
        <v>18.6</v>
      </c>
    </row>
    <row r="679">
      <c r="A679" s="2" t="inlineStr">
        <is>
          <t>STK0331</t>
        </is>
      </c>
      <c r="B679" s="8" t="inlineStr">
        <is>
          <t>2029-09-01 00:00:00</t>
        </is>
      </c>
      <c r="C679" s="8" t="n">
        <v>11.75</v>
      </c>
      <c r="D679" s="8" t="n">
        <v>18.76</v>
      </c>
      <c r="E679" s="8" t="n">
        <v>21.75</v>
      </c>
      <c r="F679" s="8" t="n">
        <v>18.16</v>
      </c>
      <c r="G679" s="8" t="n">
        <v>24.54</v>
      </c>
      <c r="H679" s="8" t="n">
        <v>19.78</v>
      </c>
      <c r="I679" s="8" t="n">
        <v>10.34</v>
      </c>
      <c r="J679" s="8" t="n">
        <v>10.52</v>
      </c>
      <c r="K679" s="8" t="n">
        <v>14.59</v>
      </c>
      <c r="L679" s="8" t="n">
        <v>12.93</v>
      </c>
      <c r="M679" s="8" t="n">
        <v>19.06</v>
      </c>
      <c r="N679" s="4" t="n">
        <v>15.27</v>
      </c>
    </row>
    <row r="680">
      <c r="A680" s="2" t="inlineStr">
        <is>
          <t>STK0331</t>
        </is>
      </c>
      <c r="B680" s="8" t="inlineStr">
        <is>
          <t>2029-10-01 00:00:00</t>
        </is>
      </c>
      <c r="C680" s="8" t="n">
        <v>6.22</v>
      </c>
      <c r="D680" s="8" t="n">
        <v>7.48</v>
      </c>
      <c r="E680" s="8" t="n">
        <v>8.44</v>
      </c>
      <c r="F680" s="8" t="n">
        <v>7.31</v>
      </c>
      <c r="G680" s="8" t="n">
        <v>8.82</v>
      </c>
      <c r="H680" s="8" t="n">
        <v>9.289999999999999</v>
      </c>
      <c r="I680" s="8" t="n">
        <v>7.02</v>
      </c>
      <c r="J680" s="8" t="n">
        <v>6.69</v>
      </c>
      <c r="K680" s="8" t="n">
        <v>7.3</v>
      </c>
      <c r="L680" s="8" t="n">
        <v>6.12</v>
      </c>
      <c r="M680" s="8" t="n">
        <v>7.85</v>
      </c>
      <c r="N680" s="4" t="n">
        <v>7.85</v>
      </c>
    </row>
    <row r="681">
      <c r="A681" s="2" t="inlineStr">
        <is>
          <t>STK0331</t>
        </is>
      </c>
      <c r="B681" s="8" t="inlineStr">
        <is>
          <t>2029-11-01 00:00:00</t>
        </is>
      </c>
      <c r="C681" s="8" t="n">
        <v>5.44</v>
      </c>
      <c r="D681" s="8" t="n">
        <v>7.5</v>
      </c>
      <c r="E681" s="8" t="n">
        <v>9.210000000000001</v>
      </c>
      <c r="F681" s="8" t="n">
        <v>8.51</v>
      </c>
      <c r="G681" s="8" t="n">
        <v>9.869999999999999</v>
      </c>
      <c r="H681" s="8" t="n">
        <v>8.81</v>
      </c>
      <c r="I681" s="8" t="n">
        <v>5.46</v>
      </c>
      <c r="J681" s="8" t="n">
        <v>4.79</v>
      </c>
      <c r="K681" s="8" t="n">
        <v>7.27</v>
      </c>
      <c r="L681" s="8" t="n">
        <v>6.26</v>
      </c>
      <c r="M681" s="8" t="n">
        <v>7.27</v>
      </c>
      <c r="N681" s="4" t="n">
        <v>7.15</v>
      </c>
    </row>
    <row r="682">
      <c r="A682" s="2" t="inlineStr">
        <is>
          <t>STK0331</t>
        </is>
      </c>
      <c r="B682" s="8" t="inlineStr">
        <is>
          <t>2029-12-01 00:00:00</t>
        </is>
      </c>
      <c r="C682" s="8" t="n">
        <v>6.88</v>
      </c>
      <c r="D682" s="8" t="n">
        <v>6.78</v>
      </c>
      <c r="E682" s="8" t="n">
        <v>8.98</v>
      </c>
      <c r="F682" s="8" t="n">
        <v>9.06</v>
      </c>
      <c r="G682" s="8" t="n">
        <v>8.6</v>
      </c>
      <c r="H682" s="8" t="n">
        <v>8.01</v>
      </c>
      <c r="I682" s="8" t="n">
        <v>6.66</v>
      </c>
      <c r="J682" s="8" t="n">
        <v>6.11</v>
      </c>
      <c r="K682" s="8" t="n">
        <v>7.92</v>
      </c>
      <c r="L682" s="8" t="n">
        <v>7.79</v>
      </c>
      <c r="M682" s="8" t="n">
        <v>8.140000000000001</v>
      </c>
      <c r="N682" s="4" t="n">
        <v>7.59</v>
      </c>
    </row>
    <row r="683">
      <c r="A683" s="2" t="inlineStr">
        <is>
          <t>STK0331</t>
        </is>
      </c>
      <c r="B683" s="8" t="inlineStr">
        <is>
          <t>2030-01-01 00:00:00</t>
        </is>
      </c>
      <c r="C683" s="8" t="n">
        <v>11.52</v>
      </c>
      <c r="D683" s="8" t="n">
        <v>11.56</v>
      </c>
      <c r="E683" s="8" t="n">
        <v>13.68</v>
      </c>
      <c r="F683" s="8" t="n">
        <v>14.27</v>
      </c>
      <c r="G683" s="8" t="n">
        <v>15</v>
      </c>
      <c r="H683" s="8" t="n">
        <v>14.25</v>
      </c>
      <c r="I683" s="8" t="n">
        <v>8.85</v>
      </c>
      <c r="J683" s="8" t="n">
        <v>7.62</v>
      </c>
      <c r="K683" s="8" t="n">
        <v>9.26</v>
      </c>
      <c r="L683" s="8" t="n">
        <v>9.619999999999999</v>
      </c>
      <c r="M683" s="8" t="n">
        <v>11.24</v>
      </c>
      <c r="N683" s="4" t="n">
        <v>10.65</v>
      </c>
    </row>
    <row r="684">
      <c r="A684" s="2" t="inlineStr">
        <is>
          <t>STK0331</t>
        </is>
      </c>
      <c r="B684" s="8" t="inlineStr">
        <is>
          <t>2030-02-01 00:00:00</t>
        </is>
      </c>
      <c r="C684" s="8" t="n">
        <v>12.1</v>
      </c>
      <c r="D684" s="8" t="n">
        <v>12.74</v>
      </c>
      <c r="E684" s="8" t="n">
        <v>13.45</v>
      </c>
      <c r="F684" s="8" t="n">
        <v>12.7</v>
      </c>
      <c r="G684" s="8" t="n">
        <v>15.25</v>
      </c>
      <c r="H684" s="8" t="n">
        <v>15.07</v>
      </c>
      <c r="I684" s="8" t="n">
        <v>10.32</v>
      </c>
      <c r="J684" s="8" t="n">
        <v>7.85</v>
      </c>
      <c r="K684" s="8" t="n">
        <v>8.57</v>
      </c>
      <c r="L684" s="8" t="n">
        <v>8.550000000000001</v>
      </c>
      <c r="M684" s="8" t="n">
        <v>10.07</v>
      </c>
      <c r="N684" s="4" t="n">
        <v>10.45</v>
      </c>
    </row>
    <row r="685">
      <c r="A685" s="2" t="inlineStr">
        <is>
          <t>STK0331</t>
        </is>
      </c>
      <c r="B685" s="8" t="inlineStr">
        <is>
          <t>2030-03-01 00:00:00</t>
        </is>
      </c>
      <c r="C685" s="8" t="n">
        <v>11.36</v>
      </c>
      <c r="D685" s="8" t="n">
        <v>12.43</v>
      </c>
      <c r="E685" s="8" t="n">
        <v>12.48</v>
      </c>
      <c r="F685" s="8" t="n">
        <v>11.59</v>
      </c>
      <c r="G685" s="8" t="n">
        <v>13</v>
      </c>
      <c r="H685" s="8" t="n">
        <v>13.02</v>
      </c>
      <c r="I685" s="8" t="n">
        <v>11.57</v>
      </c>
      <c r="J685" s="8" t="n">
        <v>11.18</v>
      </c>
      <c r="K685" s="8" t="n">
        <v>12.42</v>
      </c>
      <c r="L685" s="8" t="n">
        <v>11.65</v>
      </c>
      <c r="M685" s="8" t="n">
        <v>12.94</v>
      </c>
      <c r="N685" s="4" t="n">
        <v>12.76</v>
      </c>
    </row>
    <row r="686">
      <c r="A686" s="2" t="inlineStr">
        <is>
          <t>STK0331</t>
        </is>
      </c>
      <c r="B686" s="8" t="inlineStr">
        <is>
          <t>2030-04-01 00:00:00</t>
        </is>
      </c>
      <c r="C686" s="8" t="n">
        <v>17.23</v>
      </c>
      <c r="D686" s="8" t="n">
        <v>18.16</v>
      </c>
      <c r="E686" s="8" t="n">
        <v>17.46</v>
      </c>
      <c r="F686" s="8" t="n">
        <v>17.14</v>
      </c>
      <c r="G686" s="8" t="n">
        <v>19.49</v>
      </c>
      <c r="H686" s="8" t="n">
        <v>18.48</v>
      </c>
      <c r="I686" s="8" t="n">
        <v>15.46</v>
      </c>
      <c r="J686" s="8" t="n">
        <v>14.81</v>
      </c>
      <c r="K686" s="8" t="n">
        <v>16.25</v>
      </c>
      <c r="L686" s="8" t="n">
        <v>15.19</v>
      </c>
      <c r="M686" s="8" t="n">
        <v>18.07</v>
      </c>
      <c r="N686" s="4" t="n">
        <v>16.63</v>
      </c>
    </row>
    <row r="687">
      <c r="A687" s="2" t="inlineStr">
        <is>
          <t>STK0331</t>
        </is>
      </c>
      <c r="B687" s="8" t="inlineStr">
        <is>
          <t>2030-05-01 00:00:00</t>
        </is>
      </c>
      <c r="C687" s="8" t="n">
        <v>16.06</v>
      </c>
      <c r="D687" s="8" t="n">
        <v>19</v>
      </c>
      <c r="E687" s="8" t="n">
        <v>19.94</v>
      </c>
      <c r="F687" s="8" t="n">
        <v>16.87</v>
      </c>
      <c r="G687" s="8" t="n">
        <v>21.95</v>
      </c>
      <c r="H687" s="8" t="n">
        <v>17.41</v>
      </c>
      <c r="I687" s="8" t="n">
        <v>15.87</v>
      </c>
      <c r="J687" s="8" t="n">
        <v>15.82</v>
      </c>
      <c r="K687" s="8" t="n">
        <v>16.12</v>
      </c>
      <c r="L687" s="8" t="n">
        <v>15.43</v>
      </c>
      <c r="M687" s="8" t="n">
        <v>16.85</v>
      </c>
      <c r="N687" s="4" t="n">
        <v>16.11</v>
      </c>
    </row>
    <row r="688">
      <c r="A688" s="2" t="inlineStr">
        <is>
          <t>STK0331</t>
        </is>
      </c>
      <c r="B688" s="8" t="inlineStr">
        <is>
          <t>2030-06-01 00:00:00</t>
        </is>
      </c>
      <c r="C688" s="8" t="n">
        <v>16.3</v>
      </c>
      <c r="D688" s="8" t="n">
        <v>19.21</v>
      </c>
      <c r="E688" s="8" t="n">
        <v>25.79</v>
      </c>
      <c r="F688" s="8" t="n">
        <v>17.41</v>
      </c>
      <c r="G688" s="8" t="n">
        <v>26.54</v>
      </c>
      <c r="H688" s="8" t="n">
        <v>18.06</v>
      </c>
      <c r="I688" s="8" t="n">
        <v>15.7</v>
      </c>
      <c r="J688" s="8" t="n">
        <v>14.67</v>
      </c>
      <c r="K688" s="8" t="n">
        <v>16.69</v>
      </c>
      <c r="L688" s="8" t="n">
        <v>15.74</v>
      </c>
      <c r="M688" s="8" t="n">
        <v>18.56</v>
      </c>
      <c r="N688" s="4" t="n">
        <v>18.3</v>
      </c>
    </row>
    <row r="689">
      <c r="A689" s="2" t="inlineStr">
        <is>
          <t>STK0331</t>
        </is>
      </c>
      <c r="B689" s="8" t="inlineStr">
        <is>
          <t>2030-07-01 00:00:00</t>
        </is>
      </c>
      <c r="C689" s="8" t="n">
        <v>15.89</v>
      </c>
      <c r="D689" s="8" t="n">
        <v>18.07</v>
      </c>
      <c r="E689" s="8" t="n">
        <v>24.89</v>
      </c>
      <c r="F689" s="8" t="n">
        <v>18.71</v>
      </c>
      <c r="G689" s="8" t="n">
        <v>26.43</v>
      </c>
      <c r="H689" s="8" t="n">
        <v>18.62</v>
      </c>
      <c r="I689" s="8" t="n">
        <v>15.77</v>
      </c>
      <c r="J689" s="8" t="n">
        <v>14.86</v>
      </c>
      <c r="K689" s="8" t="n">
        <v>17.75</v>
      </c>
      <c r="L689" s="8" t="n">
        <v>15.51</v>
      </c>
      <c r="M689" s="8" t="n">
        <v>19.57</v>
      </c>
      <c r="N689" s="4" t="n">
        <v>17.61</v>
      </c>
    </row>
    <row r="690">
      <c r="A690" s="2" t="inlineStr">
        <is>
          <t>STK0331</t>
        </is>
      </c>
      <c r="B690" s="8" t="inlineStr">
        <is>
          <t>2030-08-01 00:00:00</t>
        </is>
      </c>
      <c r="C690" s="8" t="n">
        <v>15.81</v>
      </c>
      <c r="D690" s="8" t="n">
        <v>18.2</v>
      </c>
      <c r="E690" s="8" t="n">
        <v>18.15</v>
      </c>
      <c r="F690" s="8" t="n">
        <v>16.97</v>
      </c>
      <c r="G690" s="8" t="n">
        <v>18.94</v>
      </c>
      <c r="H690" s="8" t="n">
        <v>18.4</v>
      </c>
      <c r="I690" s="8" t="n">
        <v>17.84</v>
      </c>
      <c r="J690" s="8" t="n">
        <v>17.08</v>
      </c>
      <c r="K690" s="8" t="n">
        <v>19.14</v>
      </c>
      <c r="L690" s="8" t="n">
        <v>17.81</v>
      </c>
      <c r="M690" s="8" t="n">
        <v>20.16</v>
      </c>
      <c r="N690" s="4" t="n">
        <v>18.6</v>
      </c>
    </row>
    <row r="691">
      <c r="A691" s="2" t="inlineStr">
        <is>
          <t>STK0331</t>
        </is>
      </c>
      <c r="B691" s="8" t="inlineStr">
        <is>
          <t>2030-09-01 00:00:00</t>
        </is>
      </c>
      <c r="C691" s="8" t="n">
        <v>11.75</v>
      </c>
      <c r="D691" s="8" t="n">
        <v>18.76</v>
      </c>
      <c r="E691" s="8" t="n">
        <v>21.75</v>
      </c>
      <c r="F691" s="8" t="n">
        <v>18.16</v>
      </c>
      <c r="G691" s="8" t="n">
        <v>24.54</v>
      </c>
      <c r="H691" s="8" t="n">
        <v>19.78</v>
      </c>
      <c r="I691" s="8" t="n">
        <v>10.34</v>
      </c>
      <c r="J691" s="8" t="n">
        <v>10.52</v>
      </c>
      <c r="K691" s="8" t="n">
        <v>14.59</v>
      </c>
      <c r="L691" s="8" t="n">
        <v>12.93</v>
      </c>
      <c r="M691" s="8" t="n">
        <v>19.06</v>
      </c>
      <c r="N691" s="4" t="n">
        <v>15.27</v>
      </c>
    </row>
    <row r="692">
      <c r="A692" s="2" t="inlineStr">
        <is>
          <t>STK0331</t>
        </is>
      </c>
      <c r="B692" s="8" t="inlineStr">
        <is>
          <t>2030-10-01 00:00:00</t>
        </is>
      </c>
      <c r="C692" s="8" t="n">
        <v>6.22</v>
      </c>
      <c r="D692" s="8" t="n">
        <v>7.48</v>
      </c>
      <c r="E692" s="8" t="n">
        <v>8.44</v>
      </c>
      <c r="F692" s="8" t="n">
        <v>7.31</v>
      </c>
      <c r="G692" s="8" t="n">
        <v>8.82</v>
      </c>
      <c r="H692" s="8" t="n">
        <v>9.289999999999999</v>
      </c>
      <c r="I692" s="8" t="n">
        <v>7.02</v>
      </c>
      <c r="J692" s="8" t="n">
        <v>6.69</v>
      </c>
      <c r="K692" s="8" t="n">
        <v>7.3</v>
      </c>
      <c r="L692" s="8" t="n">
        <v>6.12</v>
      </c>
      <c r="M692" s="8" t="n">
        <v>7.85</v>
      </c>
      <c r="N692" s="4" t="n">
        <v>7.85</v>
      </c>
    </row>
    <row r="693">
      <c r="A693" s="2" t="inlineStr">
        <is>
          <t>STK0331</t>
        </is>
      </c>
      <c r="B693" s="8" t="inlineStr">
        <is>
          <t>2030-11-01 00:00:00</t>
        </is>
      </c>
      <c r="C693" s="8" t="n">
        <v>5.44</v>
      </c>
      <c r="D693" s="8" t="n">
        <v>7.5</v>
      </c>
      <c r="E693" s="8" t="n">
        <v>9.210000000000001</v>
      </c>
      <c r="F693" s="8" t="n">
        <v>8.51</v>
      </c>
      <c r="G693" s="8" t="n">
        <v>9.869999999999999</v>
      </c>
      <c r="H693" s="8" t="n">
        <v>8.81</v>
      </c>
      <c r="I693" s="8" t="n">
        <v>5.46</v>
      </c>
      <c r="J693" s="8" t="n">
        <v>4.79</v>
      </c>
      <c r="K693" s="8" t="n">
        <v>7.27</v>
      </c>
      <c r="L693" s="8" t="n">
        <v>6.26</v>
      </c>
      <c r="M693" s="8" t="n">
        <v>7.27</v>
      </c>
      <c r="N693" s="4" t="n">
        <v>7.15</v>
      </c>
    </row>
    <row r="694">
      <c r="A694" s="2" t="inlineStr">
        <is>
          <t>STK0331</t>
        </is>
      </c>
      <c r="B694" s="8" t="inlineStr">
        <is>
          <t>2030-12-01 00:00:00</t>
        </is>
      </c>
      <c r="C694" s="8" t="n">
        <v>6.88</v>
      </c>
      <c r="D694" s="8" t="n">
        <v>6.78</v>
      </c>
      <c r="E694" s="8" t="n">
        <v>8.98</v>
      </c>
      <c r="F694" s="8" t="n">
        <v>9.06</v>
      </c>
      <c r="G694" s="8" t="n">
        <v>8.6</v>
      </c>
      <c r="H694" s="8" t="n">
        <v>8.01</v>
      </c>
      <c r="I694" s="8" t="n">
        <v>6.66</v>
      </c>
      <c r="J694" s="8" t="n">
        <v>6.11</v>
      </c>
      <c r="K694" s="8" t="n">
        <v>7.92</v>
      </c>
      <c r="L694" s="8" t="n">
        <v>7.79</v>
      </c>
      <c r="M694" s="8" t="n">
        <v>8.140000000000001</v>
      </c>
      <c r="N694" s="4" t="n">
        <v>7.59</v>
      </c>
    </row>
    <row r="695">
      <c r="A695" s="2" t="inlineStr">
        <is>
          <t>STK0331</t>
        </is>
      </c>
      <c r="B695" s="8" t="inlineStr">
        <is>
          <t>2031-01-01 00:00:00</t>
        </is>
      </c>
      <c r="C695" s="8" t="n">
        <v>11.52</v>
      </c>
      <c r="D695" s="8" t="n">
        <v>11.56</v>
      </c>
      <c r="E695" s="8" t="n">
        <v>13.68</v>
      </c>
      <c r="F695" s="8" t="n">
        <v>14.27</v>
      </c>
      <c r="G695" s="8" t="n">
        <v>15</v>
      </c>
      <c r="H695" s="8" t="n">
        <v>14.25</v>
      </c>
      <c r="I695" s="8" t="n">
        <v>8.85</v>
      </c>
      <c r="J695" s="8" t="n">
        <v>7.62</v>
      </c>
      <c r="K695" s="8" t="n">
        <v>9.26</v>
      </c>
      <c r="L695" s="8" t="n">
        <v>9.619999999999999</v>
      </c>
      <c r="M695" s="8" t="n">
        <v>11.24</v>
      </c>
      <c r="N695" s="4" t="n">
        <v>10.65</v>
      </c>
    </row>
    <row r="696">
      <c r="A696" s="2" t="inlineStr">
        <is>
          <t>STK0331</t>
        </is>
      </c>
      <c r="B696" s="8" t="inlineStr">
        <is>
          <t>2031-02-01 00:00:00</t>
        </is>
      </c>
      <c r="C696" s="8" t="n">
        <v>12.1</v>
      </c>
      <c r="D696" s="8" t="n">
        <v>12.74</v>
      </c>
      <c r="E696" s="8" t="n">
        <v>13.45</v>
      </c>
      <c r="F696" s="8" t="n">
        <v>12.7</v>
      </c>
      <c r="G696" s="8" t="n">
        <v>15.25</v>
      </c>
      <c r="H696" s="8" t="n">
        <v>15.07</v>
      </c>
      <c r="I696" s="8" t="n">
        <v>10.32</v>
      </c>
      <c r="J696" s="8" t="n">
        <v>7.85</v>
      </c>
      <c r="K696" s="8" t="n">
        <v>8.57</v>
      </c>
      <c r="L696" s="8" t="n">
        <v>8.550000000000001</v>
      </c>
      <c r="M696" s="8" t="n">
        <v>10.07</v>
      </c>
      <c r="N696" s="4" t="n">
        <v>10.45</v>
      </c>
    </row>
    <row r="697">
      <c r="A697" s="2" t="inlineStr">
        <is>
          <t>STK0331</t>
        </is>
      </c>
      <c r="B697" s="8" t="inlineStr">
        <is>
          <t>2031-03-01 00:00:00</t>
        </is>
      </c>
      <c r="C697" s="8" t="n">
        <v>11.36</v>
      </c>
      <c r="D697" s="8" t="n">
        <v>12.43</v>
      </c>
      <c r="E697" s="8" t="n">
        <v>12.48</v>
      </c>
      <c r="F697" s="8" t="n">
        <v>11.59</v>
      </c>
      <c r="G697" s="8" t="n">
        <v>13</v>
      </c>
      <c r="H697" s="8" t="n">
        <v>13.02</v>
      </c>
      <c r="I697" s="8" t="n">
        <v>11.57</v>
      </c>
      <c r="J697" s="8" t="n">
        <v>11.18</v>
      </c>
      <c r="K697" s="8" t="n">
        <v>12.42</v>
      </c>
      <c r="L697" s="8" t="n">
        <v>11.65</v>
      </c>
      <c r="M697" s="8" t="n">
        <v>12.94</v>
      </c>
      <c r="N697" s="4" t="n">
        <v>12.76</v>
      </c>
    </row>
    <row r="698">
      <c r="A698" s="2" t="inlineStr">
        <is>
          <t>STK0331</t>
        </is>
      </c>
      <c r="B698" s="8" t="inlineStr">
        <is>
          <t>2031-04-01 00:00:00</t>
        </is>
      </c>
      <c r="C698" s="8" t="n">
        <v>17.23</v>
      </c>
      <c r="D698" s="8" t="n">
        <v>18.16</v>
      </c>
      <c r="E698" s="8" t="n">
        <v>17.46</v>
      </c>
      <c r="F698" s="8" t="n">
        <v>17.14</v>
      </c>
      <c r="G698" s="8" t="n">
        <v>19.49</v>
      </c>
      <c r="H698" s="8" t="n">
        <v>18.48</v>
      </c>
      <c r="I698" s="8" t="n">
        <v>15.46</v>
      </c>
      <c r="J698" s="8" t="n">
        <v>14.81</v>
      </c>
      <c r="K698" s="8" t="n">
        <v>16.25</v>
      </c>
      <c r="L698" s="8" t="n">
        <v>15.19</v>
      </c>
      <c r="M698" s="8" t="n">
        <v>18.07</v>
      </c>
      <c r="N698" s="4" t="n">
        <v>16.63</v>
      </c>
    </row>
    <row r="699">
      <c r="A699" s="2" t="inlineStr">
        <is>
          <t>STK0331</t>
        </is>
      </c>
      <c r="B699" s="8" t="inlineStr">
        <is>
          <t>2031-05-01 00:00:00</t>
        </is>
      </c>
      <c r="C699" s="8" t="n">
        <v>16.06</v>
      </c>
      <c r="D699" s="8" t="n">
        <v>19</v>
      </c>
      <c r="E699" s="8" t="n">
        <v>19.94</v>
      </c>
      <c r="F699" s="8" t="n">
        <v>16.87</v>
      </c>
      <c r="G699" s="8" t="n">
        <v>21.95</v>
      </c>
      <c r="H699" s="8" t="n">
        <v>17.41</v>
      </c>
      <c r="I699" s="8" t="n">
        <v>15.87</v>
      </c>
      <c r="J699" s="8" t="n">
        <v>15.82</v>
      </c>
      <c r="K699" s="8" t="n">
        <v>16.12</v>
      </c>
      <c r="L699" s="8" t="n">
        <v>15.43</v>
      </c>
      <c r="M699" s="8" t="n">
        <v>16.85</v>
      </c>
      <c r="N699" s="4" t="n">
        <v>16.11</v>
      </c>
    </row>
    <row r="700">
      <c r="A700" s="2" t="inlineStr">
        <is>
          <t>STK0331</t>
        </is>
      </c>
      <c r="B700" s="8" t="inlineStr">
        <is>
          <t>2031-06-01 00:00:00</t>
        </is>
      </c>
      <c r="C700" s="8" t="n">
        <v>16.3</v>
      </c>
      <c r="D700" s="8" t="n">
        <v>19.21</v>
      </c>
      <c r="E700" s="8" t="n">
        <v>25.79</v>
      </c>
      <c r="F700" s="8" t="n">
        <v>17.41</v>
      </c>
      <c r="G700" s="8" t="n">
        <v>26.54</v>
      </c>
      <c r="H700" s="8" t="n">
        <v>18.06</v>
      </c>
      <c r="I700" s="8" t="n">
        <v>15.7</v>
      </c>
      <c r="J700" s="8" t="n">
        <v>14.67</v>
      </c>
      <c r="K700" s="8" t="n">
        <v>16.69</v>
      </c>
      <c r="L700" s="8" t="n">
        <v>15.74</v>
      </c>
      <c r="M700" s="8" t="n">
        <v>18.56</v>
      </c>
      <c r="N700" s="4" t="n">
        <v>18.3</v>
      </c>
    </row>
    <row r="701">
      <c r="A701" s="2" t="inlineStr">
        <is>
          <t>PEN0221</t>
        </is>
      </c>
      <c r="B701" s="8" t="inlineStr">
        <is>
          <t>2026-07-01 00:00:00</t>
        </is>
      </c>
      <c r="C701" s="8" t="n">
        <v>12.26</v>
      </c>
      <c r="D701" s="8" t="n">
        <v>14.88</v>
      </c>
      <c r="E701" s="8" t="n">
        <v>22.75</v>
      </c>
      <c r="F701" s="8" t="n">
        <v>16.37</v>
      </c>
      <c r="G701" s="8" t="n">
        <v>24.43</v>
      </c>
      <c r="H701" s="8" t="n">
        <v>15.61</v>
      </c>
      <c r="I701" s="8" t="n">
        <v>12.22</v>
      </c>
      <c r="J701" s="8" t="n">
        <v>11.76</v>
      </c>
      <c r="K701" s="8" t="n">
        <v>15.13</v>
      </c>
      <c r="L701" s="8" t="n">
        <v>13.03</v>
      </c>
      <c r="M701" s="8" t="n">
        <v>17.04</v>
      </c>
      <c r="N701" s="4" t="n">
        <v>14.6</v>
      </c>
    </row>
    <row r="702">
      <c r="A702" s="2" t="inlineStr">
        <is>
          <t>PEN0221</t>
        </is>
      </c>
      <c r="B702" s="8" t="inlineStr">
        <is>
          <t>2026-08-01 00:00:00</t>
        </is>
      </c>
      <c r="C702" s="8" t="n">
        <v>12.55</v>
      </c>
      <c r="D702" s="8" t="n">
        <v>15.7</v>
      </c>
      <c r="E702" s="8" t="n">
        <v>16.5</v>
      </c>
      <c r="F702" s="8" t="n">
        <v>15.23</v>
      </c>
      <c r="G702" s="8" t="n">
        <v>17.42</v>
      </c>
      <c r="H702" s="8" t="n">
        <v>15.77</v>
      </c>
      <c r="I702" s="8" t="n">
        <v>14.11</v>
      </c>
      <c r="J702" s="8" t="n">
        <v>13.79</v>
      </c>
      <c r="K702" s="8" t="n">
        <v>16.02</v>
      </c>
      <c r="L702" s="8" t="n">
        <v>14.91</v>
      </c>
      <c r="M702" s="8" t="n">
        <v>17.47</v>
      </c>
      <c r="N702" s="4" t="n">
        <v>15.45</v>
      </c>
    </row>
    <row r="703">
      <c r="A703" s="2" t="inlineStr">
        <is>
          <t>PEN0221</t>
        </is>
      </c>
      <c r="B703" s="8" t="inlineStr">
        <is>
          <t>2026-09-01 00:00:00</t>
        </is>
      </c>
      <c r="C703" s="8" t="n">
        <v>6.63</v>
      </c>
      <c r="D703" s="8" t="n">
        <v>11.32</v>
      </c>
      <c r="E703" s="8" t="n">
        <v>13.93</v>
      </c>
      <c r="F703" s="8" t="n">
        <v>12.06</v>
      </c>
      <c r="G703" s="8" t="n">
        <v>15.87</v>
      </c>
      <c r="H703" s="8" t="n">
        <v>11.76</v>
      </c>
      <c r="I703" s="8" t="n">
        <v>5.69</v>
      </c>
      <c r="J703" s="8" t="n">
        <v>6.25</v>
      </c>
      <c r="K703" s="8" t="n">
        <v>9.17</v>
      </c>
      <c r="L703" s="8" t="n">
        <v>8.15</v>
      </c>
      <c r="M703" s="8" t="n">
        <v>11.8</v>
      </c>
      <c r="N703" s="4" t="n">
        <v>9.630000000000001</v>
      </c>
    </row>
    <row r="704">
      <c r="A704" s="2" t="inlineStr">
        <is>
          <t>PEN0221</t>
        </is>
      </c>
      <c r="B704" s="8" t="inlineStr">
        <is>
          <t>2026-10-01 00:00:00</t>
        </is>
      </c>
      <c r="C704" s="8" t="n">
        <v>6.45</v>
      </c>
      <c r="D704" s="8" t="n">
        <v>8.699999999999999</v>
      </c>
      <c r="E704" s="8" t="n">
        <v>10.2</v>
      </c>
      <c r="F704" s="8" t="n">
        <v>8.74</v>
      </c>
      <c r="G704" s="8" t="n">
        <v>10.39</v>
      </c>
      <c r="H704" s="8" t="n">
        <v>10.29</v>
      </c>
      <c r="I704" s="8" t="n">
        <v>7.28</v>
      </c>
      <c r="J704" s="8" t="n">
        <v>7.18</v>
      </c>
      <c r="K704" s="8" t="n">
        <v>8.1</v>
      </c>
      <c r="L704" s="8" t="n">
        <v>6.97</v>
      </c>
      <c r="M704" s="8" t="n">
        <v>8.720000000000001</v>
      </c>
      <c r="N704" s="4" t="n">
        <v>8.43</v>
      </c>
    </row>
    <row r="705">
      <c r="A705" s="2" t="inlineStr">
        <is>
          <t>PEN0221</t>
        </is>
      </c>
      <c r="B705" s="8" t="inlineStr">
        <is>
          <t>2026-11-01 00:00:00</t>
        </is>
      </c>
      <c r="C705" s="8" t="n">
        <v>5.1</v>
      </c>
      <c r="D705" s="8" t="n">
        <v>7.86</v>
      </c>
      <c r="E705" s="8" t="n">
        <v>11.32</v>
      </c>
      <c r="F705" s="8" t="n">
        <v>10.58</v>
      </c>
      <c r="G705" s="8" t="n">
        <v>11.22</v>
      </c>
      <c r="H705" s="8" t="n">
        <v>9.119999999999999</v>
      </c>
      <c r="I705" s="8" t="n">
        <v>5.06</v>
      </c>
      <c r="J705" s="8" t="n">
        <v>4.53</v>
      </c>
      <c r="K705" s="8" t="n">
        <v>7.44</v>
      </c>
      <c r="L705" s="8" t="n">
        <v>6.48</v>
      </c>
      <c r="M705" s="8" t="n">
        <v>7.4</v>
      </c>
      <c r="N705" s="4" t="n">
        <v>7.02</v>
      </c>
    </row>
    <row r="706">
      <c r="A706" s="2" t="inlineStr">
        <is>
          <t>PEN0221</t>
        </is>
      </c>
      <c r="B706" s="8" t="inlineStr">
        <is>
          <t>2026-12-01 00:00:00</t>
        </is>
      </c>
      <c r="C706" s="8" t="n">
        <v>5.86</v>
      </c>
      <c r="D706" s="8" t="n">
        <v>6.44</v>
      </c>
      <c r="E706" s="8" t="n">
        <v>10.52</v>
      </c>
      <c r="F706" s="8" t="n">
        <v>9.720000000000001</v>
      </c>
      <c r="G706" s="8" t="n">
        <v>9.31</v>
      </c>
      <c r="H706" s="8" t="n">
        <v>7.66</v>
      </c>
      <c r="I706" s="8" t="n">
        <v>5.59</v>
      </c>
      <c r="J706" s="8" t="n">
        <v>5.22</v>
      </c>
      <c r="K706" s="8" t="n">
        <v>7.28</v>
      </c>
      <c r="L706" s="8" t="n">
        <v>7.12</v>
      </c>
      <c r="M706" s="8" t="n">
        <v>7.66</v>
      </c>
      <c r="N706" s="4" t="n">
        <v>6.77</v>
      </c>
    </row>
    <row r="707">
      <c r="A707" s="2" t="inlineStr">
        <is>
          <t>PEN0221</t>
        </is>
      </c>
      <c r="B707" s="8" t="inlineStr">
        <is>
          <t>2027-01-01 00:00:00</t>
        </is>
      </c>
      <c r="C707" s="8" t="n">
        <v>11.82</v>
      </c>
      <c r="D707" s="8" t="n">
        <v>12.47</v>
      </c>
      <c r="E707" s="8" t="n">
        <v>16.14</v>
      </c>
      <c r="F707" s="8" t="n">
        <v>17.38</v>
      </c>
      <c r="G707" s="8" t="n">
        <v>18.25</v>
      </c>
      <c r="H707" s="8" t="n">
        <v>15.77</v>
      </c>
      <c r="I707" s="8" t="n">
        <v>8.99</v>
      </c>
      <c r="J707" s="8" t="n">
        <v>7.84</v>
      </c>
      <c r="K707" s="8" t="n">
        <v>10.14</v>
      </c>
      <c r="L707" s="8" t="n">
        <v>10.59</v>
      </c>
      <c r="M707" s="8" t="n">
        <v>12.52</v>
      </c>
      <c r="N707" s="4" t="n">
        <v>11.29</v>
      </c>
    </row>
    <row r="708">
      <c r="A708" s="2" t="inlineStr">
        <is>
          <t>PEN0221</t>
        </is>
      </c>
      <c r="B708" s="8" t="inlineStr">
        <is>
          <t>2027-02-01 00:00:00</t>
        </is>
      </c>
      <c r="C708" s="8" t="n">
        <v>10.57</v>
      </c>
      <c r="D708" s="8" t="n">
        <v>12.76</v>
      </c>
      <c r="E708" s="8" t="n">
        <v>15.83</v>
      </c>
      <c r="F708" s="8" t="n">
        <v>15.31</v>
      </c>
      <c r="G708" s="8" t="n">
        <v>17.09</v>
      </c>
      <c r="H708" s="8" t="n">
        <v>14.88</v>
      </c>
      <c r="I708" s="8" t="n">
        <v>9.34</v>
      </c>
      <c r="J708" s="8" t="n">
        <v>7.83</v>
      </c>
      <c r="K708" s="8" t="n">
        <v>11.61</v>
      </c>
      <c r="L708" s="8" t="n">
        <v>11.85</v>
      </c>
      <c r="M708" s="8" t="n">
        <v>13.81</v>
      </c>
      <c r="N708" s="4" t="n">
        <v>12.28</v>
      </c>
    </row>
    <row r="709">
      <c r="A709" s="2" t="inlineStr">
        <is>
          <t>PEN0221</t>
        </is>
      </c>
      <c r="B709" s="8" t="inlineStr">
        <is>
          <t>2027-03-01 00:00:00</t>
        </is>
      </c>
      <c r="C709" s="8" t="n">
        <v>10.9</v>
      </c>
      <c r="D709" s="8" t="n">
        <v>13.34</v>
      </c>
      <c r="E709" s="8" t="n">
        <v>15.15</v>
      </c>
      <c r="F709" s="8" t="n">
        <v>14.37</v>
      </c>
      <c r="G709" s="8" t="n">
        <v>15.24</v>
      </c>
      <c r="H709" s="8" t="n">
        <v>13.88</v>
      </c>
      <c r="I709" s="8" t="n">
        <v>10.71</v>
      </c>
      <c r="J709" s="8" t="n">
        <v>10.46</v>
      </c>
      <c r="K709" s="8" t="n">
        <v>13.74</v>
      </c>
      <c r="L709" s="8" t="n">
        <v>12.66</v>
      </c>
      <c r="M709" s="8" t="n">
        <v>13.94</v>
      </c>
      <c r="N709" s="4" t="n">
        <v>12.87</v>
      </c>
    </row>
    <row r="710">
      <c r="A710" s="2" t="inlineStr">
        <is>
          <t>PEN0221</t>
        </is>
      </c>
      <c r="B710" s="8" t="inlineStr">
        <is>
          <t>2027-04-01 00:00:00</t>
        </is>
      </c>
      <c r="C710" s="8" t="n">
        <v>16.09</v>
      </c>
      <c r="D710" s="8" t="n">
        <v>18.71</v>
      </c>
      <c r="E710" s="8" t="n">
        <v>20.01</v>
      </c>
      <c r="F710" s="8" t="n">
        <v>20.15</v>
      </c>
      <c r="G710" s="8" t="n">
        <v>22.15</v>
      </c>
      <c r="H710" s="8" t="n">
        <v>19.02</v>
      </c>
      <c r="I710" s="8" t="n">
        <v>13.71</v>
      </c>
      <c r="J710" s="8" t="n">
        <v>14.09</v>
      </c>
      <c r="K710" s="8" t="n">
        <v>17.85</v>
      </c>
      <c r="L710" s="8" t="n">
        <v>16.09</v>
      </c>
      <c r="M710" s="8" t="n">
        <v>18.94</v>
      </c>
      <c r="N710" s="4" t="n">
        <v>16.6</v>
      </c>
    </row>
    <row r="711">
      <c r="A711" s="2" t="inlineStr">
        <is>
          <t>PEN0221</t>
        </is>
      </c>
      <c r="B711" s="8" t="inlineStr">
        <is>
          <t>2027-05-01 00:00:00</t>
        </is>
      </c>
      <c r="C711" s="8" t="n">
        <v>14.96</v>
      </c>
      <c r="D711" s="8" t="n">
        <v>19.85</v>
      </c>
      <c r="E711" s="8" t="n">
        <v>22.98</v>
      </c>
      <c r="F711" s="8" t="n">
        <v>19.49</v>
      </c>
      <c r="G711" s="8" t="n">
        <v>24.94</v>
      </c>
      <c r="H711" s="8" t="n">
        <v>18.3</v>
      </c>
      <c r="I711" s="8" t="n">
        <v>15.19</v>
      </c>
      <c r="J711" s="8" t="n">
        <v>15.49</v>
      </c>
      <c r="K711" s="8" t="n">
        <v>16.68</v>
      </c>
      <c r="L711" s="8" t="n">
        <v>15.96</v>
      </c>
      <c r="M711" s="8" t="n">
        <v>18.23</v>
      </c>
      <c r="N711" s="4" t="n">
        <v>16.46</v>
      </c>
    </row>
    <row r="712">
      <c r="A712" s="2" t="inlineStr">
        <is>
          <t>PEN0221</t>
        </is>
      </c>
      <c r="B712" s="8" t="inlineStr">
        <is>
          <t>2027-06-01 00:00:00</t>
        </is>
      </c>
      <c r="C712" s="8" t="n">
        <v>15.64</v>
      </c>
      <c r="D712" s="8" t="n">
        <v>19.9</v>
      </c>
      <c r="E712" s="8" t="n">
        <v>28.36</v>
      </c>
      <c r="F712" s="8" t="n">
        <v>19.84</v>
      </c>
      <c r="G712" s="8" t="n">
        <v>29.53</v>
      </c>
      <c r="H712" s="8" t="n">
        <v>19.36</v>
      </c>
      <c r="I712" s="8" t="n">
        <v>14.27</v>
      </c>
      <c r="J712" s="8" t="n">
        <v>13.61</v>
      </c>
      <c r="K712" s="8" t="n">
        <v>16.8</v>
      </c>
      <c r="L712" s="8" t="n">
        <v>15.94</v>
      </c>
      <c r="M712" s="8" t="n">
        <v>19.83</v>
      </c>
      <c r="N712" s="4" t="n">
        <v>18.23</v>
      </c>
    </row>
    <row r="713">
      <c r="A713" s="2" t="inlineStr">
        <is>
          <t>PEN0221</t>
        </is>
      </c>
      <c r="B713" s="8" t="inlineStr">
        <is>
          <t>2027-07-01 00:00:00</t>
        </is>
      </c>
      <c r="C713" s="8" t="n">
        <v>15.21</v>
      </c>
      <c r="D713" s="8" t="n">
        <v>18.51</v>
      </c>
      <c r="E713" s="8" t="n">
        <v>26.88</v>
      </c>
      <c r="F713" s="8" t="n">
        <v>20.39</v>
      </c>
      <c r="G713" s="8" t="n">
        <v>28.99</v>
      </c>
      <c r="H713" s="8" t="n">
        <v>19.43</v>
      </c>
      <c r="I713" s="8" t="n">
        <v>15.17</v>
      </c>
      <c r="J713" s="8" t="n">
        <v>14.58</v>
      </c>
      <c r="K713" s="8" t="n">
        <v>18.83</v>
      </c>
      <c r="L713" s="8" t="n">
        <v>16.18</v>
      </c>
      <c r="M713" s="8" t="n">
        <v>21.24</v>
      </c>
      <c r="N713" s="4" t="n">
        <v>18.16</v>
      </c>
    </row>
    <row r="714">
      <c r="A714" s="2" t="inlineStr">
        <is>
          <t>PEN0221</t>
        </is>
      </c>
      <c r="B714" s="8" t="inlineStr">
        <is>
          <t>2027-08-01 00:00:00</t>
        </is>
      </c>
      <c r="C714" s="8" t="n">
        <v>15.33</v>
      </c>
      <c r="D714" s="8" t="n">
        <v>19.22</v>
      </c>
      <c r="E714" s="8" t="n">
        <v>20.22</v>
      </c>
      <c r="F714" s="8" t="n">
        <v>18.64</v>
      </c>
      <c r="G714" s="8" t="n">
        <v>21.36</v>
      </c>
      <c r="H714" s="8" t="n">
        <v>19.31</v>
      </c>
      <c r="I714" s="8" t="n">
        <v>17.25</v>
      </c>
      <c r="J714" s="8" t="n">
        <v>16.85</v>
      </c>
      <c r="K714" s="8" t="n">
        <v>19.61</v>
      </c>
      <c r="L714" s="8" t="n">
        <v>18.24</v>
      </c>
      <c r="M714" s="8" t="n">
        <v>21.42</v>
      </c>
      <c r="N714" s="4" t="n">
        <v>18.92</v>
      </c>
    </row>
    <row r="715">
      <c r="A715" s="2" t="inlineStr">
        <is>
          <t>PEN0221</t>
        </is>
      </c>
      <c r="B715" s="8" t="inlineStr">
        <is>
          <t>2027-09-01 00:00:00</t>
        </is>
      </c>
      <c r="C715" s="8" t="n">
        <v>11</v>
      </c>
      <c r="D715" s="8" t="n">
        <v>19.01</v>
      </c>
      <c r="E715" s="8" t="n">
        <v>23.47</v>
      </c>
      <c r="F715" s="8" t="n">
        <v>20.29</v>
      </c>
      <c r="G715" s="8" t="n">
        <v>26.8</v>
      </c>
      <c r="H715" s="8" t="n">
        <v>19.77</v>
      </c>
      <c r="I715" s="8" t="n">
        <v>9.380000000000001</v>
      </c>
      <c r="J715" s="8" t="n">
        <v>10.35</v>
      </c>
      <c r="K715" s="8" t="n">
        <v>15.34</v>
      </c>
      <c r="L715" s="8" t="n">
        <v>13.6</v>
      </c>
      <c r="M715" s="8" t="n">
        <v>19.84</v>
      </c>
      <c r="N715" s="4" t="n">
        <v>16.13</v>
      </c>
    </row>
    <row r="716">
      <c r="A716" s="2" t="inlineStr">
        <is>
          <t>PEN0221</t>
        </is>
      </c>
      <c r="B716" s="8" t="inlineStr">
        <is>
          <t>2027-10-01 00:00:00</t>
        </is>
      </c>
      <c r="C716" s="8" t="n">
        <v>6.24</v>
      </c>
      <c r="D716" s="8" t="n">
        <v>8.41</v>
      </c>
      <c r="E716" s="8" t="n">
        <v>9.859999999999999</v>
      </c>
      <c r="F716" s="8" t="n">
        <v>8.44</v>
      </c>
      <c r="G716" s="8" t="n">
        <v>10.03</v>
      </c>
      <c r="H716" s="8" t="n">
        <v>9.94</v>
      </c>
      <c r="I716" s="8" t="n">
        <v>7.04</v>
      </c>
      <c r="J716" s="8" t="n">
        <v>6.95</v>
      </c>
      <c r="K716" s="8" t="n">
        <v>7.83</v>
      </c>
      <c r="L716" s="8" t="n">
        <v>6.74</v>
      </c>
      <c r="M716" s="8" t="n">
        <v>8.43</v>
      </c>
      <c r="N716" s="4" t="n">
        <v>8.15</v>
      </c>
    </row>
    <row r="717">
      <c r="A717" s="2" t="inlineStr">
        <is>
          <t>PEN0221</t>
        </is>
      </c>
      <c r="B717" s="8" t="inlineStr">
        <is>
          <t>2027-11-01 00:00:00</t>
        </is>
      </c>
      <c r="C717" s="8" t="n">
        <v>5.06</v>
      </c>
      <c r="D717" s="8" t="n">
        <v>7.79</v>
      </c>
      <c r="E717" s="8" t="n">
        <v>11.21</v>
      </c>
      <c r="F717" s="8" t="n">
        <v>10.48</v>
      </c>
      <c r="G717" s="8" t="n">
        <v>11.12</v>
      </c>
      <c r="H717" s="8" t="n">
        <v>9.039999999999999</v>
      </c>
      <c r="I717" s="8" t="n">
        <v>5.02</v>
      </c>
      <c r="J717" s="8" t="n">
        <v>4.49</v>
      </c>
      <c r="K717" s="8" t="n">
        <v>7.38</v>
      </c>
      <c r="L717" s="8" t="n">
        <v>6.42</v>
      </c>
      <c r="M717" s="8" t="n">
        <v>7.34</v>
      </c>
      <c r="N717" s="4" t="n">
        <v>6.96</v>
      </c>
    </row>
    <row r="718">
      <c r="A718" s="2" t="inlineStr">
        <is>
          <t>PEN0221</t>
        </is>
      </c>
      <c r="B718" s="8" t="inlineStr">
        <is>
          <t>2027-12-01 00:00:00</t>
        </is>
      </c>
      <c r="C718" s="8" t="n">
        <v>6.34</v>
      </c>
      <c r="D718" s="8" t="n">
        <v>6.97</v>
      </c>
      <c r="E718" s="8" t="n">
        <v>11.4</v>
      </c>
      <c r="F718" s="8" t="n">
        <v>10.54</v>
      </c>
      <c r="G718" s="8" t="n">
        <v>10.09</v>
      </c>
      <c r="H718" s="8" t="n">
        <v>8.289999999999999</v>
      </c>
      <c r="I718" s="8" t="n">
        <v>6.04</v>
      </c>
      <c r="J718" s="8" t="n">
        <v>5.65</v>
      </c>
      <c r="K718" s="8" t="n">
        <v>7.89</v>
      </c>
      <c r="L718" s="8" t="n">
        <v>7.71</v>
      </c>
      <c r="M718" s="8" t="n">
        <v>8.289999999999999</v>
      </c>
      <c r="N718" s="4" t="n">
        <v>7.33</v>
      </c>
    </row>
    <row r="719">
      <c r="A719" s="2" t="inlineStr">
        <is>
          <t>PEN0221</t>
        </is>
      </c>
      <c r="B719" s="8" t="inlineStr">
        <is>
          <t>2028-01-01 00:00:00</t>
        </is>
      </c>
      <c r="C719" s="8" t="n">
        <v>11.24</v>
      </c>
      <c r="D719" s="8" t="n">
        <v>11.87</v>
      </c>
      <c r="E719" s="8" t="n">
        <v>15.35</v>
      </c>
      <c r="F719" s="8" t="n">
        <v>16.52</v>
      </c>
      <c r="G719" s="8" t="n">
        <v>17.35</v>
      </c>
      <c r="H719" s="8" t="n">
        <v>14.99</v>
      </c>
      <c r="I719" s="8" t="n">
        <v>8.56</v>
      </c>
      <c r="J719" s="8" t="n">
        <v>7.47</v>
      </c>
      <c r="K719" s="8" t="n">
        <v>9.66</v>
      </c>
      <c r="L719" s="8" t="n">
        <v>10.08</v>
      </c>
      <c r="M719" s="8" t="n">
        <v>11.91</v>
      </c>
      <c r="N719" s="4" t="n">
        <v>10.74</v>
      </c>
    </row>
    <row r="720">
      <c r="A720" s="2" t="inlineStr">
        <is>
          <t>PEN0221</t>
        </is>
      </c>
      <c r="B720" s="8" t="inlineStr">
        <is>
          <t>2028-02-01 00:00:00</t>
        </is>
      </c>
      <c r="C720" s="8" t="n">
        <v>10.04</v>
      </c>
      <c r="D720" s="8" t="n">
        <v>12.11</v>
      </c>
      <c r="E720" s="8" t="n">
        <v>15.01</v>
      </c>
      <c r="F720" s="8" t="n">
        <v>14.52</v>
      </c>
      <c r="G720" s="8" t="n">
        <v>16.21</v>
      </c>
      <c r="H720" s="8" t="n">
        <v>14.11</v>
      </c>
      <c r="I720" s="8" t="n">
        <v>8.880000000000001</v>
      </c>
      <c r="J720" s="8" t="n">
        <v>7.45</v>
      </c>
      <c r="K720" s="8" t="n">
        <v>11.02</v>
      </c>
      <c r="L720" s="8" t="n">
        <v>11.24</v>
      </c>
      <c r="M720" s="8" t="n">
        <v>13.1</v>
      </c>
      <c r="N720" s="4" t="n">
        <v>11.66</v>
      </c>
    </row>
    <row r="721">
      <c r="A721" s="2" t="inlineStr">
        <is>
          <t>PEN0221</t>
        </is>
      </c>
      <c r="B721" s="8" t="inlineStr">
        <is>
          <t>2028-03-01 00:00:00</t>
        </is>
      </c>
      <c r="C721" s="8" t="n">
        <v>10.31</v>
      </c>
      <c r="D721" s="8" t="n">
        <v>12.61</v>
      </c>
      <c r="E721" s="8" t="n">
        <v>14.31</v>
      </c>
      <c r="F721" s="8" t="n">
        <v>13.58</v>
      </c>
      <c r="G721" s="8" t="n">
        <v>14.4</v>
      </c>
      <c r="H721" s="8" t="n">
        <v>13.11</v>
      </c>
      <c r="I721" s="8" t="n">
        <v>10.13</v>
      </c>
      <c r="J721" s="8" t="n">
        <v>9.890000000000001</v>
      </c>
      <c r="K721" s="8" t="n">
        <v>12.98</v>
      </c>
      <c r="L721" s="8" t="n">
        <v>11.97</v>
      </c>
      <c r="M721" s="8" t="n">
        <v>13.17</v>
      </c>
      <c r="N721" s="4" t="n">
        <v>12.16</v>
      </c>
    </row>
    <row r="722">
      <c r="A722" s="2" t="inlineStr">
        <is>
          <t>PEN0221</t>
        </is>
      </c>
      <c r="B722" s="8" t="inlineStr">
        <is>
          <t>2028-04-01 00:00:00</t>
        </is>
      </c>
      <c r="C722" s="8" t="n">
        <v>15.68</v>
      </c>
      <c r="D722" s="8" t="n">
        <v>18.23</v>
      </c>
      <c r="E722" s="8" t="n">
        <v>19.49</v>
      </c>
      <c r="F722" s="8" t="n">
        <v>19.63</v>
      </c>
      <c r="G722" s="8" t="n">
        <v>21.57</v>
      </c>
      <c r="H722" s="8" t="n">
        <v>18.52</v>
      </c>
      <c r="I722" s="8" t="n">
        <v>13.36</v>
      </c>
      <c r="J722" s="8" t="n">
        <v>13.74</v>
      </c>
      <c r="K722" s="8" t="n">
        <v>17.39</v>
      </c>
      <c r="L722" s="8" t="n">
        <v>15.67</v>
      </c>
      <c r="M722" s="8" t="n">
        <v>18.44</v>
      </c>
      <c r="N722" s="4" t="n">
        <v>16.17</v>
      </c>
    </row>
    <row r="723">
      <c r="A723" s="2" t="inlineStr">
        <is>
          <t>PEN0221</t>
        </is>
      </c>
      <c r="B723" s="8" t="inlineStr">
        <is>
          <t>2028-05-01 00:00:00</t>
        </is>
      </c>
      <c r="C723" s="8" t="n">
        <v>14.08</v>
      </c>
      <c r="D723" s="8" t="n">
        <v>18.67</v>
      </c>
      <c r="E723" s="8" t="n">
        <v>21.6</v>
      </c>
      <c r="F723" s="8" t="n">
        <v>18.32</v>
      </c>
      <c r="G723" s="8" t="n">
        <v>23.43</v>
      </c>
      <c r="H723" s="8" t="n">
        <v>17.21</v>
      </c>
      <c r="I723" s="8" t="n">
        <v>14.3</v>
      </c>
      <c r="J723" s="8" t="n">
        <v>14.58</v>
      </c>
      <c r="K723" s="8" t="n">
        <v>15.69</v>
      </c>
      <c r="L723" s="8" t="n">
        <v>15.02</v>
      </c>
      <c r="M723" s="8" t="n">
        <v>17.15</v>
      </c>
      <c r="N723" s="4" t="n">
        <v>15.49</v>
      </c>
    </row>
    <row r="724">
      <c r="A724" s="2" t="inlineStr">
        <is>
          <t>PEN0221</t>
        </is>
      </c>
      <c r="B724" s="8" t="inlineStr">
        <is>
          <t>2028-06-01 00:00:00</t>
        </is>
      </c>
      <c r="C724" s="8" t="n">
        <v>14.81</v>
      </c>
      <c r="D724" s="8" t="n">
        <v>18.83</v>
      </c>
      <c r="E724" s="8" t="n">
        <v>27.15</v>
      </c>
      <c r="F724" s="8" t="n">
        <v>18.77</v>
      </c>
      <c r="G724" s="8" t="n">
        <v>28.25</v>
      </c>
      <c r="H724" s="8" t="n">
        <v>18.32</v>
      </c>
      <c r="I724" s="8" t="n">
        <v>13.51</v>
      </c>
      <c r="J724" s="8" t="n">
        <v>12.89</v>
      </c>
      <c r="K724" s="8" t="n">
        <v>15.9</v>
      </c>
      <c r="L724" s="8" t="n">
        <v>15.09</v>
      </c>
      <c r="M724" s="8" t="n">
        <v>18.77</v>
      </c>
      <c r="N724" s="4" t="n">
        <v>17.25</v>
      </c>
    </row>
    <row r="725">
      <c r="A725" s="2" t="inlineStr">
        <is>
          <t>PEN0221</t>
        </is>
      </c>
      <c r="B725" s="8" t="inlineStr">
        <is>
          <t>2028-07-01 00:00:00</t>
        </is>
      </c>
      <c r="C725" s="8" t="n">
        <v>14.58</v>
      </c>
      <c r="D725" s="8" t="n">
        <v>17.74</v>
      </c>
      <c r="E725" s="8" t="n">
        <v>26</v>
      </c>
      <c r="F725" s="8" t="n">
        <v>19.54</v>
      </c>
      <c r="G725" s="8" t="n">
        <v>28.02</v>
      </c>
      <c r="H725" s="8" t="n">
        <v>18.62</v>
      </c>
      <c r="I725" s="8" t="n">
        <v>14.54</v>
      </c>
      <c r="J725" s="8" t="n">
        <v>13.98</v>
      </c>
      <c r="K725" s="8" t="n">
        <v>18.04</v>
      </c>
      <c r="L725" s="8" t="n">
        <v>15.51</v>
      </c>
      <c r="M725" s="8" t="n">
        <v>20.34</v>
      </c>
      <c r="N725" s="4" t="n">
        <v>17.41</v>
      </c>
    </row>
    <row r="726">
      <c r="A726" s="2" t="inlineStr">
        <is>
          <t>PEN0221</t>
        </is>
      </c>
      <c r="B726" s="8" t="inlineStr">
        <is>
          <t>2028-08-01 00:00:00</t>
        </is>
      </c>
      <c r="C726" s="8" t="n">
        <v>14.58</v>
      </c>
      <c r="D726" s="8" t="n">
        <v>18.26</v>
      </c>
      <c r="E726" s="8" t="n">
        <v>19.21</v>
      </c>
      <c r="F726" s="8" t="n">
        <v>17.72</v>
      </c>
      <c r="G726" s="8" t="n">
        <v>20.29</v>
      </c>
      <c r="H726" s="8" t="n">
        <v>18.35</v>
      </c>
      <c r="I726" s="8" t="n">
        <v>16.4</v>
      </c>
      <c r="J726" s="8" t="n">
        <v>16.02</v>
      </c>
      <c r="K726" s="8" t="n">
        <v>18.64</v>
      </c>
      <c r="L726" s="8" t="n">
        <v>17.34</v>
      </c>
      <c r="M726" s="8" t="n">
        <v>20.35</v>
      </c>
      <c r="N726" s="4" t="n">
        <v>17.98</v>
      </c>
    </row>
    <row r="727">
      <c r="A727" s="2" t="inlineStr">
        <is>
          <t>PEN0221</t>
        </is>
      </c>
      <c r="B727" s="8" t="inlineStr">
        <is>
          <t>2028-09-01 00:00:00</t>
        </is>
      </c>
      <c r="C727" s="8" t="n">
        <v>10.58</v>
      </c>
      <c r="D727" s="8" t="n">
        <v>18.26</v>
      </c>
      <c r="E727" s="8" t="n">
        <v>22.54</v>
      </c>
      <c r="F727" s="8" t="n">
        <v>19.49</v>
      </c>
      <c r="G727" s="8" t="n">
        <v>25.73</v>
      </c>
      <c r="H727" s="8" t="n">
        <v>18.99</v>
      </c>
      <c r="I727" s="8" t="n">
        <v>9.029999999999999</v>
      </c>
      <c r="J727" s="8" t="n">
        <v>9.960000000000001</v>
      </c>
      <c r="K727" s="8" t="n">
        <v>14.74</v>
      </c>
      <c r="L727" s="8" t="n">
        <v>13.07</v>
      </c>
      <c r="M727" s="8" t="n">
        <v>19.06</v>
      </c>
      <c r="N727" s="4" t="n">
        <v>15.5</v>
      </c>
    </row>
    <row r="728">
      <c r="A728" s="2" t="inlineStr">
        <is>
          <t>PEN0221</t>
        </is>
      </c>
      <c r="B728" s="8" t="inlineStr">
        <is>
          <t>2028-10-01 00:00:00</t>
        </is>
      </c>
      <c r="C728" s="8" t="n">
        <v>6.17</v>
      </c>
      <c r="D728" s="8" t="n">
        <v>8.300000000000001</v>
      </c>
      <c r="E728" s="8" t="n">
        <v>9.73</v>
      </c>
      <c r="F728" s="8" t="n">
        <v>8.34</v>
      </c>
      <c r="G728" s="8" t="n">
        <v>9.9</v>
      </c>
      <c r="H728" s="8" t="n">
        <v>9.81</v>
      </c>
      <c r="I728" s="8" t="n">
        <v>6.96</v>
      </c>
      <c r="J728" s="8" t="n">
        <v>6.86</v>
      </c>
      <c r="K728" s="8" t="n">
        <v>7.73</v>
      </c>
      <c r="L728" s="8" t="n">
        <v>6.66</v>
      </c>
      <c r="M728" s="8" t="n">
        <v>8.33</v>
      </c>
      <c r="N728" s="4" t="n">
        <v>8.050000000000001</v>
      </c>
    </row>
    <row r="729">
      <c r="A729" s="2" t="inlineStr">
        <is>
          <t>PEN0221</t>
        </is>
      </c>
      <c r="B729" s="8" t="inlineStr">
        <is>
          <t>2028-11-01 00:00:00</t>
        </is>
      </c>
      <c r="C729" s="8" t="n">
        <v>5.03</v>
      </c>
      <c r="D729" s="8" t="n">
        <v>7.73</v>
      </c>
      <c r="E729" s="8" t="n">
        <v>11.12</v>
      </c>
      <c r="F729" s="8" t="n">
        <v>10.4</v>
      </c>
      <c r="G729" s="8" t="n">
        <v>11.03</v>
      </c>
      <c r="H729" s="8" t="n">
        <v>8.970000000000001</v>
      </c>
      <c r="I729" s="8" t="n">
        <v>4.99</v>
      </c>
      <c r="J729" s="8" t="n">
        <v>4.47</v>
      </c>
      <c r="K729" s="8" t="n">
        <v>7.33</v>
      </c>
      <c r="L729" s="8" t="n">
        <v>6.38</v>
      </c>
      <c r="M729" s="8" t="n">
        <v>7.29</v>
      </c>
      <c r="N729" s="4" t="n">
        <v>6.91</v>
      </c>
    </row>
    <row r="730">
      <c r="A730" s="2" t="inlineStr">
        <is>
          <t>PEN0221</t>
        </is>
      </c>
      <c r="B730" s="8" t="inlineStr">
        <is>
          <t>2028-12-01 00:00:00</t>
        </is>
      </c>
      <c r="C730" s="8" t="n">
        <v>6.38</v>
      </c>
      <c r="D730" s="8" t="n">
        <v>7.01</v>
      </c>
      <c r="E730" s="8" t="n">
        <v>11.47</v>
      </c>
      <c r="F730" s="8" t="n">
        <v>10.6</v>
      </c>
      <c r="G730" s="8" t="n">
        <v>10.15</v>
      </c>
      <c r="H730" s="8" t="n">
        <v>8.34</v>
      </c>
      <c r="I730" s="8" t="n">
        <v>6.08</v>
      </c>
      <c r="J730" s="8" t="n">
        <v>5.68</v>
      </c>
      <c r="K730" s="8" t="n">
        <v>7.94</v>
      </c>
      <c r="L730" s="8" t="n">
        <v>7.76</v>
      </c>
      <c r="M730" s="8" t="n">
        <v>8.34</v>
      </c>
      <c r="N730" s="4" t="n">
        <v>7.38</v>
      </c>
    </row>
    <row r="731">
      <c r="A731" s="2" t="inlineStr">
        <is>
          <t>PEN0221</t>
        </is>
      </c>
      <c r="B731" s="8" t="inlineStr">
        <is>
          <t>2029-01-01 00:00:00</t>
        </is>
      </c>
      <c r="C731" s="8" t="n">
        <v>10.84</v>
      </c>
      <c r="D731" s="8" t="n">
        <v>11.44</v>
      </c>
      <c r="E731" s="8" t="n">
        <v>14.78</v>
      </c>
      <c r="F731" s="8" t="n">
        <v>15.91</v>
      </c>
      <c r="G731" s="8" t="n">
        <v>16.71</v>
      </c>
      <c r="H731" s="8" t="n">
        <v>14.44</v>
      </c>
      <c r="I731" s="8" t="n">
        <v>8.26</v>
      </c>
      <c r="J731" s="8" t="n">
        <v>7.21</v>
      </c>
      <c r="K731" s="8" t="n">
        <v>9.31</v>
      </c>
      <c r="L731" s="8" t="n">
        <v>9.720000000000001</v>
      </c>
      <c r="M731" s="8" t="n">
        <v>11.48</v>
      </c>
      <c r="N731" s="4" t="n">
        <v>10.36</v>
      </c>
    </row>
    <row r="732">
      <c r="A732" s="2" t="inlineStr">
        <is>
          <t>PEN0221</t>
        </is>
      </c>
      <c r="B732" s="8" t="inlineStr">
        <is>
          <t>2029-02-01 00:00:00</t>
        </is>
      </c>
      <c r="C732" s="8" t="n">
        <v>9.93</v>
      </c>
      <c r="D732" s="8" t="n">
        <v>11.98</v>
      </c>
      <c r="E732" s="8" t="n">
        <v>14.85</v>
      </c>
      <c r="F732" s="8" t="n">
        <v>14.36</v>
      </c>
      <c r="G732" s="8" t="n">
        <v>16.02</v>
      </c>
      <c r="H732" s="8" t="n">
        <v>13.96</v>
      </c>
      <c r="I732" s="8" t="n">
        <v>8.779999999999999</v>
      </c>
      <c r="J732" s="8" t="n">
        <v>7.37</v>
      </c>
      <c r="K732" s="8" t="n">
        <v>10.9</v>
      </c>
      <c r="L732" s="8" t="n">
        <v>11.12</v>
      </c>
      <c r="M732" s="8" t="n">
        <v>12.95</v>
      </c>
      <c r="N732" s="4" t="n">
        <v>11.53</v>
      </c>
    </row>
    <row r="733">
      <c r="A733" s="2" t="inlineStr">
        <is>
          <t>PEN0221</t>
        </is>
      </c>
      <c r="B733" s="8" t="inlineStr">
        <is>
          <t>2029-03-01 00:00:00</t>
        </is>
      </c>
      <c r="C733" s="8" t="n">
        <v>10.24</v>
      </c>
      <c r="D733" s="8" t="n">
        <v>12.52</v>
      </c>
      <c r="E733" s="8" t="n">
        <v>14.2</v>
      </c>
      <c r="F733" s="8" t="n">
        <v>13.48</v>
      </c>
      <c r="G733" s="8" t="n">
        <v>14.29</v>
      </c>
      <c r="H733" s="8" t="n">
        <v>13.02</v>
      </c>
      <c r="I733" s="8" t="n">
        <v>10.05</v>
      </c>
      <c r="J733" s="8" t="n">
        <v>9.82</v>
      </c>
      <c r="K733" s="8" t="n">
        <v>12.89</v>
      </c>
      <c r="L733" s="8" t="n">
        <v>11.88</v>
      </c>
      <c r="M733" s="8" t="n">
        <v>13.08</v>
      </c>
      <c r="N733" s="4" t="n">
        <v>12.07</v>
      </c>
    </row>
    <row r="734">
      <c r="A734" s="2" t="inlineStr">
        <is>
          <t>PEN0221</t>
        </is>
      </c>
      <c r="B734" s="8" t="inlineStr">
        <is>
          <t>2029-04-01 00:00:00</t>
        </is>
      </c>
      <c r="C734" s="8" t="n">
        <v>15.37</v>
      </c>
      <c r="D734" s="8" t="n">
        <v>17.87</v>
      </c>
      <c r="E734" s="8" t="n">
        <v>19.11</v>
      </c>
      <c r="F734" s="8" t="n">
        <v>19.24</v>
      </c>
      <c r="G734" s="8" t="n">
        <v>21.15</v>
      </c>
      <c r="H734" s="8" t="n">
        <v>18.16</v>
      </c>
      <c r="I734" s="8" t="n">
        <v>13.11</v>
      </c>
      <c r="J734" s="8" t="n">
        <v>13.47</v>
      </c>
      <c r="K734" s="8" t="n">
        <v>17.05</v>
      </c>
      <c r="L734" s="8" t="n">
        <v>15.37</v>
      </c>
      <c r="M734" s="8" t="n">
        <v>18.09</v>
      </c>
      <c r="N734" s="4" t="n">
        <v>15.86</v>
      </c>
    </row>
    <row r="735">
      <c r="A735" s="2" t="inlineStr">
        <is>
          <t>PEN0221</t>
        </is>
      </c>
      <c r="B735" s="8" t="inlineStr">
        <is>
          <t>2029-05-01 00:00:00</t>
        </is>
      </c>
      <c r="C735" s="8" t="n">
        <v>13.97</v>
      </c>
      <c r="D735" s="8" t="n">
        <v>18.52</v>
      </c>
      <c r="E735" s="8" t="n">
        <v>21.43</v>
      </c>
      <c r="F735" s="8" t="n">
        <v>18.18</v>
      </c>
      <c r="G735" s="8" t="n">
        <v>23.25</v>
      </c>
      <c r="H735" s="8" t="n">
        <v>17.07</v>
      </c>
      <c r="I735" s="8" t="n">
        <v>14.19</v>
      </c>
      <c r="J735" s="8" t="n">
        <v>14.47</v>
      </c>
      <c r="K735" s="8" t="n">
        <v>15.57</v>
      </c>
      <c r="L735" s="8" t="n">
        <v>14.9</v>
      </c>
      <c r="M735" s="8" t="n">
        <v>17.02</v>
      </c>
      <c r="N735" s="4" t="n">
        <v>15.37</v>
      </c>
    </row>
    <row r="736">
      <c r="A736" s="2" t="inlineStr">
        <is>
          <t>PEN0221</t>
        </is>
      </c>
      <c r="B736" s="8" t="inlineStr">
        <is>
          <t>2029-06-01 00:00:00</t>
        </is>
      </c>
      <c r="C736" s="8" t="n">
        <v>14.79</v>
      </c>
      <c r="D736" s="8" t="n">
        <v>18.81</v>
      </c>
      <c r="E736" s="8" t="n">
        <v>27.11</v>
      </c>
      <c r="F736" s="8" t="n">
        <v>18.75</v>
      </c>
      <c r="G736" s="8" t="n">
        <v>28.22</v>
      </c>
      <c r="H736" s="8" t="n">
        <v>18.3</v>
      </c>
      <c r="I736" s="8" t="n">
        <v>13.49</v>
      </c>
      <c r="J736" s="8" t="n">
        <v>12.87</v>
      </c>
      <c r="K736" s="8" t="n">
        <v>15.88</v>
      </c>
      <c r="L736" s="8" t="n">
        <v>15.07</v>
      </c>
      <c r="M736" s="8" t="n">
        <v>18.74</v>
      </c>
      <c r="N736" s="4" t="n">
        <v>17.23</v>
      </c>
    </row>
    <row r="737">
      <c r="A737" s="2" t="inlineStr">
        <is>
          <t>PEN0221</t>
        </is>
      </c>
      <c r="B737" s="8" t="inlineStr">
        <is>
          <t>2029-07-01 00:00:00</t>
        </is>
      </c>
      <c r="C737" s="8" t="n">
        <v>14.16</v>
      </c>
      <c r="D737" s="8" t="n">
        <v>17.23</v>
      </c>
      <c r="E737" s="8" t="n">
        <v>25.42</v>
      </c>
      <c r="F737" s="8" t="n">
        <v>18.97</v>
      </c>
      <c r="G737" s="8" t="n">
        <v>27.38</v>
      </c>
      <c r="H737" s="8" t="n">
        <v>18.08</v>
      </c>
      <c r="I737" s="8" t="n">
        <v>14.12</v>
      </c>
      <c r="J737" s="8" t="n">
        <v>13.58</v>
      </c>
      <c r="K737" s="8" t="n">
        <v>17.52</v>
      </c>
      <c r="L737" s="8" t="n">
        <v>15.07</v>
      </c>
      <c r="M737" s="8" t="n">
        <v>19.75</v>
      </c>
      <c r="N737" s="4" t="n">
        <v>16.9</v>
      </c>
    </row>
    <row r="738">
      <c r="A738" s="2" t="inlineStr">
        <is>
          <t>PEN0221</t>
        </is>
      </c>
      <c r="B738" s="8" t="inlineStr">
        <is>
          <t>2029-08-01 00:00:00</t>
        </is>
      </c>
      <c r="C738" s="8" t="n">
        <v>14.21</v>
      </c>
      <c r="D738" s="8" t="n">
        <v>17.8</v>
      </c>
      <c r="E738" s="8" t="n">
        <v>18.72</v>
      </c>
      <c r="F738" s="8" t="n">
        <v>17.27</v>
      </c>
      <c r="G738" s="8" t="n">
        <v>19.78</v>
      </c>
      <c r="H738" s="8" t="n">
        <v>17.89</v>
      </c>
      <c r="I738" s="8" t="n">
        <v>15.99</v>
      </c>
      <c r="J738" s="8" t="n">
        <v>15.62</v>
      </c>
      <c r="K738" s="8" t="n">
        <v>18.17</v>
      </c>
      <c r="L738" s="8" t="n">
        <v>16.9</v>
      </c>
      <c r="M738" s="8" t="n">
        <v>19.83</v>
      </c>
      <c r="N738" s="4" t="n">
        <v>17.53</v>
      </c>
    </row>
    <row r="739">
      <c r="A739" s="2" t="inlineStr">
        <is>
          <t>PEN0221</t>
        </is>
      </c>
      <c r="B739" s="8" t="inlineStr">
        <is>
          <t>2029-09-01 00:00:00</t>
        </is>
      </c>
      <c r="C739" s="8" t="n">
        <v>10.42</v>
      </c>
      <c r="D739" s="8" t="n">
        <v>17.98</v>
      </c>
      <c r="E739" s="8" t="n">
        <v>22.2</v>
      </c>
      <c r="F739" s="8" t="n">
        <v>19.19</v>
      </c>
      <c r="G739" s="8" t="n">
        <v>25.34</v>
      </c>
      <c r="H739" s="8" t="n">
        <v>18.7</v>
      </c>
      <c r="I739" s="8" t="n">
        <v>8.9</v>
      </c>
      <c r="J739" s="8" t="n">
        <v>9.81</v>
      </c>
      <c r="K739" s="8" t="n">
        <v>14.52</v>
      </c>
      <c r="L739" s="8" t="n">
        <v>12.87</v>
      </c>
      <c r="M739" s="8" t="n">
        <v>18.77</v>
      </c>
      <c r="N739" s="4" t="n">
        <v>15.26</v>
      </c>
    </row>
    <row r="740">
      <c r="A740" s="2" t="inlineStr">
        <is>
          <t>PEN0221</t>
        </is>
      </c>
      <c r="B740" s="8" t="inlineStr">
        <is>
          <t>2029-10-01 00:00:00</t>
        </is>
      </c>
      <c r="C740" s="8" t="n">
        <v>6.01</v>
      </c>
      <c r="D740" s="8" t="n">
        <v>8.08</v>
      </c>
      <c r="E740" s="8" t="n">
        <v>9.470000000000001</v>
      </c>
      <c r="F740" s="8" t="n">
        <v>8.119999999999999</v>
      </c>
      <c r="G740" s="8" t="n">
        <v>9.640000000000001</v>
      </c>
      <c r="H740" s="8" t="n">
        <v>9.550000000000001</v>
      </c>
      <c r="I740" s="8" t="n">
        <v>6.77</v>
      </c>
      <c r="J740" s="8" t="n">
        <v>6.68</v>
      </c>
      <c r="K740" s="8" t="n">
        <v>7.53</v>
      </c>
      <c r="L740" s="8" t="n">
        <v>6.49</v>
      </c>
      <c r="M740" s="8" t="n">
        <v>8.1</v>
      </c>
      <c r="N740" s="4" t="n">
        <v>7.84</v>
      </c>
    </row>
    <row r="741">
      <c r="A741" s="2" t="inlineStr">
        <is>
          <t>PEN0221</t>
        </is>
      </c>
      <c r="B741" s="8" t="inlineStr">
        <is>
          <t>2029-11-01 00:00:00</t>
        </is>
      </c>
      <c r="C741" s="8" t="n">
        <v>4.92</v>
      </c>
      <c r="D741" s="8" t="n">
        <v>7.56</v>
      </c>
      <c r="E741" s="8" t="n">
        <v>10.88</v>
      </c>
      <c r="F741" s="8" t="n">
        <v>10.17</v>
      </c>
      <c r="G741" s="8" t="n">
        <v>10.78</v>
      </c>
      <c r="H741" s="8" t="n">
        <v>8.77</v>
      </c>
      <c r="I741" s="8" t="n">
        <v>4.88</v>
      </c>
      <c r="J741" s="8" t="n">
        <v>4.37</v>
      </c>
      <c r="K741" s="8" t="n">
        <v>7.17</v>
      </c>
      <c r="L741" s="8" t="n">
        <v>6.24</v>
      </c>
      <c r="M741" s="8" t="n">
        <v>7.13</v>
      </c>
      <c r="N741" s="4" t="n">
        <v>6.76</v>
      </c>
    </row>
    <row r="742">
      <c r="A742" s="2" t="inlineStr">
        <is>
          <t>PEN0221</t>
        </is>
      </c>
      <c r="B742" s="8" t="inlineStr">
        <is>
          <t>2029-12-01 00:00:00</t>
        </is>
      </c>
      <c r="C742" s="8" t="n">
        <v>6.24</v>
      </c>
      <c r="D742" s="8" t="n">
        <v>6.86</v>
      </c>
      <c r="E742" s="8" t="n">
        <v>11.22</v>
      </c>
      <c r="F742" s="8" t="n">
        <v>10.36</v>
      </c>
      <c r="G742" s="8" t="n">
        <v>9.93</v>
      </c>
      <c r="H742" s="8" t="n">
        <v>8.16</v>
      </c>
      <c r="I742" s="8" t="n">
        <v>5.95</v>
      </c>
      <c r="J742" s="8" t="n">
        <v>5.56</v>
      </c>
      <c r="K742" s="8" t="n">
        <v>7.76</v>
      </c>
      <c r="L742" s="8" t="n">
        <v>7.59</v>
      </c>
      <c r="M742" s="8" t="n">
        <v>8.16</v>
      </c>
      <c r="N742" s="4" t="n">
        <v>7.22</v>
      </c>
    </row>
    <row r="743">
      <c r="A743" s="2" t="inlineStr">
        <is>
          <t>PEN0221</t>
        </is>
      </c>
      <c r="B743" s="8" t="inlineStr">
        <is>
          <t>2030-01-01 00:00:00</t>
        </is>
      </c>
      <c r="C743" s="8" t="n">
        <v>10.84</v>
      </c>
      <c r="D743" s="8" t="n">
        <v>11.44</v>
      </c>
      <c r="E743" s="8" t="n">
        <v>14.78</v>
      </c>
      <c r="F743" s="8" t="n">
        <v>15.91</v>
      </c>
      <c r="G743" s="8" t="n">
        <v>16.71</v>
      </c>
      <c r="H743" s="8" t="n">
        <v>14.44</v>
      </c>
      <c r="I743" s="8" t="n">
        <v>8.26</v>
      </c>
      <c r="J743" s="8" t="n">
        <v>7.21</v>
      </c>
      <c r="K743" s="8" t="n">
        <v>9.31</v>
      </c>
      <c r="L743" s="8" t="n">
        <v>9.720000000000001</v>
      </c>
      <c r="M743" s="8" t="n">
        <v>11.48</v>
      </c>
      <c r="N743" s="4" t="n">
        <v>10.36</v>
      </c>
    </row>
    <row r="744">
      <c r="A744" s="2" t="inlineStr">
        <is>
          <t>PEN0221</t>
        </is>
      </c>
      <c r="B744" s="8" t="inlineStr">
        <is>
          <t>2030-02-01 00:00:00</t>
        </is>
      </c>
      <c r="C744" s="8" t="n">
        <v>9.93</v>
      </c>
      <c r="D744" s="8" t="n">
        <v>11.98</v>
      </c>
      <c r="E744" s="8" t="n">
        <v>14.85</v>
      </c>
      <c r="F744" s="8" t="n">
        <v>14.36</v>
      </c>
      <c r="G744" s="8" t="n">
        <v>16.02</v>
      </c>
      <c r="H744" s="8" t="n">
        <v>13.96</v>
      </c>
      <c r="I744" s="8" t="n">
        <v>8.779999999999999</v>
      </c>
      <c r="J744" s="8" t="n">
        <v>7.37</v>
      </c>
      <c r="K744" s="8" t="n">
        <v>10.9</v>
      </c>
      <c r="L744" s="8" t="n">
        <v>11.12</v>
      </c>
      <c r="M744" s="8" t="n">
        <v>12.95</v>
      </c>
      <c r="N744" s="4" t="n">
        <v>11.53</v>
      </c>
    </row>
    <row r="745">
      <c r="A745" s="2" t="inlineStr">
        <is>
          <t>PEN0221</t>
        </is>
      </c>
      <c r="B745" s="8" t="inlineStr">
        <is>
          <t>2030-03-01 00:00:00</t>
        </is>
      </c>
      <c r="C745" s="8" t="n">
        <v>10.24</v>
      </c>
      <c r="D745" s="8" t="n">
        <v>12.52</v>
      </c>
      <c r="E745" s="8" t="n">
        <v>14.2</v>
      </c>
      <c r="F745" s="8" t="n">
        <v>13.48</v>
      </c>
      <c r="G745" s="8" t="n">
        <v>14.29</v>
      </c>
      <c r="H745" s="8" t="n">
        <v>13.02</v>
      </c>
      <c r="I745" s="8" t="n">
        <v>10.05</v>
      </c>
      <c r="J745" s="8" t="n">
        <v>9.82</v>
      </c>
      <c r="K745" s="8" t="n">
        <v>12.89</v>
      </c>
      <c r="L745" s="8" t="n">
        <v>11.88</v>
      </c>
      <c r="M745" s="8" t="n">
        <v>13.08</v>
      </c>
      <c r="N745" s="4" t="n">
        <v>12.07</v>
      </c>
    </row>
    <row r="746">
      <c r="A746" s="2" t="inlineStr">
        <is>
          <t>PEN0221</t>
        </is>
      </c>
      <c r="B746" s="8" t="inlineStr">
        <is>
          <t>2030-04-01 00:00:00</t>
        </is>
      </c>
      <c r="C746" s="8" t="n">
        <v>15.37</v>
      </c>
      <c r="D746" s="8" t="n">
        <v>17.87</v>
      </c>
      <c r="E746" s="8" t="n">
        <v>19.11</v>
      </c>
      <c r="F746" s="8" t="n">
        <v>19.24</v>
      </c>
      <c r="G746" s="8" t="n">
        <v>21.15</v>
      </c>
      <c r="H746" s="8" t="n">
        <v>18.16</v>
      </c>
      <c r="I746" s="8" t="n">
        <v>13.11</v>
      </c>
      <c r="J746" s="8" t="n">
        <v>13.47</v>
      </c>
      <c r="K746" s="8" t="n">
        <v>17.05</v>
      </c>
      <c r="L746" s="8" t="n">
        <v>15.37</v>
      </c>
      <c r="M746" s="8" t="n">
        <v>18.09</v>
      </c>
      <c r="N746" s="4" t="n">
        <v>15.86</v>
      </c>
    </row>
    <row r="747">
      <c r="A747" s="2" t="inlineStr">
        <is>
          <t>PEN0221</t>
        </is>
      </c>
      <c r="B747" s="8" t="inlineStr">
        <is>
          <t>2030-05-01 00:00:00</t>
        </is>
      </c>
      <c r="C747" s="8" t="n">
        <v>13.97</v>
      </c>
      <c r="D747" s="8" t="n">
        <v>18.52</v>
      </c>
      <c r="E747" s="8" t="n">
        <v>21.43</v>
      </c>
      <c r="F747" s="8" t="n">
        <v>18.18</v>
      </c>
      <c r="G747" s="8" t="n">
        <v>23.25</v>
      </c>
      <c r="H747" s="8" t="n">
        <v>17.07</v>
      </c>
      <c r="I747" s="8" t="n">
        <v>14.19</v>
      </c>
      <c r="J747" s="8" t="n">
        <v>14.47</v>
      </c>
      <c r="K747" s="8" t="n">
        <v>15.57</v>
      </c>
      <c r="L747" s="8" t="n">
        <v>14.9</v>
      </c>
      <c r="M747" s="8" t="n">
        <v>17.02</v>
      </c>
      <c r="N747" s="4" t="n">
        <v>15.37</v>
      </c>
    </row>
    <row r="748">
      <c r="A748" s="2" t="inlineStr">
        <is>
          <t>PEN0221</t>
        </is>
      </c>
      <c r="B748" s="8" t="inlineStr">
        <is>
          <t>2030-06-01 00:00:00</t>
        </is>
      </c>
      <c r="C748" s="8" t="n">
        <v>14.79</v>
      </c>
      <c r="D748" s="8" t="n">
        <v>18.81</v>
      </c>
      <c r="E748" s="8" t="n">
        <v>27.11</v>
      </c>
      <c r="F748" s="8" t="n">
        <v>18.75</v>
      </c>
      <c r="G748" s="8" t="n">
        <v>28.22</v>
      </c>
      <c r="H748" s="8" t="n">
        <v>18.3</v>
      </c>
      <c r="I748" s="8" t="n">
        <v>13.49</v>
      </c>
      <c r="J748" s="8" t="n">
        <v>12.87</v>
      </c>
      <c r="K748" s="8" t="n">
        <v>15.88</v>
      </c>
      <c r="L748" s="8" t="n">
        <v>15.07</v>
      </c>
      <c r="M748" s="8" t="n">
        <v>18.74</v>
      </c>
      <c r="N748" s="4" t="n">
        <v>17.23</v>
      </c>
    </row>
    <row r="749">
      <c r="A749" s="2" t="inlineStr">
        <is>
          <t>PEN0221</t>
        </is>
      </c>
      <c r="B749" s="8" t="inlineStr">
        <is>
          <t>2030-07-01 00:00:00</t>
        </is>
      </c>
      <c r="C749" s="8" t="n">
        <v>14.16</v>
      </c>
      <c r="D749" s="8" t="n">
        <v>17.23</v>
      </c>
      <c r="E749" s="8" t="n">
        <v>25.42</v>
      </c>
      <c r="F749" s="8" t="n">
        <v>18.97</v>
      </c>
      <c r="G749" s="8" t="n">
        <v>27.38</v>
      </c>
      <c r="H749" s="8" t="n">
        <v>18.08</v>
      </c>
      <c r="I749" s="8" t="n">
        <v>14.12</v>
      </c>
      <c r="J749" s="8" t="n">
        <v>13.58</v>
      </c>
      <c r="K749" s="8" t="n">
        <v>17.52</v>
      </c>
      <c r="L749" s="8" t="n">
        <v>15.07</v>
      </c>
      <c r="M749" s="8" t="n">
        <v>19.75</v>
      </c>
      <c r="N749" s="4" t="n">
        <v>16.9</v>
      </c>
    </row>
    <row r="750">
      <c r="A750" s="2" t="inlineStr">
        <is>
          <t>PEN0221</t>
        </is>
      </c>
      <c r="B750" s="8" t="inlineStr">
        <is>
          <t>2030-08-01 00:00:00</t>
        </is>
      </c>
      <c r="C750" s="8" t="n">
        <v>14.21</v>
      </c>
      <c r="D750" s="8" t="n">
        <v>17.8</v>
      </c>
      <c r="E750" s="8" t="n">
        <v>18.72</v>
      </c>
      <c r="F750" s="8" t="n">
        <v>17.27</v>
      </c>
      <c r="G750" s="8" t="n">
        <v>19.78</v>
      </c>
      <c r="H750" s="8" t="n">
        <v>17.89</v>
      </c>
      <c r="I750" s="8" t="n">
        <v>15.99</v>
      </c>
      <c r="J750" s="8" t="n">
        <v>15.62</v>
      </c>
      <c r="K750" s="8" t="n">
        <v>18.17</v>
      </c>
      <c r="L750" s="8" t="n">
        <v>16.9</v>
      </c>
      <c r="M750" s="8" t="n">
        <v>19.83</v>
      </c>
      <c r="N750" s="4" t="n">
        <v>17.53</v>
      </c>
    </row>
    <row r="751">
      <c r="A751" s="2" t="inlineStr">
        <is>
          <t>PEN0221</t>
        </is>
      </c>
      <c r="B751" s="8" t="inlineStr">
        <is>
          <t>2030-09-01 00:00:00</t>
        </is>
      </c>
      <c r="C751" s="8" t="n">
        <v>10.42</v>
      </c>
      <c r="D751" s="8" t="n">
        <v>17.98</v>
      </c>
      <c r="E751" s="8" t="n">
        <v>22.2</v>
      </c>
      <c r="F751" s="8" t="n">
        <v>19.19</v>
      </c>
      <c r="G751" s="8" t="n">
        <v>25.34</v>
      </c>
      <c r="H751" s="8" t="n">
        <v>18.7</v>
      </c>
      <c r="I751" s="8" t="n">
        <v>8.9</v>
      </c>
      <c r="J751" s="8" t="n">
        <v>9.81</v>
      </c>
      <c r="K751" s="8" t="n">
        <v>14.52</v>
      </c>
      <c r="L751" s="8" t="n">
        <v>12.87</v>
      </c>
      <c r="M751" s="8" t="n">
        <v>18.77</v>
      </c>
      <c r="N751" s="4" t="n">
        <v>15.26</v>
      </c>
    </row>
    <row r="752">
      <c r="A752" s="2" t="inlineStr">
        <is>
          <t>PEN0221</t>
        </is>
      </c>
      <c r="B752" s="8" t="inlineStr">
        <is>
          <t>2030-10-01 00:00:00</t>
        </is>
      </c>
      <c r="C752" s="8" t="n">
        <v>6.01</v>
      </c>
      <c r="D752" s="8" t="n">
        <v>8.08</v>
      </c>
      <c r="E752" s="8" t="n">
        <v>9.470000000000001</v>
      </c>
      <c r="F752" s="8" t="n">
        <v>8.119999999999999</v>
      </c>
      <c r="G752" s="8" t="n">
        <v>9.640000000000001</v>
      </c>
      <c r="H752" s="8" t="n">
        <v>9.550000000000001</v>
      </c>
      <c r="I752" s="8" t="n">
        <v>6.77</v>
      </c>
      <c r="J752" s="8" t="n">
        <v>6.68</v>
      </c>
      <c r="K752" s="8" t="n">
        <v>7.53</v>
      </c>
      <c r="L752" s="8" t="n">
        <v>6.49</v>
      </c>
      <c r="M752" s="8" t="n">
        <v>8.1</v>
      </c>
      <c r="N752" s="4" t="n">
        <v>7.84</v>
      </c>
    </row>
    <row r="753">
      <c r="A753" s="2" t="inlineStr">
        <is>
          <t>PEN0221</t>
        </is>
      </c>
      <c r="B753" s="8" t="inlineStr">
        <is>
          <t>2030-11-01 00:00:00</t>
        </is>
      </c>
      <c r="C753" s="8" t="n">
        <v>4.92</v>
      </c>
      <c r="D753" s="8" t="n">
        <v>7.56</v>
      </c>
      <c r="E753" s="8" t="n">
        <v>10.88</v>
      </c>
      <c r="F753" s="8" t="n">
        <v>10.17</v>
      </c>
      <c r="G753" s="8" t="n">
        <v>10.78</v>
      </c>
      <c r="H753" s="8" t="n">
        <v>8.77</v>
      </c>
      <c r="I753" s="8" t="n">
        <v>4.88</v>
      </c>
      <c r="J753" s="8" t="n">
        <v>4.37</v>
      </c>
      <c r="K753" s="8" t="n">
        <v>7.17</v>
      </c>
      <c r="L753" s="8" t="n">
        <v>6.24</v>
      </c>
      <c r="M753" s="8" t="n">
        <v>7.13</v>
      </c>
      <c r="N753" s="4" t="n">
        <v>6.76</v>
      </c>
    </row>
    <row r="754">
      <c r="A754" s="2" t="inlineStr">
        <is>
          <t>PEN0221</t>
        </is>
      </c>
      <c r="B754" s="8" t="inlineStr">
        <is>
          <t>2030-12-01 00:00:00</t>
        </is>
      </c>
      <c r="C754" s="8" t="n">
        <v>6.24</v>
      </c>
      <c r="D754" s="8" t="n">
        <v>6.86</v>
      </c>
      <c r="E754" s="8" t="n">
        <v>11.22</v>
      </c>
      <c r="F754" s="8" t="n">
        <v>10.36</v>
      </c>
      <c r="G754" s="8" t="n">
        <v>9.93</v>
      </c>
      <c r="H754" s="8" t="n">
        <v>8.16</v>
      </c>
      <c r="I754" s="8" t="n">
        <v>5.95</v>
      </c>
      <c r="J754" s="8" t="n">
        <v>5.56</v>
      </c>
      <c r="K754" s="8" t="n">
        <v>7.76</v>
      </c>
      <c r="L754" s="8" t="n">
        <v>7.59</v>
      </c>
      <c r="M754" s="8" t="n">
        <v>8.16</v>
      </c>
      <c r="N754" s="4" t="n">
        <v>7.22</v>
      </c>
    </row>
    <row r="755">
      <c r="A755" s="2" t="inlineStr">
        <is>
          <t>PEN0221</t>
        </is>
      </c>
      <c r="B755" s="8" t="inlineStr">
        <is>
          <t>2031-01-01 00:00:00</t>
        </is>
      </c>
      <c r="C755" s="8" t="n">
        <v>10.84</v>
      </c>
      <c r="D755" s="8" t="n">
        <v>11.44</v>
      </c>
      <c r="E755" s="8" t="n">
        <v>14.78</v>
      </c>
      <c r="F755" s="8" t="n">
        <v>15.91</v>
      </c>
      <c r="G755" s="8" t="n">
        <v>16.71</v>
      </c>
      <c r="H755" s="8" t="n">
        <v>14.44</v>
      </c>
      <c r="I755" s="8" t="n">
        <v>8.26</v>
      </c>
      <c r="J755" s="8" t="n">
        <v>7.21</v>
      </c>
      <c r="K755" s="8" t="n">
        <v>9.31</v>
      </c>
      <c r="L755" s="8" t="n">
        <v>9.720000000000001</v>
      </c>
      <c r="M755" s="8" t="n">
        <v>11.48</v>
      </c>
      <c r="N755" s="4" t="n">
        <v>10.36</v>
      </c>
    </row>
    <row r="756">
      <c r="A756" s="2" t="inlineStr">
        <is>
          <t>PEN0221</t>
        </is>
      </c>
      <c r="B756" s="8" t="inlineStr">
        <is>
          <t>2031-02-01 00:00:00</t>
        </is>
      </c>
      <c r="C756" s="8" t="n">
        <v>9.93</v>
      </c>
      <c r="D756" s="8" t="n">
        <v>11.98</v>
      </c>
      <c r="E756" s="8" t="n">
        <v>14.85</v>
      </c>
      <c r="F756" s="8" t="n">
        <v>14.36</v>
      </c>
      <c r="G756" s="8" t="n">
        <v>16.02</v>
      </c>
      <c r="H756" s="8" t="n">
        <v>13.96</v>
      </c>
      <c r="I756" s="8" t="n">
        <v>8.779999999999999</v>
      </c>
      <c r="J756" s="8" t="n">
        <v>7.37</v>
      </c>
      <c r="K756" s="8" t="n">
        <v>10.9</v>
      </c>
      <c r="L756" s="8" t="n">
        <v>11.12</v>
      </c>
      <c r="M756" s="8" t="n">
        <v>12.95</v>
      </c>
      <c r="N756" s="4" t="n">
        <v>11.53</v>
      </c>
    </row>
    <row r="757">
      <c r="A757" s="2" t="inlineStr">
        <is>
          <t>PEN0221</t>
        </is>
      </c>
      <c r="B757" s="8" t="inlineStr">
        <is>
          <t>2031-03-01 00:00:00</t>
        </is>
      </c>
      <c r="C757" s="8" t="n">
        <v>10.24</v>
      </c>
      <c r="D757" s="8" t="n">
        <v>12.52</v>
      </c>
      <c r="E757" s="8" t="n">
        <v>14.2</v>
      </c>
      <c r="F757" s="8" t="n">
        <v>13.48</v>
      </c>
      <c r="G757" s="8" t="n">
        <v>14.29</v>
      </c>
      <c r="H757" s="8" t="n">
        <v>13.02</v>
      </c>
      <c r="I757" s="8" t="n">
        <v>10.05</v>
      </c>
      <c r="J757" s="8" t="n">
        <v>9.82</v>
      </c>
      <c r="K757" s="8" t="n">
        <v>12.89</v>
      </c>
      <c r="L757" s="8" t="n">
        <v>11.88</v>
      </c>
      <c r="M757" s="8" t="n">
        <v>13.08</v>
      </c>
      <c r="N757" s="4" t="n">
        <v>12.07</v>
      </c>
    </row>
    <row r="758">
      <c r="A758" s="2" t="inlineStr">
        <is>
          <t>PEN0221</t>
        </is>
      </c>
      <c r="B758" s="8" t="inlineStr">
        <is>
          <t>2031-04-01 00:00:00</t>
        </is>
      </c>
      <c r="C758" s="8" t="n">
        <v>15.37</v>
      </c>
      <c r="D758" s="8" t="n">
        <v>17.87</v>
      </c>
      <c r="E758" s="8" t="n">
        <v>19.11</v>
      </c>
      <c r="F758" s="8" t="n">
        <v>19.24</v>
      </c>
      <c r="G758" s="8" t="n">
        <v>21.15</v>
      </c>
      <c r="H758" s="8" t="n">
        <v>18.16</v>
      </c>
      <c r="I758" s="8" t="n">
        <v>13.11</v>
      </c>
      <c r="J758" s="8" t="n">
        <v>13.47</v>
      </c>
      <c r="K758" s="8" t="n">
        <v>17.05</v>
      </c>
      <c r="L758" s="8" t="n">
        <v>15.37</v>
      </c>
      <c r="M758" s="8" t="n">
        <v>18.09</v>
      </c>
      <c r="N758" s="4" t="n">
        <v>15.86</v>
      </c>
    </row>
    <row r="759">
      <c r="A759" s="2" t="inlineStr">
        <is>
          <t>PEN0221</t>
        </is>
      </c>
      <c r="B759" s="8" t="inlineStr">
        <is>
          <t>2031-05-01 00:00:00</t>
        </is>
      </c>
      <c r="C759" s="8" t="n">
        <v>13.97</v>
      </c>
      <c r="D759" s="8" t="n">
        <v>18.52</v>
      </c>
      <c r="E759" s="8" t="n">
        <v>21.43</v>
      </c>
      <c r="F759" s="8" t="n">
        <v>18.18</v>
      </c>
      <c r="G759" s="8" t="n">
        <v>23.25</v>
      </c>
      <c r="H759" s="8" t="n">
        <v>17.07</v>
      </c>
      <c r="I759" s="8" t="n">
        <v>14.19</v>
      </c>
      <c r="J759" s="8" t="n">
        <v>14.47</v>
      </c>
      <c r="K759" s="8" t="n">
        <v>15.57</v>
      </c>
      <c r="L759" s="8" t="n">
        <v>14.9</v>
      </c>
      <c r="M759" s="8" t="n">
        <v>17.02</v>
      </c>
      <c r="N759" s="4" t="n">
        <v>15.37</v>
      </c>
    </row>
    <row r="760">
      <c r="A760" s="2" t="inlineStr">
        <is>
          <t>PEN0221</t>
        </is>
      </c>
      <c r="B760" s="8" t="inlineStr">
        <is>
          <t>2031-06-01 00:00:00</t>
        </is>
      </c>
      <c r="C760" s="8" t="n">
        <v>14.79</v>
      </c>
      <c r="D760" s="8" t="n">
        <v>18.81</v>
      </c>
      <c r="E760" s="8" t="n">
        <v>27.11</v>
      </c>
      <c r="F760" s="8" t="n">
        <v>18.75</v>
      </c>
      <c r="G760" s="8" t="n">
        <v>28.22</v>
      </c>
      <c r="H760" s="8" t="n">
        <v>18.3</v>
      </c>
      <c r="I760" s="8" t="n">
        <v>13.49</v>
      </c>
      <c r="J760" s="8" t="n">
        <v>12.87</v>
      </c>
      <c r="K760" s="8" t="n">
        <v>15.88</v>
      </c>
      <c r="L760" s="8" t="n">
        <v>15.07</v>
      </c>
      <c r="M760" s="8" t="n">
        <v>18.74</v>
      </c>
      <c r="N760" s="4" t="n">
        <v>17.23</v>
      </c>
    </row>
    <row r="761">
      <c r="A761" s="2" t="inlineStr">
        <is>
          <t>INV0331</t>
        </is>
      </c>
      <c r="B761" s="8" t="inlineStr">
        <is>
          <t>2026-07-01 00:00:00</t>
        </is>
      </c>
      <c r="C761" s="8" t="n">
        <v>12.69</v>
      </c>
      <c r="D761" s="8" t="n">
        <v>14.4</v>
      </c>
      <c r="E761" s="8" t="n">
        <v>21.05</v>
      </c>
      <c r="F761" s="8" t="n">
        <v>14.91</v>
      </c>
      <c r="G761" s="8" t="n">
        <v>22.26</v>
      </c>
      <c r="H761" s="8" t="n">
        <v>14.84</v>
      </c>
      <c r="I761" s="8" t="n">
        <v>12.6</v>
      </c>
      <c r="J761" s="8" t="n">
        <v>11.88</v>
      </c>
      <c r="K761" s="8" t="n">
        <v>14.15</v>
      </c>
      <c r="L761" s="8" t="n">
        <v>12.39</v>
      </c>
      <c r="M761" s="8" t="n">
        <v>15.59</v>
      </c>
      <c r="N761" s="4" t="n">
        <v>14.04</v>
      </c>
    </row>
    <row r="762">
      <c r="A762" s="2" t="inlineStr">
        <is>
          <t>INV0331</t>
        </is>
      </c>
      <c r="B762" s="8" t="inlineStr">
        <is>
          <t>2026-08-01 00:00:00</t>
        </is>
      </c>
      <c r="C762" s="8" t="n">
        <v>13</v>
      </c>
      <c r="D762" s="8" t="n">
        <v>14.93</v>
      </c>
      <c r="E762" s="8" t="n">
        <v>14.89</v>
      </c>
      <c r="F762" s="8" t="n">
        <v>13.94</v>
      </c>
      <c r="G762" s="8" t="n">
        <v>15.53</v>
      </c>
      <c r="H762" s="8" t="n">
        <v>15.1</v>
      </c>
      <c r="I762" s="8" t="n">
        <v>14.64</v>
      </c>
      <c r="J762" s="8" t="n">
        <v>14.03</v>
      </c>
      <c r="K762" s="8" t="n">
        <v>15.69</v>
      </c>
      <c r="L762" s="8" t="n">
        <v>14.62</v>
      </c>
      <c r="M762" s="8" t="n">
        <v>16.52</v>
      </c>
      <c r="N762" s="4" t="n">
        <v>15.26</v>
      </c>
    </row>
    <row r="763">
      <c r="A763" s="2" t="inlineStr">
        <is>
          <t>INV0331</t>
        </is>
      </c>
      <c r="B763" s="8" t="inlineStr">
        <is>
          <t>2026-09-01 00:00:00</t>
        </is>
      </c>
      <c r="C763" s="8" t="n">
        <v>6.76</v>
      </c>
      <c r="D763" s="8" t="n">
        <v>10.66</v>
      </c>
      <c r="E763" s="8" t="n">
        <v>12.32</v>
      </c>
      <c r="F763" s="8" t="n">
        <v>10.32</v>
      </c>
      <c r="G763" s="8" t="n">
        <v>13.87</v>
      </c>
      <c r="H763" s="8" t="n">
        <v>11.23</v>
      </c>
      <c r="I763" s="8" t="n">
        <v>5.97</v>
      </c>
      <c r="J763" s="8" t="n">
        <v>6.07</v>
      </c>
      <c r="K763" s="8" t="n">
        <v>8.33</v>
      </c>
      <c r="L763" s="8" t="n">
        <v>7.41</v>
      </c>
      <c r="M763" s="8" t="n">
        <v>10.82</v>
      </c>
      <c r="N763" s="4" t="n">
        <v>8.710000000000001</v>
      </c>
    </row>
    <row r="764">
      <c r="A764" s="2" t="inlineStr">
        <is>
          <t>INV0331</t>
        </is>
      </c>
      <c r="B764" s="8" t="inlineStr">
        <is>
          <t>2026-10-01 00:00:00</t>
        </is>
      </c>
      <c r="C764" s="8" t="n">
        <v>6.5</v>
      </c>
      <c r="D764" s="8" t="n">
        <v>7.83</v>
      </c>
      <c r="E764" s="8" t="n">
        <v>8.85</v>
      </c>
      <c r="F764" s="8" t="n">
        <v>7.66</v>
      </c>
      <c r="G764" s="8" t="n">
        <v>9.25</v>
      </c>
      <c r="H764" s="8" t="n">
        <v>9.74</v>
      </c>
      <c r="I764" s="8" t="n">
        <v>7.35</v>
      </c>
      <c r="J764" s="8" t="n">
        <v>7</v>
      </c>
      <c r="K764" s="8" t="n">
        <v>7.65</v>
      </c>
      <c r="L764" s="8" t="n">
        <v>6.39</v>
      </c>
      <c r="M764" s="8" t="n">
        <v>8.220000000000001</v>
      </c>
      <c r="N764" s="4" t="n">
        <v>8.220000000000001</v>
      </c>
    </row>
    <row r="765">
      <c r="A765" s="2" t="inlineStr">
        <is>
          <t>INV0331</t>
        </is>
      </c>
      <c r="B765" s="8" t="inlineStr">
        <is>
          <t>2026-11-01 00:00:00</t>
        </is>
      </c>
      <c r="C765" s="8" t="n">
        <v>5.14</v>
      </c>
      <c r="D765" s="8" t="n">
        <v>7.09</v>
      </c>
      <c r="E765" s="8" t="n">
        <v>8.699999999999999</v>
      </c>
      <c r="F765" s="8" t="n">
        <v>8.039999999999999</v>
      </c>
      <c r="G765" s="8" t="n">
        <v>9.32</v>
      </c>
      <c r="H765" s="8" t="n">
        <v>8.32</v>
      </c>
      <c r="I765" s="8" t="n">
        <v>5.16</v>
      </c>
      <c r="J765" s="8" t="n">
        <v>4.53</v>
      </c>
      <c r="K765" s="8" t="n">
        <v>6.87</v>
      </c>
      <c r="L765" s="8" t="n">
        <v>5.92</v>
      </c>
      <c r="M765" s="8" t="n">
        <v>6.87</v>
      </c>
      <c r="N765" s="4" t="n">
        <v>6.75</v>
      </c>
    </row>
    <row r="766">
      <c r="A766" s="2" t="inlineStr">
        <is>
          <t>INV0331</t>
        </is>
      </c>
      <c r="B766" s="8" t="inlineStr">
        <is>
          <t>2026-12-01 00:00:00</t>
        </is>
      </c>
      <c r="C766" s="8" t="n">
        <v>6.01</v>
      </c>
      <c r="D766" s="8" t="n">
        <v>5.93</v>
      </c>
      <c r="E766" s="8" t="n">
        <v>7.84</v>
      </c>
      <c r="F766" s="8" t="n">
        <v>7.91</v>
      </c>
      <c r="G766" s="8" t="n">
        <v>7.51</v>
      </c>
      <c r="H766" s="8" t="n">
        <v>7</v>
      </c>
      <c r="I766" s="8" t="n">
        <v>5.82</v>
      </c>
      <c r="J766" s="8" t="n">
        <v>5.35</v>
      </c>
      <c r="K766" s="8" t="n">
        <v>6.92</v>
      </c>
      <c r="L766" s="8" t="n">
        <v>6.81</v>
      </c>
      <c r="M766" s="8" t="n">
        <v>7.1</v>
      </c>
      <c r="N766" s="4" t="n">
        <v>6.63</v>
      </c>
    </row>
    <row r="767">
      <c r="A767" s="2" t="inlineStr">
        <is>
          <t>INV0331</t>
        </is>
      </c>
      <c r="B767" s="8" t="inlineStr">
        <is>
          <t>2027-01-01 00:00:00</t>
        </is>
      </c>
      <c r="C767" s="8" t="n">
        <v>11.48</v>
      </c>
      <c r="D767" s="8" t="n">
        <v>11.51</v>
      </c>
      <c r="E767" s="8" t="n">
        <v>13.64</v>
      </c>
      <c r="F767" s="8" t="n">
        <v>14.22</v>
      </c>
      <c r="G767" s="8" t="n">
        <v>14.95</v>
      </c>
      <c r="H767" s="8" t="n">
        <v>14.2</v>
      </c>
      <c r="I767" s="8" t="n">
        <v>8.81</v>
      </c>
      <c r="J767" s="8" t="n">
        <v>7.58</v>
      </c>
      <c r="K767" s="8" t="n">
        <v>9.220000000000001</v>
      </c>
      <c r="L767" s="8" t="n">
        <v>9.58</v>
      </c>
      <c r="M767" s="8" t="n">
        <v>11.2</v>
      </c>
      <c r="N767" s="4" t="n">
        <v>10.6</v>
      </c>
    </row>
    <row r="768">
      <c r="A768" s="2" t="inlineStr">
        <is>
          <t>INV0331</t>
        </is>
      </c>
      <c r="B768" s="8" t="inlineStr">
        <is>
          <t>2027-02-01 00:00:00</t>
        </is>
      </c>
      <c r="C768" s="8" t="n">
        <v>12.14</v>
      </c>
      <c r="D768" s="8" t="n">
        <v>12.78</v>
      </c>
      <c r="E768" s="8" t="n">
        <v>13.49</v>
      </c>
      <c r="F768" s="8" t="n">
        <v>12.74</v>
      </c>
      <c r="G768" s="8" t="n">
        <v>15.3</v>
      </c>
      <c r="H768" s="8" t="n">
        <v>15.11</v>
      </c>
      <c r="I768" s="8" t="n">
        <v>10.34</v>
      </c>
      <c r="J768" s="8" t="n">
        <v>7.87</v>
      </c>
      <c r="K768" s="8" t="n">
        <v>8.59</v>
      </c>
      <c r="L768" s="8" t="n">
        <v>8.57</v>
      </c>
      <c r="M768" s="8" t="n">
        <v>10.1</v>
      </c>
      <c r="N768" s="4" t="n">
        <v>10.48</v>
      </c>
    </row>
    <row r="769">
      <c r="A769" s="2" t="inlineStr">
        <is>
          <t>INV0331</t>
        </is>
      </c>
      <c r="B769" s="8" t="inlineStr">
        <is>
          <t>2027-03-01 00:00:00</t>
        </is>
      </c>
      <c r="C769" s="8" t="n">
        <v>11.5</v>
      </c>
      <c r="D769" s="8" t="n">
        <v>12.59</v>
      </c>
      <c r="E769" s="8" t="n">
        <v>12.64</v>
      </c>
      <c r="F769" s="8" t="n">
        <v>11.73</v>
      </c>
      <c r="G769" s="8" t="n">
        <v>13.17</v>
      </c>
      <c r="H769" s="8" t="n">
        <v>13.19</v>
      </c>
      <c r="I769" s="8" t="n">
        <v>11.72</v>
      </c>
      <c r="J769" s="8" t="n">
        <v>11.32</v>
      </c>
      <c r="K769" s="8" t="n">
        <v>12.57</v>
      </c>
      <c r="L769" s="8" t="n">
        <v>11.8</v>
      </c>
      <c r="M769" s="8" t="n">
        <v>13.1</v>
      </c>
      <c r="N769" s="4" t="n">
        <v>12.92</v>
      </c>
    </row>
    <row r="770">
      <c r="A770" s="2" t="inlineStr">
        <is>
          <t>INV0331</t>
        </is>
      </c>
      <c r="B770" s="8" t="inlineStr">
        <is>
          <t>2027-04-01 00:00:00</t>
        </is>
      </c>
      <c r="C770" s="8" t="n">
        <v>17</v>
      </c>
      <c r="D770" s="8" t="n">
        <v>17.92</v>
      </c>
      <c r="E770" s="8" t="n">
        <v>17.22</v>
      </c>
      <c r="F770" s="8" t="n">
        <v>16.91</v>
      </c>
      <c r="G770" s="8" t="n">
        <v>19.23</v>
      </c>
      <c r="H770" s="8" t="n">
        <v>18.23</v>
      </c>
      <c r="I770" s="8" t="n">
        <v>15.25</v>
      </c>
      <c r="J770" s="8" t="n">
        <v>14.61</v>
      </c>
      <c r="K770" s="8" t="n">
        <v>16.03</v>
      </c>
      <c r="L770" s="8" t="n">
        <v>14.98</v>
      </c>
      <c r="M770" s="8" t="n">
        <v>17.83</v>
      </c>
      <c r="N770" s="4" t="n">
        <v>16.41</v>
      </c>
    </row>
    <row r="771">
      <c r="A771" s="2" t="inlineStr">
        <is>
          <t>INV0331</t>
        </is>
      </c>
      <c r="B771" s="8" t="inlineStr">
        <is>
          <t>2027-05-01 00:00:00</t>
        </is>
      </c>
      <c r="C771" s="8" t="n">
        <v>15.56</v>
      </c>
      <c r="D771" s="8" t="n">
        <v>18.41</v>
      </c>
      <c r="E771" s="8" t="n">
        <v>19.32</v>
      </c>
      <c r="F771" s="8" t="n">
        <v>16.35</v>
      </c>
      <c r="G771" s="8" t="n">
        <v>21.26</v>
      </c>
      <c r="H771" s="8" t="n">
        <v>16.87</v>
      </c>
      <c r="I771" s="8" t="n">
        <v>15.38</v>
      </c>
      <c r="J771" s="8" t="n">
        <v>15.33</v>
      </c>
      <c r="K771" s="8" t="n">
        <v>15.62</v>
      </c>
      <c r="L771" s="8" t="n">
        <v>14.96</v>
      </c>
      <c r="M771" s="8" t="n">
        <v>16.33</v>
      </c>
      <c r="N771" s="4" t="n">
        <v>15.62</v>
      </c>
    </row>
    <row r="772">
      <c r="A772" s="2" t="inlineStr">
        <is>
          <t>INV0331</t>
        </is>
      </c>
      <c r="B772" s="8" t="inlineStr">
        <is>
          <t>2027-06-01 00:00:00</t>
        </is>
      </c>
      <c r="C772" s="8" t="n">
        <v>15.49</v>
      </c>
      <c r="D772" s="8" t="n">
        <v>18.25</v>
      </c>
      <c r="E772" s="8" t="n">
        <v>24.8</v>
      </c>
      <c r="F772" s="8" t="n">
        <v>16.54</v>
      </c>
      <c r="G772" s="8" t="n">
        <v>25.51</v>
      </c>
      <c r="H772" s="8" t="n">
        <v>17.16</v>
      </c>
      <c r="I772" s="8" t="n">
        <v>14.93</v>
      </c>
      <c r="J772" s="8" t="n">
        <v>13.94</v>
      </c>
      <c r="K772" s="8" t="n">
        <v>15.86</v>
      </c>
      <c r="L772" s="8" t="n">
        <v>14.96</v>
      </c>
      <c r="M772" s="8" t="n">
        <v>17.64</v>
      </c>
      <c r="N772" s="4" t="n">
        <v>17.39</v>
      </c>
    </row>
    <row r="773">
      <c r="A773" s="2" t="inlineStr">
        <is>
          <t>INV0331</t>
        </is>
      </c>
      <c r="B773" s="8" t="inlineStr">
        <is>
          <t>2027-07-01 00:00:00</t>
        </is>
      </c>
      <c r="C773" s="8" t="n">
        <v>14.92</v>
      </c>
      <c r="D773" s="8" t="n">
        <v>16.96</v>
      </c>
      <c r="E773" s="8" t="n">
        <v>23.73</v>
      </c>
      <c r="F773" s="8" t="n">
        <v>17.56</v>
      </c>
      <c r="G773" s="8" t="n">
        <v>25.16</v>
      </c>
      <c r="H773" s="8" t="n">
        <v>17.48</v>
      </c>
      <c r="I773" s="8" t="n">
        <v>14.81</v>
      </c>
      <c r="J773" s="8" t="n">
        <v>13.96</v>
      </c>
      <c r="K773" s="8" t="n">
        <v>16.66</v>
      </c>
      <c r="L773" s="8" t="n">
        <v>14.57</v>
      </c>
      <c r="M773" s="8" t="n">
        <v>18.37</v>
      </c>
      <c r="N773" s="4" t="n">
        <v>16.53</v>
      </c>
    </row>
    <row r="774">
      <c r="A774" s="2" t="inlineStr">
        <is>
          <t>INV0331</t>
        </is>
      </c>
      <c r="B774" s="8" t="inlineStr">
        <is>
          <t>2027-08-01 00:00:00</t>
        </is>
      </c>
      <c r="C774" s="8" t="n">
        <v>14.86</v>
      </c>
      <c r="D774" s="8" t="n">
        <v>17.09</v>
      </c>
      <c r="E774" s="8" t="n">
        <v>17.05</v>
      </c>
      <c r="F774" s="8" t="n">
        <v>15.95</v>
      </c>
      <c r="G774" s="8" t="n">
        <v>17.78</v>
      </c>
      <c r="H774" s="8" t="n">
        <v>17.28</v>
      </c>
      <c r="I774" s="8" t="n">
        <v>16.75</v>
      </c>
      <c r="J774" s="8" t="n">
        <v>16.05</v>
      </c>
      <c r="K774" s="8" t="n">
        <v>17.97</v>
      </c>
      <c r="L774" s="8" t="n">
        <v>16.73</v>
      </c>
      <c r="M774" s="8" t="n">
        <v>18.93</v>
      </c>
      <c r="N774" s="4" t="n">
        <v>17.47</v>
      </c>
    </row>
    <row r="775">
      <c r="A775" s="2" t="inlineStr">
        <is>
          <t>INV0331</t>
        </is>
      </c>
      <c r="B775" s="8" t="inlineStr">
        <is>
          <t>2027-09-01 00:00:00</t>
        </is>
      </c>
      <c r="C775" s="8" t="n">
        <v>10.62</v>
      </c>
      <c r="D775" s="8" t="n">
        <v>16.93</v>
      </c>
      <c r="E775" s="8" t="n">
        <v>19.61</v>
      </c>
      <c r="F775" s="8" t="n">
        <v>16.38</v>
      </c>
      <c r="G775" s="8" t="n">
        <v>22.12</v>
      </c>
      <c r="H775" s="8" t="n">
        <v>17.84</v>
      </c>
      <c r="I775" s="8" t="n">
        <v>9.34</v>
      </c>
      <c r="J775" s="8" t="n">
        <v>9.5</v>
      </c>
      <c r="K775" s="8" t="n">
        <v>13.17</v>
      </c>
      <c r="L775" s="8" t="n">
        <v>11.68</v>
      </c>
      <c r="M775" s="8" t="n">
        <v>17.19</v>
      </c>
      <c r="N775" s="4" t="n">
        <v>13.78</v>
      </c>
    </row>
    <row r="776">
      <c r="A776" s="2" t="inlineStr">
        <is>
          <t>INV0331</t>
        </is>
      </c>
      <c r="B776" s="8" t="inlineStr">
        <is>
          <t>2027-10-01 00:00:00</t>
        </is>
      </c>
      <c r="C776" s="8" t="n">
        <v>5.75</v>
      </c>
      <c r="D776" s="8" t="n">
        <v>6.9</v>
      </c>
      <c r="E776" s="8" t="n">
        <v>7.79</v>
      </c>
      <c r="F776" s="8" t="n">
        <v>6.75</v>
      </c>
      <c r="G776" s="8" t="n">
        <v>8.140000000000001</v>
      </c>
      <c r="H776" s="8" t="n">
        <v>8.57</v>
      </c>
      <c r="I776" s="8" t="n">
        <v>6.48</v>
      </c>
      <c r="J776" s="8" t="n">
        <v>6.18</v>
      </c>
      <c r="K776" s="8" t="n">
        <v>6.74</v>
      </c>
      <c r="L776" s="8" t="n">
        <v>5.65</v>
      </c>
      <c r="M776" s="8" t="n">
        <v>7.24</v>
      </c>
      <c r="N776" s="4" t="n">
        <v>7.25</v>
      </c>
    </row>
    <row r="777">
      <c r="A777" s="2" t="inlineStr">
        <is>
          <t>INV0331</t>
        </is>
      </c>
      <c r="B777" s="8" t="inlineStr">
        <is>
          <t>2027-11-01 00:00:00</t>
        </is>
      </c>
      <c r="C777" s="8" t="n">
        <v>5.16</v>
      </c>
      <c r="D777" s="8" t="n">
        <v>7.11</v>
      </c>
      <c r="E777" s="8" t="n">
        <v>8.720000000000001</v>
      </c>
      <c r="F777" s="8" t="n">
        <v>8.06</v>
      </c>
      <c r="G777" s="8" t="n">
        <v>9.35</v>
      </c>
      <c r="H777" s="8" t="n">
        <v>8.35</v>
      </c>
      <c r="I777" s="8" t="n">
        <v>5.18</v>
      </c>
      <c r="J777" s="8" t="n">
        <v>4.55</v>
      </c>
      <c r="K777" s="8" t="n">
        <v>6.89</v>
      </c>
      <c r="L777" s="8" t="n">
        <v>5.93</v>
      </c>
      <c r="M777" s="8" t="n">
        <v>6.89</v>
      </c>
      <c r="N777" s="4" t="n">
        <v>6.77</v>
      </c>
    </row>
    <row r="778">
      <c r="A778" s="2" t="inlineStr">
        <is>
          <t>INV0331</t>
        </is>
      </c>
      <c r="B778" s="8" t="inlineStr">
        <is>
          <t>2027-12-01 00:00:00</t>
        </is>
      </c>
      <c r="C778" s="8" t="n">
        <v>6.5</v>
      </c>
      <c r="D778" s="8" t="n">
        <v>6.41</v>
      </c>
      <c r="E778" s="8" t="n">
        <v>8.49</v>
      </c>
      <c r="F778" s="8" t="n">
        <v>8.56</v>
      </c>
      <c r="G778" s="8" t="n">
        <v>8.130000000000001</v>
      </c>
      <c r="H778" s="8" t="n">
        <v>7.57</v>
      </c>
      <c r="I778" s="8" t="n">
        <v>6.3</v>
      </c>
      <c r="J778" s="8" t="n">
        <v>5.78</v>
      </c>
      <c r="K778" s="8" t="n">
        <v>7.49</v>
      </c>
      <c r="L778" s="8" t="n">
        <v>7.36</v>
      </c>
      <c r="M778" s="8" t="n">
        <v>7.69</v>
      </c>
      <c r="N778" s="4" t="n">
        <v>7.17</v>
      </c>
    </row>
    <row r="779">
      <c r="A779" s="2" t="inlineStr">
        <is>
          <t>INV0331</t>
        </is>
      </c>
      <c r="B779" s="8" t="inlineStr">
        <is>
          <t>2028-01-01 00:00:00</t>
        </is>
      </c>
      <c r="C779" s="8" t="n">
        <v>11.22</v>
      </c>
      <c r="D779" s="8" t="n">
        <v>11.26</v>
      </c>
      <c r="E779" s="8" t="n">
        <v>13.33</v>
      </c>
      <c r="F779" s="8" t="n">
        <v>13.9</v>
      </c>
      <c r="G779" s="8" t="n">
        <v>14.61</v>
      </c>
      <c r="H779" s="8" t="n">
        <v>13.89</v>
      </c>
      <c r="I779" s="8" t="n">
        <v>8.619999999999999</v>
      </c>
      <c r="J779" s="8" t="n">
        <v>7.42</v>
      </c>
      <c r="K779" s="8" t="n">
        <v>9.029999999999999</v>
      </c>
      <c r="L779" s="8" t="n">
        <v>9.369999999999999</v>
      </c>
      <c r="M779" s="8" t="n">
        <v>10.95</v>
      </c>
      <c r="N779" s="4" t="n">
        <v>10.37</v>
      </c>
    </row>
    <row r="780">
      <c r="A780" s="2" t="inlineStr">
        <is>
          <t>INV0331</t>
        </is>
      </c>
      <c r="B780" s="8" t="inlineStr">
        <is>
          <t>2028-02-01 00:00:00</t>
        </is>
      </c>
      <c r="C780" s="8" t="n">
        <v>11.83</v>
      </c>
      <c r="D780" s="8" t="n">
        <v>12.45</v>
      </c>
      <c r="E780" s="8" t="n">
        <v>13.14</v>
      </c>
      <c r="F780" s="8" t="n">
        <v>12.41</v>
      </c>
      <c r="G780" s="8" t="n">
        <v>14.9</v>
      </c>
      <c r="H780" s="8" t="n">
        <v>14.72</v>
      </c>
      <c r="I780" s="8" t="n">
        <v>10.08</v>
      </c>
      <c r="J780" s="8" t="n">
        <v>7.68</v>
      </c>
      <c r="K780" s="8" t="n">
        <v>8.380000000000001</v>
      </c>
      <c r="L780" s="8" t="n">
        <v>8.359999999999999</v>
      </c>
      <c r="M780" s="8" t="n">
        <v>9.84</v>
      </c>
      <c r="N780" s="4" t="n">
        <v>10.21</v>
      </c>
    </row>
    <row r="781">
      <c r="A781" s="2" t="inlineStr">
        <is>
          <t>INV0331</t>
        </is>
      </c>
      <c r="B781" s="8" t="inlineStr">
        <is>
          <t>2028-03-01 00:00:00</t>
        </is>
      </c>
      <c r="C781" s="8" t="n">
        <v>11.24</v>
      </c>
      <c r="D781" s="8" t="n">
        <v>12.29</v>
      </c>
      <c r="E781" s="8" t="n">
        <v>12.35</v>
      </c>
      <c r="F781" s="8" t="n">
        <v>11.46</v>
      </c>
      <c r="G781" s="8" t="n">
        <v>12.86</v>
      </c>
      <c r="H781" s="8" t="n">
        <v>12.88</v>
      </c>
      <c r="I781" s="8" t="n">
        <v>11.45</v>
      </c>
      <c r="J781" s="8" t="n">
        <v>11.06</v>
      </c>
      <c r="K781" s="8" t="n">
        <v>12.28</v>
      </c>
      <c r="L781" s="8" t="n">
        <v>11.53</v>
      </c>
      <c r="M781" s="8" t="n">
        <v>12.8</v>
      </c>
      <c r="N781" s="4" t="n">
        <v>12.62</v>
      </c>
    </row>
    <row r="782">
      <c r="A782" s="2" t="inlineStr">
        <is>
          <t>INV0331</t>
        </is>
      </c>
      <c r="B782" s="8" t="inlineStr">
        <is>
          <t>2028-04-01 00:00:00</t>
        </is>
      </c>
      <c r="C782" s="8" t="n">
        <v>16.49</v>
      </c>
      <c r="D782" s="8" t="n">
        <v>17.37</v>
      </c>
      <c r="E782" s="8" t="n">
        <v>16.7</v>
      </c>
      <c r="F782" s="8" t="n">
        <v>16.4</v>
      </c>
      <c r="G782" s="8" t="n">
        <v>18.64</v>
      </c>
      <c r="H782" s="8" t="n">
        <v>17.68</v>
      </c>
      <c r="I782" s="8" t="n">
        <v>14.79</v>
      </c>
      <c r="J782" s="8" t="n">
        <v>14.17</v>
      </c>
      <c r="K782" s="8" t="n">
        <v>15.55</v>
      </c>
      <c r="L782" s="8" t="n">
        <v>14.53</v>
      </c>
      <c r="M782" s="8" t="n">
        <v>17.29</v>
      </c>
      <c r="N782" s="4" t="n">
        <v>15.91</v>
      </c>
    </row>
    <row r="783">
      <c r="A783" s="2" t="inlineStr">
        <is>
          <t>INV0331</t>
        </is>
      </c>
      <c r="B783" s="8" t="inlineStr">
        <is>
          <t>2028-05-01 00:00:00</t>
        </is>
      </c>
      <c r="C783" s="8" t="n">
        <v>14.75</v>
      </c>
      <c r="D783" s="8" t="n">
        <v>17.44</v>
      </c>
      <c r="E783" s="8" t="n">
        <v>18.3</v>
      </c>
      <c r="F783" s="8" t="n">
        <v>15.5</v>
      </c>
      <c r="G783" s="8" t="n">
        <v>20.13</v>
      </c>
      <c r="H783" s="8" t="n">
        <v>15.98</v>
      </c>
      <c r="I783" s="8" t="n">
        <v>14.58</v>
      </c>
      <c r="J783" s="8" t="n">
        <v>14.53</v>
      </c>
      <c r="K783" s="8" t="n">
        <v>14.81</v>
      </c>
      <c r="L783" s="8" t="n">
        <v>14.18</v>
      </c>
      <c r="M783" s="8" t="n">
        <v>15.47</v>
      </c>
      <c r="N783" s="4" t="n">
        <v>14.8</v>
      </c>
    </row>
    <row r="784">
      <c r="A784" s="2" t="inlineStr">
        <is>
          <t>INV0331</t>
        </is>
      </c>
      <c r="B784" s="8" t="inlineStr">
        <is>
          <t>2028-06-01 00:00:00</t>
        </is>
      </c>
      <c r="C784" s="8" t="n">
        <v>14.76</v>
      </c>
      <c r="D784" s="8" t="n">
        <v>17.38</v>
      </c>
      <c r="E784" s="8" t="n">
        <v>23.91</v>
      </c>
      <c r="F784" s="8" t="n">
        <v>15.76</v>
      </c>
      <c r="G784" s="8" t="n">
        <v>24.58</v>
      </c>
      <c r="H784" s="8" t="n">
        <v>16.35</v>
      </c>
      <c r="I784" s="8" t="n">
        <v>14.23</v>
      </c>
      <c r="J784" s="8" t="n">
        <v>13.29</v>
      </c>
      <c r="K784" s="8" t="n">
        <v>15.12</v>
      </c>
      <c r="L784" s="8" t="n">
        <v>14.26</v>
      </c>
      <c r="M784" s="8" t="n">
        <v>16.8</v>
      </c>
      <c r="N784" s="4" t="n">
        <v>16.56</v>
      </c>
    </row>
    <row r="785">
      <c r="A785" s="2" t="inlineStr">
        <is>
          <t>INV0331</t>
        </is>
      </c>
      <c r="B785" s="8" t="inlineStr">
        <is>
          <t>2028-07-01 00:00:00</t>
        </is>
      </c>
      <c r="C785" s="8" t="n">
        <v>14.56</v>
      </c>
      <c r="D785" s="8" t="n">
        <v>16.55</v>
      </c>
      <c r="E785" s="8" t="n">
        <v>23.3</v>
      </c>
      <c r="F785" s="8" t="n">
        <v>17.13</v>
      </c>
      <c r="G785" s="8" t="n">
        <v>24.69</v>
      </c>
      <c r="H785" s="8" t="n">
        <v>17.05</v>
      </c>
      <c r="I785" s="8" t="n">
        <v>14.45</v>
      </c>
      <c r="J785" s="8" t="n">
        <v>13.62</v>
      </c>
      <c r="K785" s="8" t="n">
        <v>16.25</v>
      </c>
      <c r="L785" s="8" t="n">
        <v>14.21</v>
      </c>
      <c r="M785" s="8" t="n">
        <v>17.92</v>
      </c>
      <c r="N785" s="4" t="n">
        <v>16.12</v>
      </c>
    </row>
    <row r="786">
      <c r="A786" s="2" t="inlineStr">
        <is>
          <t>INV0331</t>
        </is>
      </c>
      <c r="B786" s="8" t="inlineStr">
        <is>
          <t>2028-08-01 00:00:00</t>
        </is>
      </c>
      <c r="C786" s="8" t="n">
        <v>14.44</v>
      </c>
      <c r="D786" s="8" t="n">
        <v>16.6</v>
      </c>
      <c r="E786" s="8" t="n">
        <v>16.55</v>
      </c>
      <c r="F786" s="8" t="n">
        <v>15.49</v>
      </c>
      <c r="G786" s="8" t="n">
        <v>17.27</v>
      </c>
      <c r="H786" s="8" t="n">
        <v>16.78</v>
      </c>
      <c r="I786" s="8" t="n">
        <v>16.27</v>
      </c>
      <c r="J786" s="8" t="n">
        <v>15.59</v>
      </c>
      <c r="K786" s="8" t="n">
        <v>17.45</v>
      </c>
      <c r="L786" s="8" t="n">
        <v>16.25</v>
      </c>
      <c r="M786" s="8" t="n">
        <v>18.38</v>
      </c>
      <c r="N786" s="4" t="n">
        <v>16.96</v>
      </c>
    </row>
    <row r="787">
      <c r="A787" s="2" t="inlineStr">
        <is>
          <t>INV0331</t>
        </is>
      </c>
      <c r="B787" s="8" t="inlineStr">
        <is>
          <t>2028-09-01 00:00:00</t>
        </is>
      </c>
      <c r="C787" s="8" t="n">
        <v>10.41</v>
      </c>
      <c r="D787" s="8" t="n">
        <v>16.58</v>
      </c>
      <c r="E787" s="8" t="n">
        <v>19.21</v>
      </c>
      <c r="F787" s="8" t="n">
        <v>16.05</v>
      </c>
      <c r="G787" s="8" t="n">
        <v>21.66</v>
      </c>
      <c r="H787" s="8" t="n">
        <v>17.48</v>
      </c>
      <c r="I787" s="8" t="n">
        <v>9.17</v>
      </c>
      <c r="J787" s="8" t="n">
        <v>9.32</v>
      </c>
      <c r="K787" s="8" t="n">
        <v>12.9</v>
      </c>
      <c r="L787" s="8" t="n">
        <v>11.45</v>
      </c>
      <c r="M787" s="8" t="n">
        <v>16.84</v>
      </c>
      <c r="N787" s="4" t="n">
        <v>13.5</v>
      </c>
    </row>
    <row r="788">
      <c r="A788" s="2" t="inlineStr">
        <is>
          <t>INV0331</t>
        </is>
      </c>
      <c r="B788" s="8" t="inlineStr">
        <is>
          <t>2028-10-01 00:00:00</t>
        </is>
      </c>
      <c r="C788" s="8" t="n">
        <v>5.58</v>
      </c>
      <c r="D788" s="8" t="n">
        <v>6.7</v>
      </c>
      <c r="E788" s="8" t="n">
        <v>7.55</v>
      </c>
      <c r="F788" s="8" t="n">
        <v>6.55</v>
      </c>
      <c r="G788" s="8" t="n">
        <v>7.89</v>
      </c>
      <c r="H788" s="8" t="n">
        <v>8.31</v>
      </c>
      <c r="I788" s="8" t="n">
        <v>6.29</v>
      </c>
      <c r="J788" s="8" t="n">
        <v>6</v>
      </c>
      <c r="K788" s="8" t="n">
        <v>6.54</v>
      </c>
      <c r="L788" s="8" t="n">
        <v>5.49</v>
      </c>
      <c r="M788" s="8" t="n">
        <v>7.03</v>
      </c>
      <c r="N788" s="4" t="n">
        <v>7.03</v>
      </c>
    </row>
    <row r="789">
      <c r="A789" s="2" t="inlineStr">
        <is>
          <t>INV0331</t>
        </is>
      </c>
      <c r="B789" s="8" t="inlineStr">
        <is>
          <t>2028-11-01 00:00:00</t>
        </is>
      </c>
      <c r="C789" s="8" t="n">
        <v>5.03</v>
      </c>
      <c r="D789" s="8" t="n">
        <v>6.92</v>
      </c>
      <c r="E789" s="8" t="n">
        <v>8.48</v>
      </c>
      <c r="F789" s="8" t="n">
        <v>7.84</v>
      </c>
      <c r="G789" s="8" t="n">
        <v>9.09</v>
      </c>
      <c r="H789" s="8" t="n">
        <v>8.119999999999999</v>
      </c>
      <c r="I789" s="8" t="n">
        <v>5.05</v>
      </c>
      <c r="J789" s="8" t="n">
        <v>4.43</v>
      </c>
      <c r="K789" s="8" t="n">
        <v>6.7</v>
      </c>
      <c r="L789" s="8" t="n">
        <v>5.78</v>
      </c>
      <c r="M789" s="8" t="n">
        <v>6.7</v>
      </c>
      <c r="N789" s="4" t="n">
        <v>6.6</v>
      </c>
    </row>
    <row r="790">
      <c r="A790" s="2" t="inlineStr">
        <is>
          <t>INV0331</t>
        </is>
      </c>
      <c r="B790" s="8" t="inlineStr">
        <is>
          <t>2028-12-01 00:00:00</t>
        </is>
      </c>
      <c r="C790" s="8" t="n">
        <v>6.37</v>
      </c>
      <c r="D790" s="8" t="n">
        <v>6.27</v>
      </c>
      <c r="E790" s="8" t="n">
        <v>8.300000000000001</v>
      </c>
      <c r="F790" s="8" t="n">
        <v>8.380000000000001</v>
      </c>
      <c r="G790" s="8" t="n">
        <v>7.95</v>
      </c>
      <c r="H790" s="8" t="n">
        <v>7.41</v>
      </c>
      <c r="I790" s="8" t="n">
        <v>6.17</v>
      </c>
      <c r="J790" s="8" t="n">
        <v>5.67</v>
      </c>
      <c r="K790" s="8" t="n">
        <v>7.33</v>
      </c>
      <c r="L790" s="8" t="n">
        <v>7.21</v>
      </c>
      <c r="M790" s="8" t="n">
        <v>7.52</v>
      </c>
      <c r="N790" s="4" t="n">
        <v>7.02</v>
      </c>
    </row>
    <row r="791">
      <c r="A791" s="2" t="inlineStr">
        <is>
          <t>INV0331</t>
        </is>
      </c>
      <c r="B791" s="8" t="inlineStr">
        <is>
          <t>2029-01-01 00:00:00</t>
        </is>
      </c>
      <c r="C791" s="8" t="n">
        <v>10.79</v>
      </c>
      <c r="D791" s="8" t="n">
        <v>10.82</v>
      </c>
      <c r="E791" s="8" t="n">
        <v>12.81</v>
      </c>
      <c r="F791" s="8" t="n">
        <v>13.36</v>
      </c>
      <c r="G791" s="8" t="n">
        <v>14.04</v>
      </c>
      <c r="H791" s="8" t="n">
        <v>13.34</v>
      </c>
      <c r="I791" s="8" t="n">
        <v>8.300000000000001</v>
      </c>
      <c r="J791" s="8" t="n">
        <v>7.15</v>
      </c>
      <c r="K791" s="8" t="n">
        <v>8.68</v>
      </c>
      <c r="L791" s="8" t="n">
        <v>9.02</v>
      </c>
      <c r="M791" s="8" t="n">
        <v>10.53</v>
      </c>
      <c r="N791" s="4" t="n">
        <v>9.970000000000001</v>
      </c>
    </row>
    <row r="792">
      <c r="A792" s="2" t="inlineStr">
        <is>
          <t>INV0331</t>
        </is>
      </c>
      <c r="B792" s="8" t="inlineStr">
        <is>
          <t>2029-02-01 00:00:00</t>
        </is>
      </c>
      <c r="C792" s="8" t="n">
        <v>11.64</v>
      </c>
      <c r="D792" s="8" t="n">
        <v>12.25</v>
      </c>
      <c r="E792" s="8" t="n">
        <v>12.93</v>
      </c>
      <c r="F792" s="8" t="n">
        <v>12.21</v>
      </c>
      <c r="G792" s="8" t="n">
        <v>14.66</v>
      </c>
      <c r="H792" s="8" t="n">
        <v>14.48</v>
      </c>
      <c r="I792" s="8" t="n">
        <v>9.92</v>
      </c>
      <c r="J792" s="8" t="n">
        <v>7.56</v>
      </c>
      <c r="K792" s="8" t="n">
        <v>8.25</v>
      </c>
      <c r="L792" s="8" t="n">
        <v>8.23</v>
      </c>
      <c r="M792" s="8" t="n">
        <v>9.69</v>
      </c>
      <c r="N792" s="4" t="n">
        <v>10.05</v>
      </c>
    </row>
    <row r="793">
      <c r="A793" s="2" t="inlineStr">
        <is>
          <t>INV0331</t>
        </is>
      </c>
      <c r="B793" s="8" t="inlineStr">
        <is>
          <t>2029-03-01 00:00:00</t>
        </is>
      </c>
      <c r="C793" s="8" t="n">
        <v>11.03</v>
      </c>
      <c r="D793" s="8" t="n">
        <v>12.07</v>
      </c>
      <c r="E793" s="8" t="n">
        <v>12.12</v>
      </c>
      <c r="F793" s="8" t="n">
        <v>11.25</v>
      </c>
      <c r="G793" s="8" t="n">
        <v>12.62</v>
      </c>
      <c r="H793" s="8" t="n">
        <v>12.64</v>
      </c>
      <c r="I793" s="8" t="n">
        <v>11.24</v>
      </c>
      <c r="J793" s="8" t="n">
        <v>10.86</v>
      </c>
      <c r="K793" s="8" t="n">
        <v>12.05</v>
      </c>
      <c r="L793" s="8" t="n">
        <v>11.31</v>
      </c>
      <c r="M793" s="8" t="n">
        <v>12.56</v>
      </c>
      <c r="N793" s="4" t="n">
        <v>12.39</v>
      </c>
    </row>
    <row r="794">
      <c r="A794" s="2" t="inlineStr">
        <is>
          <t>INV0331</t>
        </is>
      </c>
      <c r="B794" s="8" t="inlineStr">
        <is>
          <t>2029-04-01 00:00:00</t>
        </is>
      </c>
      <c r="C794" s="8" t="n">
        <v>16.08</v>
      </c>
      <c r="D794" s="8" t="n">
        <v>16.95</v>
      </c>
      <c r="E794" s="8" t="n">
        <v>16.29</v>
      </c>
      <c r="F794" s="8" t="n">
        <v>16</v>
      </c>
      <c r="G794" s="8" t="n">
        <v>18.19</v>
      </c>
      <c r="H794" s="8" t="n">
        <v>17.25</v>
      </c>
      <c r="I794" s="8" t="n">
        <v>14.43</v>
      </c>
      <c r="J794" s="8" t="n">
        <v>13.83</v>
      </c>
      <c r="K794" s="8" t="n">
        <v>15.17</v>
      </c>
      <c r="L794" s="8" t="n">
        <v>14.18</v>
      </c>
      <c r="M794" s="8" t="n">
        <v>16.87</v>
      </c>
      <c r="N794" s="4" t="n">
        <v>15.53</v>
      </c>
    </row>
    <row r="795">
      <c r="A795" s="2" t="inlineStr">
        <is>
          <t>INV0331</t>
        </is>
      </c>
      <c r="B795" s="8" t="inlineStr">
        <is>
          <t>2029-05-01 00:00:00</t>
        </is>
      </c>
      <c r="C795" s="8" t="n">
        <v>14.51</v>
      </c>
      <c r="D795" s="8" t="n">
        <v>17.15</v>
      </c>
      <c r="E795" s="8" t="n">
        <v>17.99</v>
      </c>
      <c r="F795" s="8" t="n">
        <v>15.24</v>
      </c>
      <c r="G795" s="8" t="n">
        <v>19.79</v>
      </c>
      <c r="H795" s="8" t="n">
        <v>15.72</v>
      </c>
      <c r="I795" s="8" t="n">
        <v>14.34</v>
      </c>
      <c r="J795" s="8" t="n">
        <v>14.29</v>
      </c>
      <c r="K795" s="8" t="n">
        <v>14.56</v>
      </c>
      <c r="L795" s="8" t="n">
        <v>13.95</v>
      </c>
      <c r="M795" s="8" t="n">
        <v>15.22</v>
      </c>
      <c r="N795" s="4" t="n">
        <v>14.56</v>
      </c>
    </row>
    <row r="796">
      <c r="A796" s="2" t="inlineStr">
        <is>
          <t>INV0331</t>
        </is>
      </c>
      <c r="B796" s="8" t="inlineStr">
        <is>
          <t>2029-06-01 00:00:00</t>
        </is>
      </c>
      <c r="C796" s="8" t="n">
        <v>14.57</v>
      </c>
      <c r="D796" s="8" t="n">
        <v>17.15</v>
      </c>
      <c r="E796" s="8" t="n">
        <v>23.67</v>
      </c>
      <c r="F796" s="8" t="n">
        <v>15.56</v>
      </c>
      <c r="G796" s="8" t="n">
        <v>24.33</v>
      </c>
      <c r="H796" s="8" t="n">
        <v>16.13</v>
      </c>
      <c r="I796" s="8" t="n">
        <v>14.04</v>
      </c>
      <c r="J796" s="8" t="n">
        <v>13.12</v>
      </c>
      <c r="K796" s="8" t="n">
        <v>14.92</v>
      </c>
      <c r="L796" s="8" t="n">
        <v>14.08</v>
      </c>
      <c r="M796" s="8" t="n">
        <v>16.58</v>
      </c>
      <c r="N796" s="4" t="n">
        <v>16.35</v>
      </c>
    </row>
    <row r="797">
      <c r="A797" s="2" t="inlineStr">
        <is>
          <t>INV0331</t>
        </is>
      </c>
      <c r="B797" s="8" t="inlineStr">
        <is>
          <t>2029-07-01 00:00:00</t>
        </is>
      </c>
      <c r="C797" s="8" t="n">
        <v>14.3</v>
      </c>
      <c r="D797" s="8" t="n">
        <v>16.25</v>
      </c>
      <c r="E797" s="8" t="n">
        <v>22.99</v>
      </c>
      <c r="F797" s="8" t="n">
        <v>16.82</v>
      </c>
      <c r="G797" s="8" t="n">
        <v>24.35</v>
      </c>
      <c r="H797" s="8" t="n">
        <v>16.74</v>
      </c>
      <c r="I797" s="8" t="n">
        <v>14.19</v>
      </c>
      <c r="J797" s="8" t="n">
        <v>13.38</v>
      </c>
      <c r="K797" s="8" t="n">
        <v>15.96</v>
      </c>
      <c r="L797" s="8" t="n">
        <v>13.96</v>
      </c>
      <c r="M797" s="8" t="n">
        <v>17.59</v>
      </c>
      <c r="N797" s="4" t="n">
        <v>15.83</v>
      </c>
    </row>
    <row r="798">
      <c r="A798" s="2" t="inlineStr">
        <is>
          <t>INV0331</t>
        </is>
      </c>
      <c r="B798" s="8" t="inlineStr">
        <is>
          <t>2029-08-01 00:00:00</t>
        </is>
      </c>
      <c r="C798" s="8" t="n">
        <v>14.22</v>
      </c>
      <c r="D798" s="8" t="n">
        <v>16.35</v>
      </c>
      <c r="E798" s="8" t="n">
        <v>16.3</v>
      </c>
      <c r="F798" s="8" t="n">
        <v>15.25</v>
      </c>
      <c r="G798" s="8" t="n">
        <v>17.01</v>
      </c>
      <c r="H798" s="8" t="n">
        <v>16.53</v>
      </c>
      <c r="I798" s="8" t="n">
        <v>16.03</v>
      </c>
      <c r="J798" s="8" t="n">
        <v>15.35</v>
      </c>
      <c r="K798" s="8" t="n">
        <v>17.19</v>
      </c>
      <c r="L798" s="8" t="n">
        <v>16</v>
      </c>
      <c r="M798" s="8" t="n">
        <v>18.1</v>
      </c>
      <c r="N798" s="4" t="n">
        <v>16.7</v>
      </c>
    </row>
    <row r="799">
      <c r="A799" s="2" t="inlineStr">
        <is>
          <t>INV0331</t>
        </is>
      </c>
      <c r="B799" s="8" t="inlineStr">
        <is>
          <t>2029-09-01 00:00:00</t>
        </is>
      </c>
      <c r="C799" s="8" t="n">
        <v>10.36</v>
      </c>
      <c r="D799" s="8" t="n">
        <v>16.49</v>
      </c>
      <c r="E799" s="8" t="n">
        <v>19.11</v>
      </c>
      <c r="F799" s="8" t="n">
        <v>15.96</v>
      </c>
      <c r="G799" s="8" t="n">
        <v>21.54</v>
      </c>
      <c r="H799" s="8" t="n">
        <v>17.38</v>
      </c>
      <c r="I799" s="8" t="n">
        <v>9.119999999999999</v>
      </c>
      <c r="J799" s="8" t="n">
        <v>9.27</v>
      </c>
      <c r="K799" s="8" t="n">
        <v>12.83</v>
      </c>
      <c r="L799" s="8" t="n">
        <v>11.39</v>
      </c>
      <c r="M799" s="8" t="n">
        <v>16.75</v>
      </c>
      <c r="N799" s="4" t="n">
        <v>13.43</v>
      </c>
    </row>
    <row r="800">
      <c r="A800" s="2" t="inlineStr">
        <is>
          <t>INV0331</t>
        </is>
      </c>
      <c r="B800" s="8" t="inlineStr">
        <is>
          <t>2029-10-01 00:00:00</t>
        </is>
      </c>
      <c r="C800" s="8" t="n">
        <v>5.45</v>
      </c>
      <c r="D800" s="8" t="n">
        <v>6.54</v>
      </c>
      <c r="E800" s="8" t="n">
        <v>7.37</v>
      </c>
      <c r="F800" s="8" t="n">
        <v>6.4</v>
      </c>
      <c r="G800" s="8" t="n">
        <v>7.7</v>
      </c>
      <c r="H800" s="8" t="n">
        <v>8.109999999999999</v>
      </c>
      <c r="I800" s="8" t="n">
        <v>6.14</v>
      </c>
      <c r="J800" s="8" t="n">
        <v>5.86</v>
      </c>
      <c r="K800" s="8" t="n">
        <v>6.39</v>
      </c>
      <c r="L800" s="8" t="n">
        <v>5.36</v>
      </c>
      <c r="M800" s="8" t="n">
        <v>6.86</v>
      </c>
      <c r="N800" s="4" t="n">
        <v>6.86</v>
      </c>
    </row>
    <row r="801">
      <c r="A801" s="2" t="inlineStr">
        <is>
          <t>INV0331</t>
        </is>
      </c>
      <c r="B801" s="8" t="inlineStr">
        <is>
          <t>2029-11-01 00:00:00</t>
        </is>
      </c>
      <c r="C801" s="8" t="n">
        <v>4.93</v>
      </c>
      <c r="D801" s="8" t="n">
        <v>6.77</v>
      </c>
      <c r="E801" s="8" t="n">
        <v>8.300000000000001</v>
      </c>
      <c r="F801" s="8" t="n">
        <v>7.68</v>
      </c>
      <c r="G801" s="8" t="n">
        <v>8.9</v>
      </c>
      <c r="H801" s="8" t="n">
        <v>7.95</v>
      </c>
      <c r="I801" s="8" t="n">
        <v>4.95</v>
      </c>
      <c r="J801" s="8" t="n">
        <v>4.35</v>
      </c>
      <c r="K801" s="8" t="n">
        <v>6.57</v>
      </c>
      <c r="L801" s="8" t="n">
        <v>5.66</v>
      </c>
      <c r="M801" s="8" t="n">
        <v>6.57</v>
      </c>
      <c r="N801" s="4" t="n">
        <v>6.46</v>
      </c>
    </row>
    <row r="802">
      <c r="A802" s="2" t="inlineStr">
        <is>
          <t>INV0331</t>
        </is>
      </c>
      <c r="B802" s="8" t="inlineStr">
        <is>
          <t>2029-12-01 00:00:00</t>
        </is>
      </c>
      <c r="C802" s="8" t="n">
        <v>6.24</v>
      </c>
      <c r="D802" s="8" t="n">
        <v>6.14</v>
      </c>
      <c r="E802" s="8" t="n">
        <v>8.130000000000001</v>
      </c>
      <c r="F802" s="8" t="n">
        <v>8.199999999999999</v>
      </c>
      <c r="G802" s="8" t="n">
        <v>7.79</v>
      </c>
      <c r="H802" s="8" t="n">
        <v>7.26</v>
      </c>
      <c r="I802" s="8" t="n">
        <v>6.04</v>
      </c>
      <c r="J802" s="8" t="n">
        <v>5.55</v>
      </c>
      <c r="K802" s="8" t="n">
        <v>7.18</v>
      </c>
      <c r="L802" s="8" t="n">
        <v>7.06</v>
      </c>
      <c r="M802" s="8" t="n">
        <v>7.37</v>
      </c>
      <c r="N802" s="4" t="n">
        <v>6.87</v>
      </c>
    </row>
    <row r="803">
      <c r="A803" s="2" t="inlineStr">
        <is>
          <t>INV0331</t>
        </is>
      </c>
      <c r="B803" s="8" t="inlineStr">
        <is>
          <t>2030-01-01 00:00:00</t>
        </is>
      </c>
      <c r="C803" s="8" t="n">
        <v>10.79</v>
      </c>
      <c r="D803" s="8" t="n">
        <v>10.82</v>
      </c>
      <c r="E803" s="8" t="n">
        <v>12.81</v>
      </c>
      <c r="F803" s="8" t="n">
        <v>13.36</v>
      </c>
      <c r="G803" s="8" t="n">
        <v>14.04</v>
      </c>
      <c r="H803" s="8" t="n">
        <v>13.34</v>
      </c>
      <c r="I803" s="8" t="n">
        <v>8.300000000000001</v>
      </c>
      <c r="J803" s="8" t="n">
        <v>7.15</v>
      </c>
      <c r="K803" s="8" t="n">
        <v>8.68</v>
      </c>
      <c r="L803" s="8" t="n">
        <v>9.02</v>
      </c>
      <c r="M803" s="8" t="n">
        <v>10.53</v>
      </c>
      <c r="N803" s="4" t="n">
        <v>9.970000000000001</v>
      </c>
    </row>
    <row r="804">
      <c r="A804" s="2" t="inlineStr">
        <is>
          <t>INV0331</t>
        </is>
      </c>
      <c r="B804" s="8" t="inlineStr">
        <is>
          <t>2030-02-01 00:00:00</t>
        </is>
      </c>
      <c r="C804" s="8" t="n">
        <v>11.64</v>
      </c>
      <c r="D804" s="8" t="n">
        <v>12.25</v>
      </c>
      <c r="E804" s="8" t="n">
        <v>12.93</v>
      </c>
      <c r="F804" s="8" t="n">
        <v>12.21</v>
      </c>
      <c r="G804" s="8" t="n">
        <v>14.66</v>
      </c>
      <c r="H804" s="8" t="n">
        <v>14.48</v>
      </c>
      <c r="I804" s="8" t="n">
        <v>9.92</v>
      </c>
      <c r="J804" s="8" t="n">
        <v>7.56</v>
      </c>
      <c r="K804" s="8" t="n">
        <v>8.25</v>
      </c>
      <c r="L804" s="8" t="n">
        <v>8.23</v>
      </c>
      <c r="M804" s="8" t="n">
        <v>9.69</v>
      </c>
      <c r="N804" s="4" t="n">
        <v>10.05</v>
      </c>
    </row>
    <row r="805">
      <c r="A805" s="2" t="inlineStr">
        <is>
          <t>INV0331</t>
        </is>
      </c>
      <c r="B805" s="8" t="inlineStr">
        <is>
          <t>2030-03-01 00:00:00</t>
        </is>
      </c>
      <c r="C805" s="8" t="n">
        <v>11.03</v>
      </c>
      <c r="D805" s="8" t="n">
        <v>12.07</v>
      </c>
      <c r="E805" s="8" t="n">
        <v>12.12</v>
      </c>
      <c r="F805" s="8" t="n">
        <v>11.25</v>
      </c>
      <c r="G805" s="8" t="n">
        <v>12.62</v>
      </c>
      <c r="H805" s="8" t="n">
        <v>12.64</v>
      </c>
      <c r="I805" s="8" t="n">
        <v>11.24</v>
      </c>
      <c r="J805" s="8" t="n">
        <v>10.86</v>
      </c>
      <c r="K805" s="8" t="n">
        <v>12.05</v>
      </c>
      <c r="L805" s="8" t="n">
        <v>11.31</v>
      </c>
      <c r="M805" s="8" t="n">
        <v>12.56</v>
      </c>
      <c r="N805" s="4" t="n">
        <v>12.39</v>
      </c>
    </row>
    <row r="806">
      <c r="A806" s="2" t="inlineStr">
        <is>
          <t>INV0331</t>
        </is>
      </c>
      <c r="B806" s="8" t="inlineStr">
        <is>
          <t>2030-04-01 00:00:00</t>
        </is>
      </c>
      <c r="C806" s="8" t="n">
        <v>16.08</v>
      </c>
      <c r="D806" s="8" t="n">
        <v>16.95</v>
      </c>
      <c r="E806" s="8" t="n">
        <v>16.29</v>
      </c>
      <c r="F806" s="8" t="n">
        <v>16</v>
      </c>
      <c r="G806" s="8" t="n">
        <v>18.19</v>
      </c>
      <c r="H806" s="8" t="n">
        <v>17.25</v>
      </c>
      <c r="I806" s="8" t="n">
        <v>14.43</v>
      </c>
      <c r="J806" s="8" t="n">
        <v>13.83</v>
      </c>
      <c r="K806" s="8" t="n">
        <v>15.17</v>
      </c>
      <c r="L806" s="8" t="n">
        <v>14.18</v>
      </c>
      <c r="M806" s="8" t="n">
        <v>16.87</v>
      </c>
      <c r="N806" s="4" t="n">
        <v>15.53</v>
      </c>
    </row>
    <row r="807">
      <c r="A807" s="2" t="inlineStr">
        <is>
          <t>INV0331</t>
        </is>
      </c>
      <c r="B807" s="8" t="inlineStr">
        <is>
          <t>2030-05-01 00:00:00</t>
        </is>
      </c>
      <c r="C807" s="8" t="n">
        <v>14.51</v>
      </c>
      <c r="D807" s="8" t="n">
        <v>17.15</v>
      </c>
      <c r="E807" s="8" t="n">
        <v>17.99</v>
      </c>
      <c r="F807" s="8" t="n">
        <v>15.24</v>
      </c>
      <c r="G807" s="8" t="n">
        <v>19.79</v>
      </c>
      <c r="H807" s="8" t="n">
        <v>15.72</v>
      </c>
      <c r="I807" s="8" t="n">
        <v>14.34</v>
      </c>
      <c r="J807" s="8" t="n">
        <v>14.29</v>
      </c>
      <c r="K807" s="8" t="n">
        <v>14.56</v>
      </c>
      <c r="L807" s="8" t="n">
        <v>13.95</v>
      </c>
      <c r="M807" s="8" t="n">
        <v>15.22</v>
      </c>
      <c r="N807" s="4" t="n">
        <v>14.56</v>
      </c>
    </row>
    <row r="808">
      <c r="A808" s="2" t="inlineStr">
        <is>
          <t>INV0331</t>
        </is>
      </c>
      <c r="B808" s="8" t="inlineStr">
        <is>
          <t>2030-06-01 00:00:00</t>
        </is>
      </c>
      <c r="C808" s="8" t="n">
        <v>14.57</v>
      </c>
      <c r="D808" s="8" t="n">
        <v>17.15</v>
      </c>
      <c r="E808" s="8" t="n">
        <v>23.67</v>
      </c>
      <c r="F808" s="8" t="n">
        <v>15.56</v>
      </c>
      <c r="G808" s="8" t="n">
        <v>24.33</v>
      </c>
      <c r="H808" s="8" t="n">
        <v>16.13</v>
      </c>
      <c r="I808" s="8" t="n">
        <v>14.04</v>
      </c>
      <c r="J808" s="8" t="n">
        <v>13.12</v>
      </c>
      <c r="K808" s="8" t="n">
        <v>14.92</v>
      </c>
      <c r="L808" s="8" t="n">
        <v>14.08</v>
      </c>
      <c r="M808" s="8" t="n">
        <v>16.58</v>
      </c>
      <c r="N808" s="4" t="n">
        <v>16.35</v>
      </c>
    </row>
    <row r="809">
      <c r="A809" s="2" t="inlineStr">
        <is>
          <t>INV0331</t>
        </is>
      </c>
      <c r="B809" s="8" t="inlineStr">
        <is>
          <t>2030-07-01 00:00:00</t>
        </is>
      </c>
      <c r="C809" s="8" t="n">
        <v>14.3</v>
      </c>
      <c r="D809" s="8" t="n">
        <v>16.25</v>
      </c>
      <c r="E809" s="8" t="n">
        <v>22.99</v>
      </c>
      <c r="F809" s="8" t="n">
        <v>16.82</v>
      </c>
      <c r="G809" s="8" t="n">
        <v>24.35</v>
      </c>
      <c r="H809" s="8" t="n">
        <v>16.74</v>
      </c>
      <c r="I809" s="8" t="n">
        <v>14.19</v>
      </c>
      <c r="J809" s="8" t="n">
        <v>13.38</v>
      </c>
      <c r="K809" s="8" t="n">
        <v>15.96</v>
      </c>
      <c r="L809" s="8" t="n">
        <v>13.96</v>
      </c>
      <c r="M809" s="8" t="n">
        <v>17.59</v>
      </c>
      <c r="N809" s="4" t="n">
        <v>15.83</v>
      </c>
    </row>
    <row r="810">
      <c r="A810" s="2" t="inlineStr">
        <is>
          <t>INV0331</t>
        </is>
      </c>
      <c r="B810" s="8" t="inlineStr">
        <is>
          <t>2030-08-01 00:00:00</t>
        </is>
      </c>
      <c r="C810" s="8" t="n">
        <v>14.22</v>
      </c>
      <c r="D810" s="8" t="n">
        <v>16.35</v>
      </c>
      <c r="E810" s="8" t="n">
        <v>16.3</v>
      </c>
      <c r="F810" s="8" t="n">
        <v>15.25</v>
      </c>
      <c r="G810" s="8" t="n">
        <v>17.01</v>
      </c>
      <c r="H810" s="8" t="n">
        <v>16.53</v>
      </c>
      <c r="I810" s="8" t="n">
        <v>16.03</v>
      </c>
      <c r="J810" s="8" t="n">
        <v>15.35</v>
      </c>
      <c r="K810" s="8" t="n">
        <v>17.19</v>
      </c>
      <c r="L810" s="8" t="n">
        <v>16</v>
      </c>
      <c r="M810" s="8" t="n">
        <v>18.1</v>
      </c>
      <c r="N810" s="4" t="n">
        <v>16.7</v>
      </c>
    </row>
    <row r="811">
      <c r="A811" s="2" t="inlineStr">
        <is>
          <t>INV0331</t>
        </is>
      </c>
      <c r="B811" s="8" t="inlineStr">
        <is>
          <t>2030-09-01 00:00:00</t>
        </is>
      </c>
      <c r="C811" s="8" t="n">
        <v>10.36</v>
      </c>
      <c r="D811" s="8" t="n">
        <v>16.49</v>
      </c>
      <c r="E811" s="8" t="n">
        <v>19.11</v>
      </c>
      <c r="F811" s="8" t="n">
        <v>15.96</v>
      </c>
      <c r="G811" s="8" t="n">
        <v>21.54</v>
      </c>
      <c r="H811" s="8" t="n">
        <v>17.38</v>
      </c>
      <c r="I811" s="8" t="n">
        <v>9.119999999999999</v>
      </c>
      <c r="J811" s="8" t="n">
        <v>9.27</v>
      </c>
      <c r="K811" s="8" t="n">
        <v>12.83</v>
      </c>
      <c r="L811" s="8" t="n">
        <v>11.39</v>
      </c>
      <c r="M811" s="8" t="n">
        <v>16.75</v>
      </c>
      <c r="N811" s="4" t="n">
        <v>13.43</v>
      </c>
    </row>
    <row r="812">
      <c r="A812" s="2" t="inlineStr">
        <is>
          <t>INV0331</t>
        </is>
      </c>
      <c r="B812" s="8" t="inlineStr">
        <is>
          <t>2030-10-01 00:00:00</t>
        </is>
      </c>
      <c r="C812" s="8" t="n">
        <v>5.45</v>
      </c>
      <c r="D812" s="8" t="n">
        <v>6.54</v>
      </c>
      <c r="E812" s="8" t="n">
        <v>7.37</v>
      </c>
      <c r="F812" s="8" t="n">
        <v>6.4</v>
      </c>
      <c r="G812" s="8" t="n">
        <v>7.7</v>
      </c>
      <c r="H812" s="8" t="n">
        <v>8.109999999999999</v>
      </c>
      <c r="I812" s="8" t="n">
        <v>6.14</v>
      </c>
      <c r="J812" s="8" t="n">
        <v>5.86</v>
      </c>
      <c r="K812" s="8" t="n">
        <v>6.39</v>
      </c>
      <c r="L812" s="8" t="n">
        <v>5.36</v>
      </c>
      <c r="M812" s="8" t="n">
        <v>6.86</v>
      </c>
      <c r="N812" s="4" t="n">
        <v>6.86</v>
      </c>
    </row>
    <row r="813">
      <c r="A813" s="2" t="inlineStr">
        <is>
          <t>INV0331</t>
        </is>
      </c>
      <c r="B813" s="8" t="inlineStr">
        <is>
          <t>2030-11-01 00:00:00</t>
        </is>
      </c>
      <c r="C813" s="8" t="n">
        <v>4.93</v>
      </c>
      <c r="D813" s="8" t="n">
        <v>6.77</v>
      </c>
      <c r="E813" s="8" t="n">
        <v>8.300000000000001</v>
      </c>
      <c r="F813" s="8" t="n">
        <v>7.68</v>
      </c>
      <c r="G813" s="8" t="n">
        <v>8.9</v>
      </c>
      <c r="H813" s="8" t="n">
        <v>7.95</v>
      </c>
      <c r="I813" s="8" t="n">
        <v>4.95</v>
      </c>
      <c r="J813" s="8" t="n">
        <v>4.35</v>
      </c>
      <c r="K813" s="8" t="n">
        <v>6.57</v>
      </c>
      <c r="L813" s="8" t="n">
        <v>5.66</v>
      </c>
      <c r="M813" s="8" t="n">
        <v>6.57</v>
      </c>
      <c r="N813" s="4" t="n">
        <v>6.46</v>
      </c>
    </row>
    <row r="814">
      <c r="A814" s="2" t="inlineStr">
        <is>
          <t>INV0331</t>
        </is>
      </c>
      <c r="B814" s="8" t="inlineStr">
        <is>
          <t>2030-12-01 00:00:00</t>
        </is>
      </c>
      <c r="C814" s="8" t="n">
        <v>6.24</v>
      </c>
      <c r="D814" s="8" t="n">
        <v>6.14</v>
      </c>
      <c r="E814" s="8" t="n">
        <v>8.130000000000001</v>
      </c>
      <c r="F814" s="8" t="n">
        <v>8.199999999999999</v>
      </c>
      <c r="G814" s="8" t="n">
        <v>7.79</v>
      </c>
      <c r="H814" s="8" t="n">
        <v>7.26</v>
      </c>
      <c r="I814" s="8" t="n">
        <v>6.04</v>
      </c>
      <c r="J814" s="8" t="n">
        <v>5.55</v>
      </c>
      <c r="K814" s="8" t="n">
        <v>7.18</v>
      </c>
      <c r="L814" s="8" t="n">
        <v>7.06</v>
      </c>
      <c r="M814" s="8" t="n">
        <v>7.37</v>
      </c>
      <c r="N814" s="4" t="n">
        <v>6.87</v>
      </c>
    </row>
    <row r="815">
      <c r="A815" s="2" t="inlineStr">
        <is>
          <t>INV0331</t>
        </is>
      </c>
      <c r="B815" s="8" t="inlineStr">
        <is>
          <t>2031-01-01 00:00:00</t>
        </is>
      </c>
      <c r="C815" s="8" t="n">
        <v>10.79</v>
      </c>
      <c r="D815" s="8" t="n">
        <v>10.82</v>
      </c>
      <c r="E815" s="8" t="n">
        <v>12.81</v>
      </c>
      <c r="F815" s="8" t="n">
        <v>13.36</v>
      </c>
      <c r="G815" s="8" t="n">
        <v>14.04</v>
      </c>
      <c r="H815" s="8" t="n">
        <v>13.34</v>
      </c>
      <c r="I815" s="8" t="n">
        <v>8.300000000000001</v>
      </c>
      <c r="J815" s="8" t="n">
        <v>7.15</v>
      </c>
      <c r="K815" s="8" t="n">
        <v>8.68</v>
      </c>
      <c r="L815" s="8" t="n">
        <v>9.02</v>
      </c>
      <c r="M815" s="8" t="n">
        <v>10.53</v>
      </c>
      <c r="N815" s="4" t="n">
        <v>9.970000000000001</v>
      </c>
    </row>
    <row r="816">
      <c r="A816" s="2" t="inlineStr">
        <is>
          <t>INV0331</t>
        </is>
      </c>
      <c r="B816" s="8" t="inlineStr">
        <is>
          <t>2031-02-01 00:00:00</t>
        </is>
      </c>
      <c r="C816" s="8" t="n">
        <v>11.64</v>
      </c>
      <c r="D816" s="8" t="n">
        <v>12.25</v>
      </c>
      <c r="E816" s="8" t="n">
        <v>12.93</v>
      </c>
      <c r="F816" s="8" t="n">
        <v>12.21</v>
      </c>
      <c r="G816" s="8" t="n">
        <v>14.66</v>
      </c>
      <c r="H816" s="8" t="n">
        <v>14.48</v>
      </c>
      <c r="I816" s="8" t="n">
        <v>9.92</v>
      </c>
      <c r="J816" s="8" t="n">
        <v>7.56</v>
      </c>
      <c r="K816" s="8" t="n">
        <v>8.25</v>
      </c>
      <c r="L816" s="8" t="n">
        <v>8.23</v>
      </c>
      <c r="M816" s="8" t="n">
        <v>9.69</v>
      </c>
      <c r="N816" s="4" t="n">
        <v>10.05</v>
      </c>
    </row>
    <row r="817">
      <c r="A817" s="2" t="inlineStr">
        <is>
          <t>INV0331</t>
        </is>
      </c>
      <c r="B817" s="8" t="inlineStr">
        <is>
          <t>2031-03-01 00:00:00</t>
        </is>
      </c>
      <c r="C817" s="8" t="n">
        <v>11.03</v>
      </c>
      <c r="D817" s="8" t="n">
        <v>12.07</v>
      </c>
      <c r="E817" s="8" t="n">
        <v>12.12</v>
      </c>
      <c r="F817" s="8" t="n">
        <v>11.25</v>
      </c>
      <c r="G817" s="8" t="n">
        <v>12.62</v>
      </c>
      <c r="H817" s="8" t="n">
        <v>12.64</v>
      </c>
      <c r="I817" s="8" t="n">
        <v>11.24</v>
      </c>
      <c r="J817" s="8" t="n">
        <v>10.86</v>
      </c>
      <c r="K817" s="8" t="n">
        <v>12.05</v>
      </c>
      <c r="L817" s="8" t="n">
        <v>11.31</v>
      </c>
      <c r="M817" s="8" t="n">
        <v>12.56</v>
      </c>
      <c r="N817" s="4" t="n">
        <v>12.39</v>
      </c>
    </row>
    <row r="818">
      <c r="A818" s="2" t="inlineStr">
        <is>
          <t>INV0331</t>
        </is>
      </c>
      <c r="B818" s="8" t="inlineStr">
        <is>
          <t>2031-04-01 00:00:00</t>
        </is>
      </c>
      <c r="C818" s="8" t="n">
        <v>16.08</v>
      </c>
      <c r="D818" s="8" t="n">
        <v>16.95</v>
      </c>
      <c r="E818" s="8" t="n">
        <v>16.29</v>
      </c>
      <c r="F818" s="8" t="n">
        <v>16</v>
      </c>
      <c r="G818" s="8" t="n">
        <v>18.19</v>
      </c>
      <c r="H818" s="8" t="n">
        <v>17.25</v>
      </c>
      <c r="I818" s="8" t="n">
        <v>14.43</v>
      </c>
      <c r="J818" s="8" t="n">
        <v>13.83</v>
      </c>
      <c r="K818" s="8" t="n">
        <v>15.17</v>
      </c>
      <c r="L818" s="8" t="n">
        <v>14.18</v>
      </c>
      <c r="M818" s="8" t="n">
        <v>16.87</v>
      </c>
      <c r="N818" s="4" t="n">
        <v>15.53</v>
      </c>
    </row>
    <row r="819">
      <c r="A819" s="2" t="inlineStr">
        <is>
          <t>INV0331</t>
        </is>
      </c>
      <c r="B819" s="8" t="inlineStr">
        <is>
          <t>2031-05-01 00:00:00</t>
        </is>
      </c>
      <c r="C819" s="8" t="n">
        <v>14.51</v>
      </c>
      <c r="D819" s="8" t="n">
        <v>17.15</v>
      </c>
      <c r="E819" s="8" t="n">
        <v>17.99</v>
      </c>
      <c r="F819" s="8" t="n">
        <v>15.24</v>
      </c>
      <c r="G819" s="8" t="n">
        <v>19.79</v>
      </c>
      <c r="H819" s="8" t="n">
        <v>15.72</v>
      </c>
      <c r="I819" s="8" t="n">
        <v>14.34</v>
      </c>
      <c r="J819" s="8" t="n">
        <v>14.29</v>
      </c>
      <c r="K819" s="8" t="n">
        <v>14.56</v>
      </c>
      <c r="L819" s="8" t="n">
        <v>13.95</v>
      </c>
      <c r="M819" s="8" t="n">
        <v>15.22</v>
      </c>
      <c r="N819" s="4" t="n">
        <v>14.56</v>
      </c>
    </row>
    <row r="820">
      <c r="A820" s="2" t="inlineStr">
        <is>
          <t>INV0331</t>
        </is>
      </c>
      <c r="B820" s="8" t="inlineStr">
        <is>
          <t>2031-06-01 00:00:00</t>
        </is>
      </c>
      <c r="C820" s="8" t="n">
        <v>14.57</v>
      </c>
      <c r="D820" s="8" t="n">
        <v>17.15</v>
      </c>
      <c r="E820" s="8" t="n">
        <v>23.67</v>
      </c>
      <c r="F820" s="8" t="n">
        <v>15.56</v>
      </c>
      <c r="G820" s="8" t="n">
        <v>24.33</v>
      </c>
      <c r="H820" s="8" t="n">
        <v>16.13</v>
      </c>
      <c r="I820" s="8" t="n">
        <v>14.04</v>
      </c>
      <c r="J820" s="8" t="n">
        <v>13.12</v>
      </c>
      <c r="K820" s="8" t="n">
        <v>14.92</v>
      </c>
      <c r="L820" s="8" t="n">
        <v>14.08</v>
      </c>
      <c r="M820" s="8" t="n">
        <v>16.58</v>
      </c>
      <c r="N820" s="4" t="n">
        <v>16.35</v>
      </c>
    </row>
    <row r="821">
      <c r="A821" s="2" t="inlineStr">
        <is>
          <t>TUI1101</t>
        </is>
      </c>
      <c r="B821" s="8" t="inlineStr">
        <is>
          <t>2026-07-01 00:00:00</t>
        </is>
      </c>
      <c r="C821" s="8" t="n">
        <v>10.85</v>
      </c>
      <c r="D821" s="8" t="n">
        <v>13.15</v>
      </c>
      <c r="E821" s="8" t="n">
        <v>20.79</v>
      </c>
      <c r="F821" s="8" t="n">
        <v>14.46</v>
      </c>
      <c r="G821" s="8" t="n">
        <v>22.26</v>
      </c>
      <c r="H821" s="8" t="n">
        <v>13.79</v>
      </c>
      <c r="I821" s="8" t="n">
        <v>10.83</v>
      </c>
      <c r="J821" s="8" t="n">
        <v>10.42</v>
      </c>
      <c r="K821" s="8" t="n">
        <v>13.37</v>
      </c>
      <c r="L821" s="8" t="n">
        <v>11.53</v>
      </c>
      <c r="M821" s="8" t="n">
        <v>15.04</v>
      </c>
      <c r="N821" s="4" t="n">
        <v>12.91</v>
      </c>
    </row>
    <row r="822">
      <c r="A822" s="2" t="inlineStr">
        <is>
          <t>TUI1101</t>
        </is>
      </c>
      <c r="B822" s="8" t="inlineStr">
        <is>
          <t>2026-08-01 00:00:00</t>
        </is>
      </c>
      <c r="C822" s="8" t="n">
        <v>11.2</v>
      </c>
      <c r="D822" s="8" t="n">
        <v>13.98</v>
      </c>
      <c r="E822" s="8" t="n">
        <v>14.69</v>
      </c>
      <c r="F822" s="8" t="n">
        <v>13.57</v>
      </c>
      <c r="G822" s="8" t="n">
        <v>15.51</v>
      </c>
      <c r="H822" s="8" t="n">
        <v>14.04</v>
      </c>
      <c r="I822" s="8" t="n">
        <v>12.58</v>
      </c>
      <c r="J822" s="8" t="n">
        <v>12.29</v>
      </c>
      <c r="K822" s="8" t="n">
        <v>14.26</v>
      </c>
      <c r="L822" s="8" t="n">
        <v>13.28</v>
      </c>
      <c r="M822" s="8" t="n">
        <v>15.55</v>
      </c>
      <c r="N822" s="4" t="n">
        <v>13.77</v>
      </c>
    </row>
    <row r="823">
      <c r="A823" s="2" t="inlineStr">
        <is>
          <t>TUI1101</t>
        </is>
      </c>
      <c r="B823" s="8" t="inlineStr">
        <is>
          <t>2026-09-01 00:00:00</t>
        </is>
      </c>
      <c r="C823" s="8" t="n">
        <v>6.23</v>
      </c>
      <c r="D823" s="8" t="n">
        <v>10.61</v>
      </c>
      <c r="E823" s="8" t="n">
        <v>13.06</v>
      </c>
      <c r="F823" s="8" t="n">
        <v>11.31</v>
      </c>
      <c r="G823" s="8" t="n">
        <v>14.88</v>
      </c>
      <c r="H823" s="8" t="n">
        <v>11.03</v>
      </c>
      <c r="I823" s="8" t="n">
        <v>5.35</v>
      </c>
      <c r="J823" s="8" t="n">
        <v>5.88</v>
      </c>
      <c r="K823" s="8" t="n">
        <v>8.609999999999999</v>
      </c>
      <c r="L823" s="8" t="n">
        <v>7.65</v>
      </c>
      <c r="M823" s="8" t="n">
        <v>11.07</v>
      </c>
      <c r="N823" s="4" t="n">
        <v>9.039999999999999</v>
      </c>
    </row>
    <row r="824">
      <c r="A824" s="2" t="inlineStr">
        <is>
          <t>TUI1101</t>
        </is>
      </c>
      <c r="B824" s="8" t="inlineStr">
        <is>
          <t>2026-10-01 00:00:00</t>
        </is>
      </c>
      <c r="C824" s="8" t="n">
        <v>6.06</v>
      </c>
      <c r="D824" s="8" t="n">
        <v>8.17</v>
      </c>
      <c r="E824" s="8" t="n">
        <v>9.58</v>
      </c>
      <c r="F824" s="8" t="n">
        <v>8.210000000000001</v>
      </c>
      <c r="G824" s="8" t="n">
        <v>9.75</v>
      </c>
      <c r="H824" s="8" t="n">
        <v>9.66</v>
      </c>
      <c r="I824" s="8" t="n">
        <v>6.84</v>
      </c>
      <c r="J824" s="8" t="n">
        <v>6.75</v>
      </c>
      <c r="K824" s="8" t="n">
        <v>7.61</v>
      </c>
      <c r="L824" s="8" t="n">
        <v>6.55</v>
      </c>
      <c r="M824" s="8" t="n">
        <v>8.199999999999999</v>
      </c>
      <c r="N824" s="4" t="n">
        <v>7.92</v>
      </c>
    </row>
    <row r="825">
      <c r="A825" s="2" t="inlineStr">
        <is>
          <t>TUI1101</t>
        </is>
      </c>
      <c r="B825" s="8" t="inlineStr">
        <is>
          <t>2026-11-01 00:00:00</t>
        </is>
      </c>
      <c r="C825" s="8" t="n">
        <v>4.65</v>
      </c>
      <c r="D825" s="8" t="n">
        <v>7.14</v>
      </c>
      <c r="E825" s="8" t="n">
        <v>10.27</v>
      </c>
      <c r="F825" s="8" t="n">
        <v>9.6</v>
      </c>
      <c r="G825" s="8" t="n">
        <v>10.18</v>
      </c>
      <c r="H825" s="8" t="n">
        <v>8.279999999999999</v>
      </c>
      <c r="I825" s="8" t="n">
        <v>4.61</v>
      </c>
      <c r="J825" s="8" t="n">
        <v>4.13</v>
      </c>
      <c r="K825" s="8" t="n">
        <v>6.77</v>
      </c>
      <c r="L825" s="8" t="n">
        <v>5.89</v>
      </c>
      <c r="M825" s="8" t="n">
        <v>6.73</v>
      </c>
      <c r="N825" s="4" t="n">
        <v>6.38</v>
      </c>
    </row>
    <row r="826">
      <c r="A826" s="2" t="inlineStr">
        <is>
          <t>TUI1101</t>
        </is>
      </c>
      <c r="B826" s="8" t="inlineStr">
        <is>
          <t>2026-12-01 00:00:00</t>
        </is>
      </c>
      <c r="C826" s="8" t="n">
        <v>5.35</v>
      </c>
      <c r="D826" s="8" t="n">
        <v>5.88</v>
      </c>
      <c r="E826" s="8" t="n">
        <v>9.58</v>
      </c>
      <c r="F826" s="8" t="n">
        <v>8.85</v>
      </c>
      <c r="G826" s="8" t="n">
        <v>8.48</v>
      </c>
      <c r="H826" s="8" t="n">
        <v>6.98</v>
      </c>
      <c r="I826" s="8" t="n">
        <v>5.11</v>
      </c>
      <c r="J826" s="8" t="n">
        <v>4.78</v>
      </c>
      <c r="K826" s="8" t="n">
        <v>6.65</v>
      </c>
      <c r="L826" s="8" t="n">
        <v>6.5</v>
      </c>
      <c r="M826" s="8" t="n">
        <v>6.98</v>
      </c>
      <c r="N826" s="4" t="n">
        <v>6.18</v>
      </c>
    </row>
    <row r="827">
      <c r="A827" s="2" t="inlineStr">
        <is>
          <t>TUI1101</t>
        </is>
      </c>
      <c r="B827" s="8" t="inlineStr">
        <is>
          <t>2027-01-01 00:00:00</t>
        </is>
      </c>
      <c r="C827" s="8" t="n">
        <v>10.85</v>
      </c>
      <c r="D827" s="8" t="n">
        <v>11.45</v>
      </c>
      <c r="E827" s="8" t="n">
        <v>14.8</v>
      </c>
      <c r="F827" s="8" t="n">
        <v>15.93</v>
      </c>
      <c r="G827" s="8" t="n">
        <v>16.73</v>
      </c>
      <c r="H827" s="8" t="n">
        <v>14.46</v>
      </c>
      <c r="I827" s="8" t="n">
        <v>8.26</v>
      </c>
      <c r="J827" s="8" t="n">
        <v>7.21</v>
      </c>
      <c r="K827" s="8" t="n">
        <v>9.32</v>
      </c>
      <c r="L827" s="8" t="n">
        <v>9.720000000000001</v>
      </c>
      <c r="M827" s="8" t="n">
        <v>11.49</v>
      </c>
      <c r="N827" s="4" t="n">
        <v>10.36</v>
      </c>
    </row>
    <row r="828">
      <c r="A828" s="2" t="inlineStr">
        <is>
          <t>TUI1101</t>
        </is>
      </c>
      <c r="B828" s="8" t="inlineStr">
        <is>
          <t>2027-02-01 00:00:00</t>
        </is>
      </c>
      <c r="C828" s="8" t="n">
        <v>9.949999999999999</v>
      </c>
      <c r="D828" s="8" t="n">
        <v>12</v>
      </c>
      <c r="E828" s="8" t="n">
        <v>14.88</v>
      </c>
      <c r="F828" s="8" t="n">
        <v>14.39</v>
      </c>
      <c r="G828" s="8" t="n">
        <v>16.06</v>
      </c>
      <c r="H828" s="8" t="n">
        <v>13.99</v>
      </c>
      <c r="I828" s="8" t="n">
        <v>8.800000000000001</v>
      </c>
      <c r="J828" s="8" t="n">
        <v>7.38</v>
      </c>
      <c r="K828" s="8" t="n">
        <v>10.92</v>
      </c>
      <c r="L828" s="8" t="n">
        <v>11.14</v>
      </c>
      <c r="M828" s="8" t="n">
        <v>12.98</v>
      </c>
      <c r="N828" s="4" t="n">
        <v>11.55</v>
      </c>
    </row>
    <row r="829">
      <c r="A829" s="2" t="inlineStr">
        <is>
          <t>TUI1101</t>
        </is>
      </c>
      <c r="B829" s="8" t="inlineStr">
        <is>
          <t>2027-03-01 00:00:00</t>
        </is>
      </c>
      <c r="C829" s="8" t="n">
        <v>10.15</v>
      </c>
      <c r="D829" s="8" t="n">
        <v>12.42</v>
      </c>
      <c r="E829" s="8" t="n">
        <v>14.09</v>
      </c>
      <c r="F829" s="8" t="n">
        <v>13.37</v>
      </c>
      <c r="G829" s="8" t="n">
        <v>14.18</v>
      </c>
      <c r="H829" s="8" t="n">
        <v>12.92</v>
      </c>
      <c r="I829" s="8" t="n">
        <v>9.970000000000001</v>
      </c>
      <c r="J829" s="8" t="n">
        <v>9.74</v>
      </c>
      <c r="K829" s="8" t="n">
        <v>12.78</v>
      </c>
      <c r="L829" s="8" t="n">
        <v>11.79</v>
      </c>
      <c r="M829" s="8" t="n">
        <v>12.97</v>
      </c>
      <c r="N829" s="4" t="n">
        <v>11.98</v>
      </c>
    </row>
    <row r="830">
      <c r="A830" s="2" t="inlineStr">
        <is>
          <t>TUI1101</t>
        </is>
      </c>
      <c r="B830" s="8" t="inlineStr">
        <is>
          <t>2027-04-01 00:00:00</t>
        </is>
      </c>
      <c r="C830" s="8" t="n">
        <v>15.42</v>
      </c>
      <c r="D830" s="8" t="n">
        <v>17.93</v>
      </c>
      <c r="E830" s="8" t="n">
        <v>19.17</v>
      </c>
      <c r="F830" s="8" t="n">
        <v>19.31</v>
      </c>
      <c r="G830" s="8" t="n">
        <v>21.22</v>
      </c>
      <c r="H830" s="8" t="n">
        <v>18.22</v>
      </c>
      <c r="I830" s="8" t="n">
        <v>13.15</v>
      </c>
      <c r="J830" s="8" t="n">
        <v>13.51</v>
      </c>
      <c r="K830" s="8" t="n">
        <v>17.11</v>
      </c>
      <c r="L830" s="8" t="n">
        <v>15.42</v>
      </c>
      <c r="M830" s="8" t="n">
        <v>18.15</v>
      </c>
      <c r="N830" s="4" t="n">
        <v>15.91</v>
      </c>
    </row>
    <row r="831">
      <c r="A831" s="2" t="inlineStr">
        <is>
          <t>TUI1101</t>
        </is>
      </c>
      <c r="B831" s="8" t="inlineStr">
        <is>
          <t>2027-05-01 00:00:00</t>
        </is>
      </c>
      <c r="C831" s="8" t="n">
        <v>14.56</v>
      </c>
      <c r="D831" s="8" t="n">
        <v>19.32</v>
      </c>
      <c r="E831" s="8" t="n">
        <v>22.36</v>
      </c>
      <c r="F831" s="8" t="n">
        <v>18.96</v>
      </c>
      <c r="G831" s="8" t="n">
        <v>24.26</v>
      </c>
      <c r="H831" s="8" t="n">
        <v>17.81</v>
      </c>
      <c r="I831" s="8" t="n">
        <v>14.79</v>
      </c>
      <c r="J831" s="8" t="n">
        <v>15.08</v>
      </c>
      <c r="K831" s="8" t="n">
        <v>16.24</v>
      </c>
      <c r="L831" s="8" t="n">
        <v>15.54</v>
      </c>
      <c r="M831" s="8" t="n">
        <v>17.75</v>
      </c>
      <c r="N831" s="4" t="n">
        <v>16.03</v>
      </c>
    </row>
    <row r="832">
      <c r="A832" s="2" t="inlineStr">
        <is>
          <t>TUI1101</t>
        </is>
      </c>
      <c r="B832" s="8" t="inlineStr">
        <is>
          <t>2027-06-01 00:00:00</t>
        </is>
      </c>
      <c r="C832" s="8" t="n">
        <v>14.16</v>
      </c>
      <c r="D832" s="8" t="n">
        <v>17.99</v>
      </c>
      <c r="E832" s="8" t="n">
        <v>26.2</v>
      </c>
      <c r="F832" s="8" t="n">
        <v>17.94</v>
      </c>
      <c r="G832" s="8" t="n">
        <v>27.25</v>
      </c>
      <c r="H832" s="8" t="n">
        <v>17.51</v>
      </c>
      <c r="I832" s="8" t="n">
        <v>12.92</v>
      </c>
      <c r="J832" s="8" t="n">
        <v>12.33</v>
      </c>
      <c r="K832" s="8" t="n">
        <v>15.2</v>
      </c>
      <c r="L832" s="8" t="n">
        <v>14.43</v>
      </c>
      <c r="M832" s="8" t="n">
        <v>17.93</v>
      </c>
      <c r="N832" s="4" t="n">
        <v>16.49</v>
      </c>
    </row>
    <row r="833">
      <c r="A833" s="2" t="inlineStr">
        <is>
          <t>TUI1101</t>
        </is>
      </c>
      <c r="B833" s="8" t="inlineStr">
        <is>
          <t>2027-07-01 00:00:00</t>
        </is>
      </c>
      <c r="C833" s="8" t="n">
        <v>13.44</v>
      </c>
      <c r="D833" s="8" t="n">
        <v>16.34</v>
      </c>
      <c r="E833" s="8" t="n">
        <v>24.41</v>
      </c>
      <c r="F833" s="8" t="n">
        <v>17.98</v>
      </c>
      <c r="G833" s="8" t="n">
        <v>26.26</v>
      </c>
      <c r="H833" s="8" t="n">
        <v>17.14</v>
      </c>
      <c r="I833" s="8" t="n">
        <v>13.4</v>
      </c>
      <c r="J833" s="8" t="n">
        <v>12.89</v>
      </c>
      <c r="K833" s="8" t="n">
        <v>16.61</v>
      </c>
      <c r="L833" s="8" t="n">
        <v>14.29</v>
      </c>
      <c r="M833" s="8" t="n">
        <v>18.72</v>
      </c>
      <c r="N833" s="4" t="n">
        <v>16.03</v>
      </c>
    </row>
    <row r="834">
      <c r="A834" s="2" t="inlineStr">
        <is>
          <t>TUI1101</t>
        </is>
      </c>
      <c r="B834" s="8" t="inlineStr">
        <is>
          <t>2027-08-01 00:00:00</t>
        </is>
      </c>
      <c r="C834" s="8" t="n">
        <v>13.65</v>
      </c>
      <c r="D834" s="8" t="n">
        <v>17.09</v>
      </c>
      <c r="E834" s="8" t="n">
        <v>17.97</v>
      </c>
      <c r="F834" s="8" t="n">
        <v>16.58</v>
      </c>
      <c r="G834" s="8" t="n">
        <v>18.98</v>
      </c>
      <c r="H834" s="8" t="n">
        <v>17.17</v>
      </c>
      <c r="I834" s="8" t="n">
        <v>15.35</v>
      </c>
      <c r="J834" s="8" t="n">
        <v>15</v>
      </c>
      <c r="K834" s="8" t="n">
        <v>17.44</v>
      </c>
      <c r="L834" s="8" t="n">
        <v>16.23</v>
      </c>
      <c r="M834" s="8" t="n">
        <v>19.04</v>
      </c>
      <c r="N834" s="4" t="n">
        <v>16.83</v>
      </c>
    </row>
    <row r="835">
      <c r="A835" s="2" t="inlineStr">
        <is>
          <t>TUI1101</t>
        </is>
      </c>
      <c r="B835" s="8" t="inlineStr">
        <is>
          <t>2027-09-01 00:00:00</t>
        </is>
      </c>
      <c r="C835" s="8" t="n">
        <v>10.32</v>
      </c>
      <c r="D835" s="8" t="n">
        <v>17.81</v>
      </c>
      <c r="E835" s="8" t="n">
        <v>21.98</v>
      </c>
      <c r="F835" s="8" t="n">
        <v>19.01</v>
      </c>
      <c r="G835" s="8" t="n">
        <v>25.1</v>
      </c>
      <c r="H835" s="8" t="n">
        <v>18.52</v>
      </c>
      <c r="I835" s="8" t="n">
        <v>8.81</v>
      </c>
      <c r="J835" s="8" t="n">
        <v>9.710000000000001</v>
      </c>
      <c r="K835" s="8" t="n">
        <v>14.38</v>
      </c>
      <c r="L835" s="8" t="n">
        <v>12.75</v>
      </c>
      <c r="M835" s="8" t="n">
        <v>18.58</v>
      </c>
      <c r="N835" s="4" t="n">
        <v>15.11</v>
      </c>
    </row>
    <row r="836">
      <c r="A836" s="2" t="inlineStr">
        <is>
          <t>TUI1101</t>
        </is>
      </c>
      <c r="B836" s="8" t="inlineStr">
        <is>
          <t>2027-10-01 00:00:00</t>
        </is>
      </c>
      <c r="C836" s="8" t="n">
        <v>5.87</v>
      </c>
      <c r="D836" s="8" t="n">
        <v>7.9</v>
      </c>
      <c r="E836" s="8" t="n">
        <v>9.25</v>
      </c>
      <c r="F836" s="8" t="n">
        <v>7.93</v>
      </c>
      <c r="G836" s="8" t="n">
        <v>9.42</v>
      </c>
      <c r="H836" s="8" t="n">
        <v>9.34</v>
      </c>
      <c r="I836" s="8" t="n">
        <v>6.62</v>
      </c>
      <c r="J836" s="8" t="n">
        <v>6.53</v>
      </c>
      <c r="K836" s="8" t="n">
        <v>7.36</v>
      </c>
      <c r="L836" s="8" t="n">
        <v>6.34</v>
      </c>
      <c r="M836" s="8" t="n">
        <v>7.92</v>
      </c>
      <c r="N836" s="4" t="n">
        <v>7.66</v>
      </c>
    </row>
    <row r="837">
      <c r="A837" s="2" t="inlineStr">
        <is>
          <t>TUI1101</t>
        </is>
      </c>
      <c r="B837" s="8" t="inlineStr">
        <is>
          <t>2027-11-01 00:00:00</t>
        </is>
      </c>
      <c r="C837" s="8" t="n">
        <v>4.62</v>
      </c>
      <c r="D837" s="8" t="n">
        <v>7.08</v>
      </c>
      <c r="E837" s="8" t="n">
        <v>10.17</v>
      </c>
      <c r="F837" s="8" t="n">
        <v>9.51</v>
      </c>
      <c r="G837" s="8" t="n">
        <v>10.08</v>
      </c>
      <c r="H837" s="8" t="n">
        <v>8.210000000000001</v>
      </c>
      <c r="I837" s="8" t="n">
        <v>4.58</v>
      </c>
      <c r="J837" s="8" t="n">
        <v>4.1</v>
      </c>
      <c r="K837" s="8" t="n">
        <v>6.71</v>
      </c>
      <c r="L837" s="8" t="n">
        <v>5.85</v>
      </c>
      <c r="M837" s="8" t="n">
        <v>6.67</v>
      </c>
      <c r="N837" s="4" t="n">
        <v>6.33</v>
      </c>
    </row>
    <row r="838">
      <c r="A838" s="2" t="inlineStr">
        <is>
          <t>TUI1101</t>
        </is>
      </c>
      <c r="B838" s="8" t="inlineStr">
        <is>
          <t>2027-12-01 00:00:00</t>
        </is>
      </c>
      <c r="C838" s="8" t="n">
        <v>5.79</v>
      </c>
      <c r="D838" s="8" t="n">
        <v>6.36</v>
      </c>
      <c r="E838" s="8" t="n">
        <v>10.38</v>
      </c>
      <c r="F838" s="8" t="n">
        <v>9.59</v>
      </c>
      <c r="G838" s="8" t="n">
        <v>9.19</v>
      </c>
      <c r="H838" s="8" t="n">
        <v>7.56</v>
      </c>
      <c r="I838" s="8" t="n">
        <v>5.52</v>
      </c>
      <c r="J838" s="8" t="n">
        <v>5.16</v>
      </c>
      <c r="K838" s="8" t="n">
        <v>7.19</v>
      </c>
      <c r="L838" s="8" t="n">
        <v>7.03</v>
      </c>
      <c r="M838" s="8" t="n">
        <v>7.56</v>
      </c>
      <c r="N838" s="4" t="n">
        <v>6.69</v>
      </c>
    </row>
    <row r="839">
      <c r="A839" s="2" t="inlineStr">
        <is>
          <t>TUI1101</t>
        </is>
      </c>
      <c r="B839" s="8" t="inlineStr">
        <is>
          <t>2028-01-01 00:00:00</t>
        </is>
      </c>
      <c r="C839" s="8" t="n">
        <v>10.33</v>
      </c>
      <c r="D839" s="8" t="n">
        <v>10.89</v>
      </c>
      <c r="E839" s="8" t="n">
        <v>14.08</v>
      </c>
      <c r="F839" s="8" t="n">
        <v>15.15</v>
      </c>
      <c r="G839" s="8" t="n">
        <v>15.91</v>
      </c>
      <c r="H839" s="8" t="n">
        <v>13.75</v>
      </c>
      <c r="I839" s="8" t="n">
        <v>7.87</v>
      </c>
      <c r="J839" s="8" t="n">
        <v>6.87</v>
      </c>
      <c r="K839" s="8" t="n">
        <v>8.869999999999999</v>
      </c>
      <c r="L839" s="8" t="n">
        <v>9.26</v>
      </c>
      <c r="M839" s="8" t="n">
        <v>10.93</v>
      </c>
      <c r="N839" s="4" t="n">
        <v>9.869999999999999</v>
      </c>
    </row>
    <row r="840">
      <c r="A840" s="2" t="inlineStr">
        <is>
          <t>TUI1101</t>
        </is>
      </c>
      <c r="B840" s="8" t="inlineStr">
        <is>
          <t>2028-02-01 00:00:00</t>
        </is>
      </c>
      <c r="C840" s="8" t="n">
        <v>9.449999999999999</v>
      </c>
      <c r="D840" s="8" t="n">
        <v>11.39</v>
      </c>
      <c r="E840" s="8" t="n">
        <v>14.12</v>
      </c>
      <c r="F840" s="8" t="n">
        <v>13.65</v>
      </c>
      <c r="G840" s="8" t="n">
        <v>15.23</v>
      </c>
      <c r="H840" s="8" t="n">
        <v>13.27</v>
      </c>
      <c r="I840" s="8" t="n">
        <v>8.359999999999999</v>
      </c>
      <c r="J840" s="8" t="n">
        <v>7.02</v>
      </c>
      <c r="K840" s="8" t="n">
        <v>10.37</v>
      </c>
      <c r="L840" s="8" t="n">
        <v>10.58</v>
      </c>
      <c r="M840" s="8" t="n">
        <v>12.32</v>
      </c>
      <c r="N840" s="4" t="n">
        <v>10.97</v>
      </c>
    </row>
    <row r="841">
      <c r="A841" s="2" t="inlineStr">
        <is>
          <t>TUI1101</t>
        </is>
      </c>
      <c r="B841" s="8" t="inlineStr">
        <is>
          <t>2028-03-01 00:00:00</t>
        </is>
      </c>
      <c r="C841" s="8" t="n">
        <v>9.6</v>
      </c>
      <c r="D841" s="8" t="n">
        <v>11.74</v>
      </c>
      <c r="E841" s="8" t="n">
        <v>13.31</v>
      </c>
      <c r="F841" s="8" t="n">
        <v>12.64</v>
      </c>
      <c r="G841" s="8" t="n">
        <v>13.4</v>
      </c>
      <c r="H841" s="8" t="n">
        <v>12.21</v>
      </c>
      <c r="I841" s="8" t="n">
        <v>9.43</v>
      </c>
      <c r="J841" s="8" t="n">
        <v>9.220000000000001</v>
      </c>
      <c r="K841" s="8" t="n">
        <v>12.08</v>
      </c>
      <c r="L841" s="8" t="n">
        <v>11.15</v>
      </c>
      <c r="M841" s="8" t="n">
        <v>12.26</v>
      </c>
      <c r="N841" s="4" t="n">
        <v>11.32</v>
      </c>
    </row>
    <row r="842">
      <c r="A842" s="2" t="inlineStr">
        <is>
          <t>TUI1101</t>
        </is>
      </c>
      <c r="B842" s="8" t="inlineStr">
        <is>
          <t>2028-04-01 00:00:00</t>
        </is>
      </c>
      <c r="C842" s="8" t="n">
        <v>15.03</v>
      </c>
      <c r="D842" s="8" t="n">
        <v>17.47</v>
      </c>
      <c r="E842" s="8" t="n">
        <v>18.67</v>
      </c>
      <c r="F842" s="8" t="n">
        <v>18.81</v>
      </c>
      <c r="G842" s="8" t="n">
        <v>20.67</v>
      </c>
      <c r="H842" s="8" t="n">
        <v>17.75</v>
      </c>
      <c r="I842" s="8" t="n">
        <v>12.81</v>
      </c>
      <c r="J842" s="8" t="n">
        <v>13.17</v>
      </c>
      <c r="K842" s="8" t="n">
        <v>16.67</v>
      </c>
      <c r="L842" s="8" t="n">
        <v>15.03</v>
      </c>
      <c r="M842" s="8" t="n">
        <v>17.68</v>
      </c>
      <c r="N842" s="4" t="n">
        <v>15.5</v>
      </c>
    </row>
    <row r="843">
      <c r="A843" s="2" t="inlineStr">
        <is>
          <t>TUI1101</t>
        </is>
      </c>
      <c r="B843" s="8" t="inlineStr">
        <is>
          <t>2028-05-01 00:00:00</t>
        </is>
      </c>
      <c r="C843" s="8" t="n">
        <v>13.71</v>
      </c>
      <c r="D843" s="8" t="n">
        <v>18.17</v>
      </c>
      <c r="E843" s="8" t="n">
        <v>21.02</v>
      </c>
      <c r="F843" s="8" t="n">
        <v>17.83</v>
      </c>
      <c r="G843" s="8" t="n">
        <v>22.8</v>
      </c>
      <c r="H843" s="8" t="n">
        <v>16.75</v>
      </c>
      <c r="I843" s="8" t="n">
        <v>13.92</v>
      </c>
      <c r="J843" s="8" t="n">
        <v>14.19</v>
      </c>
      <c r="K843" s="8" t="n">
        <v>15.28</v>
      </c>
      <c r="L843" s="8" t="n">
        <v>14.62</v>
      </c>
      <c r="M843" s="8" t="n">
        <v>16.69</v>
      </c>
      <c r="N843" s="4" t="n">
        <v>15.08</v>
      </c>
    </row>
    <row r="844">
      <c r="A844" s="2" t="inlineStr">
        <is>
          <t>TUI1101</t>
        </is>
      </c>
      <c r="B844" s="8" t="inlineStr">
        <is>
          <t>2028-06-01 00:00:00</t>
        </is>
      </c>
      <c r="C844" s="8" t="n">
        <v>13.41</v>
      </c>
      <c r="D844" s="8" t="n">
        <v>17.03</v>
      </c>
      <c r="E844" s="8" t="n">
        <v>25.11</v>
      </c>
      <c r="F844" s="8" t="n">
        <v>16.98</v>
      </c>
      <c r="G844" s="8" t="n">
        <v>26.11</v>
      </c>
      <c r="H844" s="8" t="n">
        <v>16.57</v>
      </c>
      <c r="I844" s="8" t="n">
        <v>12.25</v>
      </c>
      <c r="J844" s="8" t="n">
        <v>11.69</v>
      </c>
      <c r="K844" s="8" t="n">
        <v>14.39</v>
      </c>
      <c r="L844" s="8" t="n">
        <v>13.67</v>
      </c>
      <c r="M844" s="8" t="n">
        <v>16.97</v>
      </c>
      <c r="N844" s="4" t="n">
        <v>15.61</v>
      </c>
    </row>
    <row r="845">
      <c r="A845" s="2" t="inlineStr">
        <is>
          <t>TUI1101</t>
        </is>
      </c>
      <c r="B845" s="8" t="inlineStr">
        <is>
          <t>2028-07-01 00:00:00</t>
        </is>
      </c>
      <c r="C845" s="8" t="n">
        <v>12.89</v>
      </c>
      <c r="D845" s="8" t="n">
        <v>15.66</v>
      </c>
      <c r="E845" s="8" t="n">
        <v>23.64</v>
      </c>
      <c r="F845" s="8" t="n">
        <v>17.23</v>
      </c>
      <c r="G845" s="8" t="n">
        <v>25.41</v>
      </c>
      <c r="H845" s="8" t="n">
        <v>16.43</v>
      </c>
      <c r="I845" s="8" t="n">
        <v>12.85</v>
      </c>
      <c r="J845" s="8" t="n">
        <v>12.36</v>
      </c>
      <c r="K845" s="8" t="n">
        <v>15.92</v>
      </c>
      <c r="L845" s="8" t="n">
        <v>13.7</v>
      </c>
      <c r="M845" s="8" t="n">
        <v>17.94</v>
      </c>
      <c r="N845" s="4" t="n">
        <v>15.36</v>
      </c>
    </row>
    <row r="846">
      <c r="A846" s="2" t="inlineStr">
        <is>
          <t>TUI1101</t>
        </is>
      </c>
      <c r="B846" s="8" t="inlineStr">
        <is>
          <t>2028-08-01 00:00:00</t>
        </is>
      </c>
      <c r="C846" s="8" t="n">
        <v>12.99</v>
      </c>
      <c r="D846" s="8" t="n">
        <v>16.25</v>
      </c>
      <c r="E846" s="8" t="n">
        <v>17.09</v>
      </c>
      <c r="F846" s="8" t="n">
        <v>15.77</v>
      </c>
      <c r="G846" s="8" t="n">
        <v>18.04</v>
      </c>
      <c r="H846" s="8" t="n">
        <v>16.32</v>
      </c>
      <c r="I846" s="8" t="n">
        <v>14.6</v>
      </c>
      <c r="J846" s="8" t="n">
        <v>14.27</v>
      </c>
      <c r="K846" s="8" t="n">
        <v>16.58</v>
      </c>
      <c r="L846" s="8" t="n">
        <v>15.43</v>
      </c>
      <c r="M846" s="8" t="n">
        <v>18.09</v>
      </c>
      <c r="N846" s="4" t="n">
        <v>16</v>
      </c>
    </row>
    <row r="847">
      <c r="A847" s="2" t="inlineStr">
        <is>
          <t>TUI1101</t>
        </is>
      </c>
      <c r="B847" s="8" t="inlineStr">
        <is>
          <t>2028-09-01 00:00:00</t>
        </is>
      </c>
      <c r="C847" s="8" t="n">
        <v>9.92</v>
      </c>
      <c r="D847" s="8" t="n">
        <v>17.11</v>
      </c>
      <c r="E847" s="8" t="n">
        <v>21.11</v>
      </c>
      <c r="F847" s="8" t="n">
        <v>18.26</v>
      </c>
      <c r="G847" s="8" t="n">
        <v>24.1</v>
      </c>
      <c r="H847" s="8" t="n">
        <v>17.79</v>
      </c>
      <c r="I847" s="8" t="n">
        <v>8.48</v>
      </c>
      <c r="J847" s="8" t="n">
        <v>9.34</v>
      </c>
      <c r="K847" s="8" t="n">
        <v>13.82</v>
      </c>
      <c r="L847" s="8" t="n">
        <v>12.26</v>
      </c>
      <c r="M847" s="8" t="n">
        <v>17.85</v>
      </c>
      <c r="N847" s="4" t="n">
        <v>14.53</v>
      </c>
    </row>
    <row r="848">
      <c r="A848" s="2" t="inlineStr">
        <is>
          <t>TUI1101</t>
        </is>
      </c>
      <c r="B848" s="8" t="inlineStr">
        <is>
          <t>2028-10-01 00:00:00</t>
        </is>
      </c>
      <c r="C848" s="8" t="n">
        <v>5.8</v>
      </c>
      <c r="D848" s="8" t="n">
        <v>7.8</v>
      </c>
      <c r="E848" s="8" t="n">
        <v>9.140000000000001</v>
      </c>
      <c r="F848" s="8" t="n">
        <v>7.83</v>
      </c>
      <c r="G848" s="8" t="n">
        <v>9.300000000000001</v>
      </c>
      <c r="H848" s="8" t="n">
        <v>9.220000000000001</v>
      </c>
      <c r="I848" s="8" t="n">
        <v>6.54</v>
      </c>
      <c r="J848" s="8" t="n">
        <v>6.46</v>
      </c>
      <c r="K848" s="8" t="n">
        <v>7.27</v>
      </c>
      <c r="L848" s="8" t="n">
        <v>6.27</v>
      </c>
      <c r="M848" s="8" t="n">
        <v>7.82</v>
      </c>
      <c r="N848" s="4" t="n">
        <v>7.57</v>
      </c>
    </row>
    <row r="849">
      <c r="A849" s="2" t="inlineStr">
        <is>
          <t>TUI1101</t>
        </is>
      </c>
      <c r="B849" s="8" t="inlineStr">
        <is>
          <t>2028-11-01 00:00:00</t>
        </is>
      </c>
      <c r="C849" s="8" t="n">
        <v>4.59</v>
      </c>
      <c r="D849" s="8" t="n">
        <v>7.03</v>
      </c>
      <c r="E849" s="8" t="n">
        <v>10.09</v>
      </c>
      <c r="F849" s="8" t="n">
        <v>9.44</v>
      </c>
      <c r="G849" s="8" t="n">
        <v>10</v>
      </c>
      <c r="H849" s="8" t="n">
        <v>8.15</v>
      </c>
      <c r="I849" s="8" t="n">
        <v>4.55</v>
      </c>
      <c r="J849" s="8" t="n">
        <v>4.08</v>
      </c>
      <c r="K849" s="8" t="n">
        <v>6.66</v>
      </c>
      <c r="L849" s="8" t="n">
        <v>5.81</v>
      </c>
      <c r="M849" s="8" t="n">
        <v>6.63</v>
      </c>
      <c r="N849" s="4" t="n">
        <v>6.29</v>
      </c>
    </row>
    <row r="850">
      <c r="A850" s="2" t="inlineStr">
        <is>
          <t>TUI1101</t>
        </is>
      </c>
      <c r="B850" s="8" t="inlineStr">
        <is>
          <t>2028-12-01 00:00:00</t>
        </is>
      </c>
      <c r="C850" s="8" t="n">
        <v>5.83</v>
      </c>
      <c r="D850" s="8" t="n">
        <v>6.4</v>
      </c>
      <c r="E850" s="8" t="n">
        <v>10.44</v>
      </c>
      <c r="F850" s="8" t="n">
        <v>9.65</v>
      </c>
      <c r="G850" s="8" t="n">
        <v>9.25</v>
      </c>
      <c r="H850" s="8" t="n">
        <v>7.61</v>
      </c>
      <c r="I850" s="8" t="n">
        <v>5.56</v>
      </c>
      <c r="J850" s="8" t="n">
        <v>5.2</v>
      </c>
      <c r="K850" s="8" t="n">
        <v>7.24</v>
      </c>
      <c r="L850" s="8" t="n">
        <v>7.08</v>
      </c>
      <c r="M850" s="8" t="n">
        <v>7.61</v>
      </c>
      <c r="N850" s="4" t="n">
        <v>6.73</v>
      </c>
    </row>
    <row r="851">
      <c r="A851" s="2" t="inlineStr">
        <is>
          <t>TUI1101</t>
        </is>
      </c>
      <c r="B851" s="8" t="inlineStr">
        <is>
          <t>2029-01-01 00:00:00</t>
        </is>
      </c>
      <c r="C851" s="8" t="n">
        <v>9.949999999999999</v>
      </c>
      <c r="D851" s="8" t="n">
        <v>10.5</v>
      </c>
      <c r="E851" s="8" t="n">
        <v>13.56</v>
      </c>
      <c r="F851" s="8" t="n">
        <v>14.59</v>
      </c>
      <c r="G851" s="8" t="n">
        <v>15.32</v>
      </c>
      <c r="H851" s="8" t="n">
        <v>13.25</v>
      </c>
      <c r="I851" s="8" t="n">
        <v>7.59</v>
      </c>
      <c r="J851" s="8" t="n">
        <v>6.64</v>
      </c>
      <c r="K851" s="8" t="n">
        <v>8.56</v>
      </c>
      <c r="L851" s="8" t="n">
        <v>8.93</v>
      </c>
      <c r="M851" s="8" t="n">
        <v>10.54</v>
      </c>
      <c r="N851" s="4" t="n">
        <v>9.51</v>
      </c>
    </row>
    <row r="852">
      <c r="A852" s="2" t="inlineStr">
        <is>
          <t>TUI1101</t>
        </is>
      </c>
      <c r="B852" s="8" t="inlineStr">
        <is>
          <t>2029-02-01 00:00:00</t>
        </is>
      </c>
      <c r="C852" s="8" t="n">
        <v>9.35</v>
      </c>
      <c r="D852" s="8" t="n">
        <v>11.27</v>
      </c>
      <c r="E852" s="8" t="n">
        <v>13.96</v>
      </c>
      <c r="F852" s="8" t="n">
        <v>13.5</v>
      </c>
      <c r="G852" s="8" t="n">
        <v>15.06</v>
      </c>
      <c r="H852" s="8" t="n">
        <v>13.12</v>
      </c>
      <c r="I852" s="8" t="n">
        <v>8.27</v>
      </c>
      <c r="J852" s="8" t="n">
        <v>6.94</v>
      </c>
      <c r="K852" s="8" t="n">
        <v>10.26</v>
      </c>
      <c r="L852" s="8" t="n">
        <v>10.46</v>
      </c>
      <c r="M852" s="8" t="n">
        <v>12.18</v>
      </c>
      <c r="N852" s="4" t="n">
        <v>10.84</v>
      </c>
    </row>
    <row r="853">
      <c r="A853" s="2" t="inlineStr">
        <is>
          <t>TUI1101</t>
        </is>
      </c>
      <c r="B853" s="8" t="inlineStr">
        <is>
          <t>2029-03-01 00:00:00</t>
        </is>
      </c>
      <c r="C853" s="8" t="n">
        <v>9.539999999999999</v>
      </c>
      <c r="D853" s="8" t="n">
        <v>11.65</v>
      </c>
      <c r="E853" s="8" t="n">
        <v>13.22</v>
      </c>
      <c r="F853" s="8" t="n">
        <v>12.55</v>
      </c>
      <c r="G853" s="8" t="n">
        <v>13.3</v>
      </c>
      <c r="H853" s="8" t="n">
        <v>12.12</v>
      </c>
      <c r="I853" s="8" t="n">
        <v>9.369999999999999</v>
      </c>
      <c r="J853" s="8" t="n">
        <v>9.15</v>
      </c>
      <c r="K853" s="8" t="n">
        <v>12</v>
      </c>
      <c r="L853" s="8" t="n">
        <v>11.07</v>
      </c>
      <c r="M853" s="8" t="n">
        <v>12.17</v>
      </c>
      <c r="N853" s="4" t="n">
        <v>11.24</v>
      </c>
    </row>
    <row r="854">
      <c r="A854" s="2" t="inlineStr">
        <is>
          <t>TUI1101</t>
        </is>
      </c>
      <c r="B854" s="8" t="inlineStr">
        <is>
          <t>2029-04-01 00:00:00</t>
        </is>
      </c>
      <c r="C854" s="8" t="n">
        <v>14.74</v>
      </c>
      <c r="D854" s="8" t="n">
        <v>17.13</v>
      </c>
      <c r="E854" s="8" t="n">
        <v>18.31</v>
      </c>
      <c r="F854" s="8" t="n">
        <v>18.44</v>
      </c>
      <c r="G854" s="8" t="n">
        <v>20.26</v>
      </c>
      <c r="H854" s="8" t="n">
        <v>17.41</v>
      </c>
      <c r="I854" s="8" t="n">
        <v>12.57</v>
      </c>
      <c r="J854" s="8" t="n">
        <v>12.92</v>
      </c>
      <c r="K854" s="8" t="n">
        <v>16.34</v>
      </c>
      <c r="L854" s="8" t="n">
        <v>14.73</v>
      </c>
      <c r="M854" s="8" t="n">
        <v>17.33</v>
      </c>
      <c r="N854" s="4" t="n">
        <v>15.2</v>
      </c>
    </row>
    <row r="855">
      <c r="A855" s="2" t="inlineStr">
        <is>
          <t>TUI1101</t>
        </is>
      </c>
      <c r="B855" s="8" t="inlineStr">
        <is>
          <t>2029-05-01 00:00:00</t>
        </is>
      </c>
      <c r="C855" s="8" t="n">
        <v>13.6</v>
      </c>
      <c r="D855" s="8" t="n">
        <v>18.02</v>
      </c>
      <c r="E855" s="8" t="n">
        <v>20.85</v>
      </c>
      <c r="F855" s="8" t="n">
        <v>17.69</v>
      </c>
      <c r="G855" s="8" t="n">
        <v>22.62</v>
      </c>
      <c r="H855" s="8" t="n">
        <v>16.62</v>
      </c>
      <c r="I855" s="8" t="n">
        <v>13.81</v>
      </c>
      <c r="J855" s="8" t="n">
        <v>14.08</v>
      </c>
      <c r="K855" s="8" t="n">
        <v>15.16</v>
      </c>
      <c r="L855" s="8" t="n">
        <v>14.51</v>
      </c>
      <c r="M855" s="8" t="n">
        <v>16.56</v>
      </c>
      <c r="N855" s="4" t="n">
        <v>14.96</v>
      </c>
    </row>
    <row r="856">
      <c r="A856" s="2" t="inlineStr">
        <is>
          <t>TUI1101</t>
        </is>
      </c>
      <c r="B856" s="8" t="inlineStr">
        <is>
          <t>2029-06-01 00:00:00</t>
        </is>
      </c>
      <c r="C856" s="8" t="n">
        <v>13.39</v>
      </c>
      <c r="D856" s="8" t="n">
        <v>17.01</v>
      </c>
      <c r="E856" s="8" t="n">
        <v>25.08</v>
      </c>
      <c r="F856" s="8" t="n">
        <v>16.95</v>
      </c>
      <c r="G856" s="8" t="n">
        <v>26.08</v>
      </c>
      <c r="H856" s="8" t="n">
        <v>16.55</v>
      </c>
      <c r="I856" s="8" t="n">
        <v>12.23</v>
      </c>
      <c r="J856" s="8" t="n">
        <v>11.67</v>
      </c>
      <c r="K856" s="8" t="n">
        <v>14.37</v>
      </c>
      <c r="L856" s="8" t="n">
        <v>13.65</v>
      </c>
      <c r="M856" s="8" t="n">
        <v>16.95</v>
      </c>
      <c r="N856" s="4" t="n">
        <v>15.59</v>
      </c>
    </row>
    <row r="857">
      <c r="A857" s="2" t="inlineStr">
        <is>
          <t>TUI1101</t>
        </is>
      </c>
      <c r="B857" s="8" t="inlineStr">
        <is>
          <t>2029-07-01 00:00:00</t>
        </is>
      </c>
      <c r="C857" s="8" t="n">
        <v>12.53</v>
      </c>
      <c r="D857" s="8" t="n">
        <v>15.21</v>
      </c>
      <c r="E857" s="8" t="n">
        <v>23.13</v>
      </c>
      <c r="F857" s="8" t="n">
        <v>16.73</v>
      </c>
      <c r="G857" s="8" t="n">
        <v>24.84</v>
      </c>
      <c r="H857" s="8" t="n">
        <v>15.96</v>
      </c>
      <c r="I857" s="8" t="n">
        <v>12.49</v>
      </c>
      <c r="J857" s="8" t="n">
        <v>12.01</v>
      </c>
      <c r="K857" s="8" t="n">
        <v>15.46</v>
      </c>
      <c r="L857" s="8" t="n">
        <v>13.31</v>
      </c>
      <c r="M857" s="8" t="n">
        <v>17.42</v>
      </c>
      <c r="N857" s="4" t="n">
        <v>14.92</v>
      </c>
    </row>
    <row r="858">
      <c r="A858" s="2" t="inlineStr">
        <is>
          <t>TUI1101</t>
        </is>
      </c>
      <c r="B858" s="8" t="inlineStr">
        <is>
          <t>2029-08-01 00:00:00</t>
        </is>
      </c>
      <c r="C858" s="8" t="n">
        <v>12.67</v>
      </c>
      <c r="D858" s="8" t="n">
        <v>15.84</v>
      </c>
      <c r="E858" s="8" t="n">
        <v>16.66</v>
      </c>
      <c r="F858" s="8" t="n">
        <v>15.37</v>
      </c>
      <c r="G858" s="8" t="n">
        <v>17.59</v>
      </c>
      <c r="H858" s="8" t="n">
        <v>15.91</v>
      </c>
      <c r="I858" s="8" t="n">
        <v>14.24</v>
      </c>
      <c r="J858" s="8" t="n">
        <v>13.91</v>
      </c>
      <c r="K858" s="8" t="n">
        <v>16.17</v>
      </c>
      <c r="L858" s="8" t="n">
        <v>15.04</v>
      </c>
      <c r="M858" s="8" t="n">
        <v>17.64</v>
      </c>
      <c r="N858" s="4" t="n">
        <v>15.6</v>
      </c>
    </row>
    <row r="859">
      <c r="A859" s="2" t="inlineStr">
        <is>
          <t>TUI1101</t>
        </is>
      </c>
      <c r="B859" s="8" t="inlineStr">
        <is>
          <t>2029-09-01 00:00:00</t>
        </is>
      </c>
      <c r="C859" s="8" t="n">
        <v>9.779999999999999</v>
      </c>
      <c r="D859" s="8" t="n">
        <v>16.85</v>
      </c>
      <c r="E859" s="8" t="n">
        <v>20.79</v>
      </c>
      <c r="F859" s="8" t="n">
        <v>17.98</v>
      </c>
      <c r="G859" s="8" t="n">
        <v>23.73</v>
      </c>
      <c r="H859" s="8" t="n">
        <v>17.52</v>
      </c>
      <c r="I859" s="8" t="n">
        <v>8.35</v>
      </c>
      <c r="J859" s="8" t="n">
        <v>9.210000000000001</v>
      </c>
      <c r="K859" s="8" t="n">
        <v>13.61</v>
      </c>
      <c r="L859" s="8" t="n">
        <v>12.07</v>
      </c>
      <c r="M859" s="8" t="n">
        <v>17.58</v>
      </c>
      <c r="N859" s="4" t="n">
        <v>14.31</v>
      </c>
    </row>
    <row r="860">
      <c r="A860" s="2" t="inlineStr">
        <is>
          <t>TUI1101</t>
        </is>
      </c>
      <c r="B860" s="8" t="inlineStr">
        <is>
          <t>2029-10-01 00:00:00</t>
        </is>
      </c>
      <c r="C860" s="8" t="n">
        <v>5.65</v>
      </c>
      <c r="D860" s="8" t="n">
        <v>7.59</v>
      </c>
      <c r="E860" s="8" t="n">
        <v>8.890000000000001</v>
      </c>
      <c r="F860" s="8" t="n">
        <v>7.63</v>
      </c>
      <c r="G860" s="8" t="n">
        <v>9.050000000000001</v>
      </c>
      <c r="H860" s="8" t="n">
        <v>8.970000000000001</v>
      </c>
      <c r="I860" s="8" t="n">
        <v>6.37</v>
      </c>
      <c r="J860" s="8" t="n">
        <v>6.29</v>
      </c>
      <c r="K860" s="8" t="n">
        <v>7.08</v>
      </c>
      <c r="L860" s="8" t="n">
        <v>6.1</v>
      </c>
      <c r="M860" s="8" t="n">
        <v>7.62</v>
      </c>
      <c r="N860" s="4" t="n">
        <v>7.36</v>
      </c>
    </row>
    <row r="861">
      <c r="A861" s="2" t="inlineStr">
        <is>
          <t>TUI1101</t>
        </is>
      </c>
      <c r="B861" s="8" t="inlineStr">
        <is>
          <t>2029-11-01 00:00:00</t>
        </is>
      </c>
      <c r="C861" s="8" t="n">
        <v>4.49</v>
      </c>
      <c r="D861" s="8" t="n">
        <v>6.88</v>
      </c>
      <c r="E861" s="8" t="n">
        <v>9.869999999999999</v>
      </c>
      <c r="F861" s="8" t="n">
        <v>9.23</v>
      </c>
      <c r="G861" s="8" t="n">
        <v>9.779999999999999</v>
      </c>
      <c r="H861" s="8" t="n">
        <v>7.97</v>
      </c>
      <c r="I861" s="8" t="n">
        <v>4.46</v>
      </c>
      <c r="J861" s="8" t="n">
        <v>4</v>
      </c>
      <c r="K861" s="8" t="n">
        <v>6.52</v>
      </c>
      <c r="L861" s="8" t="n">
        <v>5.68</v>
      </c>
      <c r="M861" s="8" t="n">
        <v>6.48</v>
      </c>
      <c r="N861" s="4" t="n">
        <v>6.15</v>
      </c>
    </row>
    <row r="862">
      <c r="A862" s="2" t="inlineStr">
        <is>
          <t>TUI1101</t>
        </is>
      </c>
      <c r="B862" s="8" t="inlineStr">
        <is>
          <t>2029-12-01 00:00:00</t>
        </is>
      </c>
      <c r="C862" s="8" t="n">
        <v>5.7</v>
      </c>
      <c r="D862" s="8" t="n">
        <v>6.26</v>
      </c>
      <c r="E862" s="8" t="n">
        <v>10.21</v>
      </c>
      <c r="F862" s="8" t="n">
        <v>9.44</v>
      </c>
      <c r="G862" s="8" t="n">
        <v>9.039999999999999</v>
      </c>
      <c r="H862" s="8" t="n">
        <v>7.44</v>
      </c>
      <c r="I862" s="8" t="n">
        <v>5.44</v>
      </c>
      <c r="J862" s="8" t="n">
        <v>5.09</v>
      </c>
      <c r="K862" s="8" t="n">
        <v>7.08</v>
      </c>
      <c r="L862" s="8" t="n">
        <v>6.93</v>
      </c>
      <c r="M862" s="8" t="n">
        <v>7.44</v>
      </c>
      <c r="N862" s="4" t="n">
        <v>6.59</v>
      </c>
    </row>
    <row r="863">
      <c r="A863" s="2" t="inlineStr">
        <is>
          <t>TUI1101</t>
        </is>
      </c>
      <c r="B863" s="8" t="inlineStr">
        <is>
          <t>2030-01-01 00:00:00</t>
        </is>
      </c>
      <c r="C863" s="8" t="n">
        <v>9.949999999999999</v>
      </c>
      <c r="D863" s="8" t="n">
        <v>10.5</v>
      </c>
      <c r="E863" s="8" t="n">
        <v>13.56</v>
      </c>
      <c r="F863" s="8" t="n">
        <v>14.59</v>
      </c>
      <c r="G863" s="8" t="n">
        <v>15.32</v>
      </c>
      <c r="H863" s="8" t="n">
        <v>13.25</v>
      </c>
      <c r="I863" s="8" t="n">
        <v>7.59</v>
      </c>
      <c r="J863" s="8" t="n">
        <v>6.64</v>
      </c>
      <c r="K863" s="8" t="n">
        <v>8.56</v>
      </c>
      <c r="L863" s="8" t="n">
        <v>8.93</v>
      </c>
      <c r="M863" s="8" t="n">
        <v>10.54</v>
      </c>
      <c r="N863" s="4" t="n">
        <v>9.51</v>
      </c>
    </row>
    <row r="864">
      <c r="A864" s="2" t="inlineStr">
        <is>
          <t>TUI1101</t>
        </is>
      </c>
      <c r="B864" s="8" t="inlineStr">
        <is>
          <t>2030-02-01 00:00:00</t>
        </is>
      </c>
      <c r="C864" s="8" t="n">
        <v>9.35</v>
      </c>
      <c r="D864" s="8" t="n">
        <v>11.27</v>
      </c>
      <c r="E864" s="8" t="n">
        <v>13.96</v>
      </c>
      <c r="F864" s="8" t="n">
        <v>13.5</v>
      </c>
      <c r="G864" s="8" t="n">
        <v>15.06</v>
      </c>
      <c r="H864" s="8" t="n">
        <v>13.12</v>
      </c>
      <c r="I864" s="8" t="n">
        <v>8.27</v>
      </c>
      <c r="J864" s="8" t="n">
        <v>6.94</v>
      </c>
      <c r="K864" s="8" t="n">
        <v>10.26</v>
      </c>
      <c r="L864" s="8" t="n">
        <v>10.46</v>
      </c>
      <c r="M864" s="8" t="n">
        <v>12.18</v>
      </c>
      <c r="N864" s="4" t="n">
        <v>10.84</v>
      </c>
    </row>
    <row r="865">
      <c r="A865" s="2" t="inlineStr">
        <is>
          <t>TUI1101</t>
        </is>
      </c>
      <c r="B865" s="8" t="inlineStr">
        <is>
          <t>2030-03-01 00:00:00</t>
        </is>
      </c>
      <c r="C865" s="8" t="n">
        <v>9.539999999999999</v>
      </c>
      <c r="D865" s="8" t="n">
        <v>11.65</v>
      </c>
      <c r="E865" s="8" t="n">
        <v>13.22</v>
      </c>
      <c r="F865" s="8" t="n">
        <v>12.55</v>
      </c>
      <c r="G865" s="8" t="n">
        <v>13.3</v>
      </c>
      <c r="H865" s="8" t="n">
        <v>12.12</v>
      </c>
      <c r="I865" s="8" t="n">
        <v>9.369999999999999</v>
      </c>
      <c r="J865" s="8" t="n">
        <v>9.15</v>
      </c>
      <c r="K865" s="8" t="n">
        <v>12</v>
      </c>
      <c r="L865" s="8" t="n">
        <v>11.07</v>
      </c>
      <c r="M865" s="8" t="n">
        <v>12.17</v>
      </c>
      <c r="N865" s="4" t="n">
        <v>11.24</v>
      </c>
    </row>
    <row r="866">
      <c r="A866" s="2" t="inlineStr">
        <is>
          <t>TUI1101</t>
        </is>
      </c>
      <c r="B866" s="8" t="inlineStr">
        <is>
          <t>2030-04-01 00:00:00</t>
        </is>
      </c>
      <c r="C866" s="8" t="n">
        <v>14.74</v>
      </c>
      <c r="D866" s="8" t="n">
        <v>17.13</v>
      </c>
      <c r="E866" s="8" t="n">
        <v>18.31</v>
      </c>
      <c r="F866" s="8" t="n">
        <v>18.44</v>
      </c>
      <c r="G866" s="8" t="n">
        <v>20.26</v>
      </c>
      <c r="H866" s="8" t="n">
        <v>17.41</v>
      </c>
      <c r="I866" s="8" t="n">
        <v>12.57</v>
      </c>
      <c r="J866" s="8" t="n">
        <v>12.92</v>
      </c>
      <c r="K866" s="8" t="n">
        <v>16.34</v>
      </c>
      <c r="L866" s="8" t="n">
        <v>14.73</v>
      </c>
      <c r="M866" s="8" t="n">
        <v>17.33</v>
      </c>
      <c r="N866" s="4" t="n">
        <v>15.2</v>
      </c>
    </row>
    <row r="867">
      <c r="A867" s="2" t="inlineStr">
        <is>
          <t>TUI1101</t>
        </is>
      </c>
      <c r="B867" s="8" t="inlineStr">
        <is>
          <t>2030-05-01 00:00:00</t>
        </is>
      </c>
      <c r="C867" s="8" t="n">
        <v>13.6</v>
      </c>
      <c r="D867" s="8" t="n">
        <v>18.02</v>
      </c>
      <c r="E867" s="8" t="n">
        <v>20.85</v>
      </c>
      <c r="F867" s="8" t="n">
        <v>17.69</v>
      </c>
      <c r="G867" s="8" t="n">
        <v>22.62</v>
      </c>
      <c r="H867" s="8" t="n">
        <v>16.62</v>
      </c>
      <c r="I867" s="8" t="n">
        <v>13.81</v>
      </c>
      <c r="J867" s="8" t="n">
        <v>14.08</v>
      </c>
      <c r="K867" s="8" t="n">
        <v>15.16</v>
      </c>
      <c r="L867" s="8" t="n">
        <v>14.51</v>
      </c>
      <c r="M867" s="8" t="n">
        <v>16.56</v>
      </c>
      <c r="N867" s="4" t="n">
        <v>14.96</v>
      </c>
    </row>
    <row r="868">
      <c r="A868" s="2" t="inlineStr">
        <is>
          <t>TUI1101</t>
        </is>
      </c>
      <c r="B868" s="8" t="inlineStr">
        <is>
          <t>2030-06-01 00:00:00</t>
        </is>
      </c>
      <c r="C868" s="8" t="n">
        <v>13.39</v>
      </c>
      <c r="D868" s="8" t="n">
        <v>17.01</v>
      </c>
      <c r="E868" s="8" t="n">
        <v>25.08</v>
      </c>
      <c r="F868" s="8" t="n">
        <v>16.95</v>
      </c>
      <c r="G868" s="8" t="n">
        <v>26.08</v>
      </c>
      <c r="H868" s="8" t="n">
        <v>16.55</v>
      </c>
      <c r="I868" s="8" t="n">
        <v>12.23</v>
      </c>
      <c r="J868" s="8" t="n">
        <v>11.67</v>
      </c>
      <c r="K868" s="8" t="n">
        <v>14.37</v>
      </c>
      <c r="L868" s="8" t="n">
        <v>13.65</v>
      </c>
      <c r="M868" s="8" t="n">
        <v>16.95</v>
      </c>
      <c r="N868" s="4" t="n">
        <v>15.59</v>
      </c>
    </row>
    <row r="869">
      <c r="A869" s="2" t="inlineStr">
        <is>
          <t>TUI1101</t>
        </is>
      </c>
      <c r="B869" s="8" t="inlineStr">
        <is>
          <t>2030-07-01 00:00:00</t>
        </is>
      </c>
      <c r="C869" s="8" t="n">
        <v>12.53</v>
      </c>
      <c r="D869" s="8" t="n">
        <v>15.21</v>
      </c>
      <c r="E869" s="8" t="n">
        <v>23.13</v>
      </c>
      <c r="F869" s="8" t="n">
        <v>16.73</v>
      </c>
      <c r="G869" s="8" t="n">
        <v>24.84</v>
      </c>
      <c r="H869" s="8" t="n">
        <v>15.96</v>
      </c>
      <c r="I869" s="8" t="n">
        <v>12.49</v>
      </c>
      <c r="J869" s="8" t="n">
        <v>12.01</v>
      </c>
      <c r="K869" s="8" t="n">
        <v>15.46</v>
      </c>
      <c r="L869" s="8" t="n">
        <v>13.31</v>
      </c>
      <c r="M869" s="8" t="n">
        <v>17.42</v>
      </c>
      <c r="N869" s="4" t="n">
        <v>14.92</v>
      </c>
    </row>
    <row r="870">
      <c r="A870" s="2" t="inlineStr">
        <is>
          <t>TUI1101</t>
        </is>
      </c>
      <c r="B870" s="8" t="inlineStr">
        <is>
          <t>2030-08-01 00:00:00</t>
        </is>
      </c>
      <c r="C870" s="8" t="n">
        <v>12.67</v>
      </c>
      <c r="D870" s="8" t="n">
        <v>15.84</v>
      </c>
      <c r="E870" s="8" t="n">
        <v>16.66</v>
      </c>
      <c r="F870" s="8" t="n">
        <v>15.37</v>
      </c>
      <c r="G870" s="8" t="n">
        <v>17.59</v>
      </c>
      <c r="H870" s="8" t="n">
        <v>15.91</v>
      </c>
      <c r="I870" s="8" t="n">
        <v>14.24</v>
      </c>
      <c r="J870" s="8" t="n">
        <v>13.91</v>
      </c>
      <c r="K870" s="8" t="n">
        <v>16.17</v>
      </c>
      <c r="L870" s="8" t="n">
        <v>15.04</v>
      </c>
      <c r="M870" s="8" t="n">
        <v>17.64</v>
      </c>
      <c r="N870" s="4" t="n">
        <v>15.6</v>
      </c>
    </row>
    <row r="871">
      <c r="A871" s="2" t="inlineStr">
        <is>
          <t>TUI1101</t>
        </is>
      </c>
      <c r="B871" s="8" t="inlineStr">
        <is>
          <t>2030-09-01 00:00:00</t>
        </is>
      </c>
      <c r="C871" s="8" t="n">
        <v>9.779999999999999</v>
      </c>
      <c r="D871" s="8" t="n">
        <v>16.85</v>
      </c>
      <c r="E871" s="8" t="n">
        <v>20.79</v>
      </c>
      <c r="F871" s="8" t="n">
        <v>17.98</v>
      </c>
      <c r="G871" s="8" t="n">
        <v>23.73</v>
      </c>
      <c r="H871" s="8" t="n">
        <v>17.52</v>
      </c>
      <c r="I871" s="8" t="n">
        <v>8.35</v>
      </c>
      <c r="J871" s="8" t="n">
        <v>9.210000000000001</v>
      </c>
      <c r="K871" s="8" t="n">
        <v>13.61</v>
      </c>
      <c r="L871" s="8" t="n">
        <v>12.07</v>
      </c>
      <c r="M871" s="8" t="n">
        <v>17.58</v>
      </c>
      <c r="N871" s="4" t="n">
        <v>14.31</v>
      </c>
    </row>
    <row r="872">
      <c r="A872" s="2" t="inlineStr">
        <is>
          <t>TUI1101</t>
        </is>
      </c>
      <c r="B872" s="8" t="inlineStr">
        <is>
          <t>2030-10-01 00:00:00</t>
        </is>
      </c>
      <c r="C872" s="8" t="n">
        <v>5.65</v>
      </c>
      <c r="D872" s="8" t="n">
        <v>7.59</v>
      </c>
      <c r="E872" s="8" t="n">
        <v>8.890000000000001</v>
      </c>
      <c r="F872" s="8" t="n">
        <v>7.63</v>
      </c>
      <c r="G872" s="8" t="n">
        <v>9.050000000000001</v>
      </c>
      <c r="H872" s="8" t="n">
        <v>8.970000000000001</v>
      </c>
      <c r="I872" s="8" t="n">
        <v>6.37</v>
      </c>
      <c r="J872" s="8" t="n">
        <v>6.29</v>
      </c>
      <c r="K872" s="8" t="n">
        <v>7.08</v>
      </c>
      <c r="L872" s="8" t="n">
        <v>6.1</v>
      </c>
      <c r="M872" s="8" t="n">
        <v>7.62</v>
      </c>
      <c r="N872" s="4" t="n">
        <v>7.36</v>
      </c>
    </row>
    <row r="873">
      <c r="A873" s="2" t="inlineStr">
        <is>
          <t>TUI1101</t>
        </is>
      </c>
      <c r="B873" s="8" t="inlineStr">
        <is>
          <t>2030-11-01 00:00:00</t>
        </is>
      </c>
      <c r="C873" s="8" t="n">
        <v>4.49</v>
      </c>
      <c r="D873" s="8" t="n">
        <v>6.88</v>
      </c>
      <c r="E873" s="8" t="n">
        <v>9.869999999999999</v>
      </c>
      <c r="F873" s="8" t="n">
        <v>9.23</v>
      </c>
      <c r="G873" s="8" t="n">
        <v>9.779999999999999</v>
      </c>
      <c r="H873" s="8" t="n">
        <v>7.97</v>
      </c>
      <c r="I873" s="8" t="n">
        <v>4.46</v>
      </c>
      <c r="J873" s="8" t="n">
        <v>4</v>
      </c>
      <c r="K873" s="8" t="n">
        <v>6.52</v>
      </c>
      <c r="L873" s="8" t="n">
        <v>5.68</v>
      </c>
      <c r="M873" s="8" t="n">
        <v>6.48</v>
      </c>
      <c r="N873" s="4" t="n">
        <v>6.15</v>
      </c>
    </row>
    <row r="874">
      <c r="A874" s="2" t="inlineStr">
        <is>
          <t>TUI1101</t>
        </is>
      </c>
      <c r="B874" s="8" t="inlineStr">
        <is>
          <t>2030-12-01 00:00:00</t>
        </is>
      </c>
      <c r="C874" s="8" t="n">
        <v>5.7</v>
      </c>
      <c r="D874" s="8" t="n">
        <v>6.26</v>
      </c>
      <c r="E874" s="8" t="n">
        <v>10.21</v>
      </c>
      <c r="F874" s="8" t="n">
        <v>9.44</v>
      </c>
      <c r="G874" s="8" t="n">
        <v>9.039999999999999</v>
      </c>
      <c r="H874" s="8" t="n">
        <v>7.44</v>
      </c>
      <c r="I874" s="8" t="n">
        <v>5.44</v>
      </c>
      <c r="J874" s="8" t="n">
        <v>5.09</v>
      </c>
      <c r="K874" s="8" t="n">
        <v>7.08</v>
      </c>
      <c r="L874" s="8" t="n">
        <v>6.93</v>
      </c>
      <c r="M874" s="8" t="n">
        <v>7.44</v>
      </c>
      <c r="N874" s="4" t="n">
        <v>6.59</v>
      </c>
    </row>
    <row r="875">
      <c r="A875" s="2" t="inlineStr">
        <is>
          <t>TUI1101</t>
        </is>
      </c>
      <c r="B875" s="8" t="inlineStr">
        <is>
          <t>2031-01-01 00:00:00</t>
        </is>
      </c>
      <c r="C875" s="8" t="n">
        <v>9.949999999999999</v>
      </c>
      <c r="D875" s="8" t="n">
        <v>10.5</v>
      </c>
      <c r="E875" s="8" t="n">
        <v>13.56</v>
      </c>
      <c r="F875" s="8" t="n">
        <v>14.59</v>
      </c>
      <c r="G875" s="8" t="n">
        <v>15.32</v>
      </c>
      <c r="H875" s="8" t="n">
        <v>13.25</v>
      </c>
      <c r="I875" s="8" t="n">
        <v>7.59</v>
      </c>
      <c r="J875" s="8" t="n">
        <v>6.64</v>
      </c>
      <c r="K875" s="8" t="n">
        <v>8.56</v>
      </c>
      <c r="L875" s="8" t="n">
        <v>8.93</v>
      </c>
      <c r="M875" s="8" t="n">
        <v>10.54</v>
      </c>
      <c r="N875" s="4" t="n">
        <v>9.51</v>
      </c>
    </row>
    <row r="876">
      <c r="A876" s="2" t="inlineStr">
        <is>
          <t>TUI1101</t>
        </is>
      </c>
      <c r="B876" s="8" t="inlineStr">
        <is>
          <t>2031-02-01 00:00:00</t>
        </is>
      </c>
      <c r="C876" s="8" t="n">
        <v>9.35</v>
      </c>
      <c r="D876" s="8" t="n">
        <v>11.27</v>
      </c>
      <c r="E876" s="8" t="n">
        <v>13.96</v>
      </c>
      <c r="F876" s="8" t="n">
        <v>13.5</v>
      </c>
      <c r="G876" s="8" t="n">
        <v>15.06</v>
      </c>
      <c r="H876" s="8" t="n">
        <v>13.12</v>
      </c>
      <c r="I876" s="8" t="n">
        <v>8.27</v>
      </c>
      <c r="J876" s="8" t="n">
        <v>6.94</v>
      </c>
      <c r="K876" s="8" t="n">
        <v>10.26</v>
      </c>
      <c r="L876" s="8" t="n">
        <v>10.46</v>
      </c>
      <c r="M876" s="8" t="n">
        <v>12.18</v>
      </c>
      <c r="N876" s="4" t="n">
        <v>10.84</v>
      </c>
    </row>
    <row r="877">
      <c r="A877" s="2" t="inlineStr">
        <is>
          <t>TUI1101</t>
        </is>
      </c>
      <c r="B877" s="8" t="inlineStr">
        <is>
          <t>2031-03-01 00:00:00</t>
        </is>
      </c>
      <c r="C877" s="8" t="n">
        <v>9.539999999999999</v>
      </c>
      <c r="D877" s="8" t="n">
        <v>11.65</v>
      </c>
      <c r="E877" s="8" t="n">
        <v>13.22</v>
      </c>
      <c r="F877" s="8" t="n">
        <v>12.55</v>
      </c>
      <c r="G877" s="8" t="n">
        <v>13.3</v>
      </c>
      <c r="H877" s="8" t="n">
        <v>12.12</v>
      </c>
      <c r="I877" s="8" t="n">
        <v>9.369999999999999</v>
      </c>
      <c r="J877" s="8" t="n">
        <v>9.15</v>
      </c>
      <c r="K877" s="8" t="n">
        <v>12</v>
      </c>
      <c r="L877" s="8" t="n">
        <v>11.07</v>
      </c>
      <c r="M877" s="8" t="n">
        <v>12.17</v>
      </c>
      <c r="N877" s="4" t="n">
        <v>11.24</v>
      </c>
    </row>
    <row r="878">
      <c r="A878" s="2" t="inlineStr">
        <is>
          <t>TUI1101</t>
        </is>
      </c>
      <c r="B878" s="8" t="inlineStr">
        <is>
          <t>2031-04-01 00:00:00</t>
        </is>
      </c>
      <c r="C878" s="8" t="n">
        <v>14.74</v>
      </c>
      <c r="D878" s="8" t="n">
        <v>17.13</v>
      </c>
      <c r="E878" s="8" t="n">
        <v>18.31</v>
      </c>
      <c r="F878" s="8" t="n">
        <v>18.44</v>
      </c>
      <c r="G878" s="8" t="n">
        <v>20.26</v>
      </c>
      <c r="H878" s="8" t="n">
        <v>17.41</v>
      </c>
      <c r="I878" s="8" t="n">
        <v>12.57</v>
      </c>
      <c r="J878" s="8" t="n">
        <v>12.92</v>
      </c>
      <c r="K878" s="8" t="n">
        <v>16.34</v>
      </c>
      <c r="L878" s="8" t="n">
        <v>14.73</v>
      </c>
      <c r="M878" s="8" t="n">
        <v>17.33</v>
      </c>
      <c r="N878" s="4" t="n">
        <v>15.2</v>
      </c>
    </row>
    <row r="879">
      <c r="A879" s="2" t="inlineStr">
        <is>
          <t>TUI1101</t>
        </is>
      </c>
      <c r="B879" s="8" t="inlineStr">
        <is>
          <t>2031-05-01 00:00:00</t>
        </is>
      </c>
      <c r="C879" s="8" t="n">
        <v>13.6</v>
      </c>
      <c r="D879" s="8" t="n">
        <v>18.02</v>
      </c>
      <c r="E879" s="8" t="n">
        <v>20.85</v>
      </c>
      <c r="F879" s="8" t="n">
        <v>17.69</v>
      </c>
      <c r="G879" s="8" t="n">
        <v>22.62</v>
      </c>
      <c r="H879" s="8" t="n">
        <v>16.62</v>
      </c>
      <c r="I879" s="8" t="n">
        <v>13.81</v>
      </c>
      <c r="J879" s="8" t="n">
        <v>14.08</v>
      </c>
      <c r="K879" s="8" t="n">
        <v>15.16</v>
      </c>
      <c r="L879" s="8" t="n">
        <v>14.51</v>
      </c>
      <c r="M879" s="8" t="n">
        <v>16.56</v>
      </c>
      <c r="N879" s="4" t="n">
        <v>14.96</v>
      </c>
    </row>
    <row r="880">
      <c r="A880" s="2" t="inlineStr">
        <is>
          <t>TUI1101</t>
        </is>
      </c>
      <c r="B880" s="8" t="inlineStr">
        <is>
          <t>2031-06-01 00:00:00</t>
        </is>
      </c>
      <c r="C880" s="8" t="n">
        <v>13.39</v>
      </c>
      <c r="D880" s="8" t="n">
        <v>17.01</v>
      </c>
      <c r="E880" s="8" t="n">
        <v>25.08</v>
      </c>
      <c r="F880" s="8" t="n">
        <v>16.95</v>
      </c>
      <c r="G880" s="8" t="n">
        <v>26.08</v>
      </c>
      <c r="H880" s="8" t="n">
        <v>16.55</v>
      </c>
      <c r="I880" s="8" t="n">
        <v>12.23</v>
      </c>
      <c r="J880" s="8" t="n">
        <v>11.67</v>
      </c>
      <c r="K880" s="8" t="n">
        <v>14.37</v>
      </c>
      <c r="L880" s="8" t="n">
        <v>13.65</v>
      </c>
      <c r="M880" s="8" t="n">
        <v>16.95</v>
      </c>
      <c r="N880" s="4" t="n">
        <v>15.59</v>
      </c>
    </row>
    <row r="881">
      <c r="A881" s="2" t="inlineStr">
        <is>
          <t>WIR0331</t>
        </is>
      </c>
      <c r="B881" s="8" t="inlineStr">
        <is>
          <t>2026-07-01 00:00:00</t>
        </is>
      </c>
      <c r="C881" s="8" t="n">
        <v>12.27</v>
      </c>
      <c r="D881" s="8" t="n">
        <v>14.9</v>
      </c>
      <c r="E881" s="8" t="n">
        <v>22.78</v>
      </c>
      <c r="F881" s="8" t="n">
        <v>16.39</v>
      </c>
      <c r="G881" s="8" t="n">
        <v>24.46</v>
      </c>
      <c r="H881" s="8" t="n">
        <v>15.63</v>
      </c>
      <c r="I881" s="8" t="n">
        <v>12.24</v>
      </c>
      <c r="J881" s="8" t="n">
        <v>11.77</v>
      </c>
      <c r="K881" s="8" t="n">
        <v>15.15</v>
      </c>
      <c r="L881" s="8" t="n">
        <v>13.05</v>
      </c>
      <c r="M881" s="8" t="n">
        <v>17.06</v>
      </c>
      <c r="N881" s="4" t="n">
        <v>14.62</v>
      </c>
    </row>
    <row r="882">
      <c r="A882" s="2" t="inlineStr">
        <is>
          <t>WIR0331</t>
        </is>
      </c>
      <c r="B882" s="8" t="inlineStr">
        <is>
          <t>2026-08-01 00:00:00</t>
        </is>
      </c>
      <c r="C882" s="8" t="n">
        <v>12.58</v>
      </c>
      <c r="D882" s="8" t="n">
        <v>15.73</v>
      </c>
      <c r="E882" s="8" t="n">
        <v>16.54</v>
      </c>
      <c r="F882" s="8" t="n">
        <v>15.26</v>
      </c>
      <c r="G882" s="8" t="n">
        <v>17.46</v>
      </c>
      <c r="H882" s="8" t="n">
        <v>15.8</v>
      </c>
      <c r="I882" s="8" t="n">
        <v>14.14</v>
      </c>
      <c r="J882" s="8" t="n">
        <v>13.81</v>
      </c>
      <c r="K882" s="8" t="n">
        <v>16.05</v>
      </c>
      <c r="L882" s="8" t="n">
        <v>14.93</v>
      </c>
      <c r="M882" s="8" t="n">
        <v>17.51</v>
      </c>
      <c r="N882" s="4" t="n">
        <v>15.48</v>
      </c>
    </row>
    <row r="883">
      <c r="A883" s="2" t="inlineStr">
        <is>
          <t>WIR0331</t>
        </is>
      </c>
      <c r="B883" s="8" t="inlineStr">
        <is>
          <t>2026-09-01 00:00:00</t>
        </is>
      </c>
      <c r="C883" s="8" t="n">
        <v>6.64</v>
      </c>
      <c r="D883" s="8" t="n">
        <v>11.34</v>
      </c>
      <c r="E883" s="8" t="n">
        <v>13.95</v>
      </c>
      <c r="F883" s="8" t="n">
        <v>12.09</v>
      </c>
      <c r="G883" s="8" t="n">
        <v>15.9</v>
      </c>
      <c r="H883" s="8" t="n">
        <v>11.78</v>
      </c>
      <c r="I883" s="8" t="n">
        <v>5.7</v>
      </c>
      <c r="J883" s="8" t="n">
        <v>6.26</v>
      </c>
      <c r="K883" s="8" t="n">
        <v>9.19</v>
      </c>
      <c r="L883" s="8" t="n">
        <v>8.16</v>
      </c>
      <c r="M883" s="8" t="n">
        <v>11.82</v>
      </c>
      <c r="N883" s="4" t="n">
        <v>9.65</v>
      </c>
    </row>
    <row r="884">
      <c r="A884" s="2" t="inlineStr">
        <is>
          <t>WIR0331</t>
        </is>
      </c>
      <c r="B884" s="8" t="inlineStr">
        <is>
          <t>2026-10-01 00:00:00</t>
        </is>
      </c>
      <c r="C884" s="8" t="n">
        <v>6.46</v>
      </c>
      <c r="D884" s="8" t="n">
        <v>8.710000000000001</v>
      </c>
      <c r="E884" s="8" t="n">
        <v>10.21</v>
      </c>
      <c r="F884" s="8" t="n">
        <v>8.75</v>
      </c>
      <c r="G884" s="8" t="n">
        <v>10.4</v>
      </c>
      <c r="H884" s="8" t="n">
        <v>10.31</v>
      </c>
      <c r="I884" s="8" t="n">
        <v>7.29</v>
      </c>
      <c r="J884" s="8" t="n">
        <v>7.19</v>
      </c>
      <c r="K884" s="8" t="n">
        <v>8.109999999999999</v>
      </c>
      <c r="L884" s="8" t="n">
        <v>6.98</v>
      </c>
      <c r="M884" s="8" t="n">
        <v>8.74</v>
      </c>
      <c r="N884" s="4" t="n">
        <v>8.44</v>
      </c>
    </row>
    <row r="885">
      <c r="A885" s="2" t="inlineStr">
        <is>
          <t>WIR0331</t>
        </is>
      </c>
      <c r="B885" s="8" t="inlineStr">
        <is>
          <t>2026-11-01 00:00:00</t>
        </is>
      </c>
      <c r="C885" s="8" t="n">
        <v>5.11</v>
      </c>
      <c r="D885" s="8" t="n">
        <v>7.87</v>
      </c>
      <c r="E885" s="8" t="n">
        <v>11.34</v>
      </c>
      <c r="F885" s="8" t="n">
        <v>10.6</v>
      </c>
      <c r="G885" s="8" t="n">
        <v>11.24</v>
      </c>
      <c r="H885" s="8" t="n">
        <v>9.140000000000001</v>
      </c>
      <c r="I885" s="8" t="n">
        <v>5.07</v>
      </c>
      <c r="J885" s="8" t="n">
        <v>4.53</v>
      </c>
      <c r="K885" s="8" t="n">
        <v>7.46</v>
      </c>
      <c r="L885" s="8" t="n">
        <v>6.49</v>
      </c>
      <c r="M885" s="8" t="n">
        <v>7.42</v>
      </c>
      <c r="N885" s="4" t="n">
        <v>7.03</v>
      </c>
    </row>
    <row r="886">
      <c r="A886" s="2" t="inlineStr">
        <is>
          <t>WIR0331</t>
        </is>
      </c>
      <c r="B886" s="8" t="inlineStr">
        <is>
          <t>2026-12-01 00:00:00</t>
        </is>
      </c>
      <c r="C886" s="8" t="n">
        <v>5.86</v>
      </c>
      <c r="D886" s="8" t="n">
        <v>6.44</v>
      </c>
      <c r="E886" s="8" t="n">
        <v>10.53</v>
      </c>
      <c r="F886" s="8" t="n">
        <v>9.73</v>
      </c>
      <c r="G886" s="8" t="n">
        <v>9.32</v>
      </c>
      <c r="H886" s="8" t="n">
        <v>7.66</v>
      </c>
      <c r="I886" s="8" t="n">
        <v>5.59</v>
      </c>
      <c r="J886" s="8" t="n">
        <v>5.23</v>
      </c>
      <c r="K886" s="8" t="n">
        <v>7.29</v>
      </c>
      <c r="L886" s="8" t="n">
        <v>7.13</v>
      </c>
      <c r="M886" s="8" t="n">
        <v>7.66</v>
      </c>
      <c r="N886" s="4" t="n">
        <v>6.78</v>
      </c>
    </row>
    <row r="887">
      <c r="A887" s="2" t="inlineStr">
        <is>
          <t>WIR0331</t>
        </is>
      </c>
      <c r="B887" s="8" t="inlineStr">
        <is>
          <t>2027-01-01 00:00:00</t>
        </is>
      </c>
      <c r="C887" s="8" t="n">
        <v>11.82</v>
      </c>
      <c r="D887" s="8" t="n">
        <v>12.47</v>
      </c>
      <c r="E887" s="8" t="n">
        <v>16.14</v>
      </c>
      <c r="F887" s="8" t="n">
        <v>17.37</v>
      </c>
      <c r="G887" s="8" t="n">
        <v>18.25</v>
      </c>
      <c r="H887" s="8" t="n">
        <v>15.76</v>
      </c>
      <c r="I887" s="8" t="n">
        <v>8.98</v>
      </c>
      <c r="J887" s="8" t="n">
        <v>7.84</v>
      </c>
      <c r="K887" s="8" t="n">
        <v>10.14</v>
      </c>
      <c r="L887" s="8" t="n">
        <v>10.59</v>
      </c>
      <c r="M887" s="8" t="n">
        <v>12.51</v>
      </c>
      <c r="N887" s="4" t="n">
        <v>11.29</v>
      </c>
    </row>
    <row r="888">
      <c r="A888" s="2" t="inlineStr">
        <is>
          <t>WIR0331</t>
        </is>
      </c>
      <c r="B888" s="8" t="inlineStr">
        <is>
          <t>2027-02-01 00:00:00</t>
        </is>
      </c>
      <c r="C888" s="8" t="n">
        <v>10.6</v>
      </c>
      <c r="D888" s="8" t="n">
        <v>12.79</v>
      </c>
      <c r="E888" s="8" t="n">
        <v>15.87</v>
      </c>
      <c r="F888" s="8" t="n">
        <v>15.35</v>
      </c>
      <c r="G888" s="8" t="n">
        <v>17.13</v>
      </c>
      <c r="H888" s="8" t="n">
        <v>14.92</v>
      </c>
      <c r="I888" s="8" t="n">
        <v>9.369999999999999</v>
      </c>
      <c r="J888" s="8" t="n">
        <v>7.85</v>
      </c>
      <c r="K888" s="8" t="n">
        <v>11.64</v>
      </c>
      <c r="L888" s="8" t="n">
        <v>11.87</v>
      </c>
      <c r="M888" s="8" t="n">
        <v>13.84</v>
      </c>
      <c r="N888" s="4" t="n">
        <v>12.31</v>
      </c>
    </row>
    <row r="889">
      <c r="A889" s="2" t="inlineStr">
        <is>
          <t>WIR0331</t>
        </is>
      </c>
      <c r="B889" s="8" t="inlineStr">
        <is>
          <t>2027-03-01 00:00:00</t>
        </is>
      </c>
      <c r="C889" s="8" t="n">
        <v>10.91</v>
      </c>
      <c r="D889" s="8" t="n">
        <v>13.35</v>
      </c>
      <c r="E889" s="8" t="n">
        <v>15.16</v>
      </c>
      <c r="F889" s="8" t="n">
        <v>14.38</v>
      </c>
      <c r="G889" s="8" t="n">
        <v>15.25</v>
      </c>
      <c r="H889" s="8" t="n">
        <v>13.89</v>
      </c>
      <c r="I889" s="8" t="n">
        <v>10.71</v>
      </c>
      <c r="J889" s="8" t="n">
        <v>10.47</v>
      </c>
      <c r="K889" s="8" t="n">
        <v>13.75</v>
      </c>
      <c r="L889" s="8" t="n">
        <v>12.67</v>
      </c>
      <c r="M889" s="8" t="n">
        <v>13.95</v>
      </c>
      <c r="N889" s="4" t="n">
        <v>12.88</v>
      </c>
    </row>
    <row r="890">
      <c r="A890" s="2" t="inlineStr">
        <is>
          <t>WIR0331</t>
        </is>
      </c>
      <c r="B890" s="8" t="inlineStr">
        <is>
          <t>2027-04-01 00:00:00</t>
        </is>
      </c>
      <c r="C890" s="8" t="n">
        <v>16.1</v>
      </c>
      <c r="D890" s="8" t="n">
        <v>18.73</v>
      </c>
      <c r="E890" s="8" t="n">
        <v>20.02</v>
      </c>
      <c r="F890" s="8" t="n">
        <v>20.17</v>
      </c>
      <c r="G890" s="8" t="n">
        <v>22.17</v>
      </c>
      <c r="H890" s="8" t="n">
        <v>19.03</v>
      </c>
      <c r="I890" s="8" t="n">
        <v>13.72</v>
      </c>
      <c r="J890" s="8" t="n">
        <v>14.11</v>
      </c>
      <c r="K890" s="8" t="n">
        <v>17.87</v>
      </c>
      <c r="L890" s="8" t="n">
        <v>16.1</v>
      </c>
      <c r="M890" s="8" t="n">
        <v>18.95</v>
      </c>
      <c r="N890" s="4" t="n">
        <v>16.61</v>
      </c>
    </row>
    <row r="891">
      <c r="A891" s="2" t="inlineStr">
        <is>
          <t>WIR0331</t>
        </is>
      </c>
      <c r="B891" s="8" t="inlineStr">
        <is>
          <t>2027-05-01 00:00:00</t>
        </is>
      </c>
      <c r="C891" s="8" t="n">
        <v>14.96</v>
      </c>
      <c r="D891" s="8" t="n">
        <v>19.86</v>
      </c>
      <c r="E891" s="8" t="n">
        <v>22.99</v>
      </c>
      <c r="F891" s="8" t="n">
        <v>19.49</v>
      </c>
      <c r="G891" s="8" t="n">
        <v>24.95</v>
      </c>
      <c r="H891" s="8" t="n">
        <v>18.3</v>
      </c>
      <c r="I891" s="8" t="n">
        <v>15.19</v>
      </c>
      <c r="J891" s="8" t="n">
        <v>15.5</v>
      </c>
      <c r="K891" s="8" t="n">
        <v>16.69</v>
      </c>
      <c r="L891" s="8" t="n">
        <v>15.97</v>
      </c>
      <c r="M891" s="8" t="n">
        <v>18.24</v>
      </c>
      <c r="N891" s="4" t="n">
        <v>16.47</v>
      </c>
    </row>
    <row r="892">
      <c r="A892" s="2" t="inlineStr">
        <is>
          <t>WIR0331</t>
        </is>
      </c>
      <c r="B892" s="8" t="inlineStr">
        <is>
          <t>2027-06-01 00:00:00</t>
        </is>
      </c>
      <c r="C892" s="8" t="n">
        <v>15.68</v>
      </c>
      <c r="D892" s="8" t="n">
        <v>19.95</v>
      </c>
      <c r="E892" s="8" t="n">
        <v>28.41</v>
      </c>
      <c r="F892" s="8" t="n">
        <v>19.89</v>
      </c>
      <c r="G892" s="8" t="n">
        <v>29.59</v>
      </c>
      <c r="H892" s="8" t="n">
        <v>19.41</v>
      </c>
      <c r="I892" s="8" t="n">
        <v>14.3</v>
      </c>
      <c r="J892" s="8" t="n">
        <v>13.64</v>
      </c>
      <c r="K892" s="8" t="n">
        <v>16.84</v>
      </c>
      <c r="L892" s="8" t="n">
        <v>15.98</v>
      </c>
      <c r="M892" s="8" t="n">
        <v>19.89</v>
      </c>
      <c r="N892" s="4" t="n">
        <v>18.28</v>
      </c>
    </row>
    <row r="893">
      <c r="A893" s="2" t="inlineStr">
        <is>
          <t>WIR0331</t>
        </is>
      </c>
      <c r="B893" s="8" t="inlineStr">
        <is>
          <t>2027-07-01 00:00:00</t>
        </is>
      </c>
      <c r="C893" s="8" t="n">
        <v>15.23</v>
      </c>
      <c r="D893" s="8" t="n">
        <v>18.54</v>
      </c>
      <c r="E893" s="8" t="n">
        <v>26.91</v>
      </c>
      <c r="F893" s="8" t="n">
        <v>20.42</v>
      </c>
      <c r="G893" s="8" t="n">
        <v>29.02</v>
      </c>
      <c r="H893" s="8" t="n">
        <v>19.46</v>
      </c>
      <c r="I893" s="8" t="n">
        <v>15.19</v>
      </c>
      <c r="J893" s="8" t="n">
        <v>14.6</v>
      </c>
      <c r="K893" s="8" t="n">
        <v>18.85</v>
      </c>
      <c r="L893" s="8" t="n">
        <v>16.2</v>
      </c>
      <c r="M893" s="8" t="n">
        <v>21.26</v>
      </c>
      <c r="N893" s="4" t="n">
        <v>18.19</v>
      </c>
    </row>
    <row r="894">
      <c r="A894" s="2" t="inlineStr">
        <is>
          <t>WIR0331</t>
        </is>
      </c>
      <c r="B894" s="8" t="inlineStr">
        <is>
          <t>2027-08-01 00:00:00</t>
        </is>
      </c>
      <c r="C894" s="8" t="n">
        <v>15.36</v>
      </c>
      <c r="D894" s="8" t="n">
        <v>19.26</v>
      </c>
      <c r="E894" s="8" t="n">
        <v>20.26</v>
      </c>
      <c r="F894" s="8" t="n">
        <v>18.68</v>
      </c>
      <c r="G894" s="8" t="n">
        <v>21.4</v>
      </c>
      <c r="H894" s="8" t="n">
        <v>19.35</v>
      </c>
      <c r="I894" s="8" t="n">
        <v>17.29</v>
      </c>
      <c r="J894" s="8" t="n">
        <v>16.88</v>
      </c>
      <c r="K894" s="8" t="n">
        <v>19.65</v>
      </c>
      <c r="L894" s="8" t="n">
        <v>18.27</v>
      </c>
      <c r="M894" s="8" t="n">
        <v>21.46</v>
      </c>
      <c r="N894" s="4" t="n">
        <v>18.95</v>
      </c>
    </row>
    <row r="895">
      <c r="A895" s="2" t="inlineStr">
        <is>
          <t>WIR0331</t>
        </is>
      </c>
      <c r="B895" s="8" t="inlineStr">
        <is>
          <t>2027-09-01 00:00:00</t>
        </is>
      </c>
      <c r="C895" s="8" t="n">
        <v>11.02</v>
      </c>
      <c r="D895" s="8" t="n">
        <v>19.05</v>
      </c>
      <c r="E895" s="8" t="n">
        <v>23.52</v>
      </c>
      <c r="F895" s="8" t="n">
        <v>20.33</v>
      </c>
      <c r="G895" s="8" t="n">
        <v>26.86</v>
      </c>
      <c r="H895" s="8" t="n">
        <v>19.81</v>
      </c>
      <c r="I895" s="8" t="n">
        <v>9.4</v>
      </c>
      <c r="J895" s="8" t="n">
        <v>10.37</v>
      </c>
      <c r="K895" s="8" t="n">
        <v>15.37</v>
      </c>
      <c r="L895" s="8" t="n">
        <v>13.62</v>
      </c>
      <c r="M895" s="8" t="n">
        <v>19.88</v>
      </c>
      <c r="N895" s="4" t="n">
        <v>16.16</v>
      </c>
    </row>
    <row r="896">
      <c r="A896" s="2" t="inlineStr">
        <is>
          <t>WIR0331</t>
        </is>
      </c>
      <c r="B896" s="8" t="inlineStr">
        <is>
          <t>2027-10-01 00:00:00</t>
        </is>
      </c>
      <c r="C896" s="8" t="n">
        <v>6.25</v>
      </c>
      <c r="D896" s="8" t="n">
        <v>8.42</v>
      </c>
      <c r="E896" s="8" t="n">
        <v>9.869999999999999</v>
      </c>
      <c r="F896" s="8" t="n">
        <v>8.449999999999999</v>
      </c>
      <c r="G896" s="8" t="n">
        <v>10.04</v>
      </c>
      <c r="H896" s="8" t="n">
        <v>9.960000000000001</v>
      </c>
      <c r="I896" s="8" t="n">
        <v>7.05</v>
      </c>
      <c r="J896" s="8" t="n">
        <v>6.96</v>
      </c>
      <c r="K896" s="8" t="n">
        <v>7.84</v>
      </c>
      <c r="L896" s="8" t="n">
        <v>6.75</v>
      </c>
      <c r="M896" s="8" t="n">
        <v>8.44</v>
      </c>
      <c r="N896" s="4" t="n">
        <v>8.16</v>
      </c>
    </row>
    <row r="897">
      <c r="A897" s="2" t="inlineStr">
        <is>
          <t>WIR0331</t>
        </is>
      </c>
      <c r="B897" s="8" t="inlineStr">
        <is>
          <t>2027-11-01 00:00:00</t>
        </is>
      </c>
      <c r="C897" s="8" t="n">
        <v>5.07</v>
      </c>
      <c r="D897" s="8" t="n">
        <v>7.8</v>
      </c>
      <c r="E897" s="8" t="n">
        <v>11.24</v>
      </c>
      <c r="F897" s="8" t="n">
        <v>10.5</v>
      </c>
      <c r="G897" s="8" t="n">
        <v>11.14</v>
      </c>
      <c r="H897" s="8" t="n">
        <v>9.06</v>
      </c>
      <c r="I897" s="8" t="n">
        <v>5.03</v>
      </c>
      <c r="J897" s="8" t="n">
        <v>4.5</v>
      </c>
      <c r="K897" s="8" t="n">
        <v>7.39</v>
      </c>
      <c r="L897" s="8" t="n">
        <v>6.44</v>
      </c>
      <c r="M897" s="8" t="n">
        <v>7.35</v>
      </c>
      <c r="N897" s="4" t="n">
        <v>6.97</v>
      </c>
    </row>
    <row r="898">
      <c r="A898" s="2" t="inlineStr">
        <is>
          <t>WIR0331</t>
        </is>
      </c>
      <c r="B898" s="8" t="inlineStr">
        <is>
          <t>2027-12-01 00:00:00</t>
        </is>
      </c>
      <c r="C898" s="8" t="n">
        <v>6.34</v>
      </c>
      <c r="D898" s="8" t="n">
        <v>6.97</v>
      </c>
      <c r="E898" s="8" t="n">
        <v>11.41</v>
      </c>
      <c r="F898" s="8" t="n">
        <v>10.54</v>
      </c>
      <c r="G898" s="8" t="n">
        <v>10.1</v>
      </c>
      <c r="H898" s="8" t="n">
        <v>8.300000000000001</v>
      </c>
      <c r="I898" s="8" t="n">
        <v>6.04</v>
      </c>
      <c r="J898" s="8" t="n">
        <v>5.65</v>
      </c>
      <c r="K898" s="8" t="n">
        <v>7.89</v>
      </c>
      <c r="L898" s="8" t="n">
        <v>7.72</v>
      </c>
      <c r="M898" s="8" t="n">
        <v>8.300000000000001</v>
      </c>
      <c r="N898" s="4" t="n">
        <v>7.34</v>
      </c>
    </row>
    <row r="899">
      <c r="A899" s="2" t="inlineStr">
        <is>
          <t>WIR0331</t>
        </is>
      </c>
      <c r="B899" s="8" t="inlineStr">
        <is>
          <t>2028-01-01 00:00:00</t>
        </is>
      </c>
      <c r="C899" s="8" t="n">
        <v>11.24</v>
      </c>
      <c r="D899" s="8" t="n">
        <v>11.87</v>
      </c>
      <c r="E899" s="8" t="n">
        <v>15.35</v>
      </c>
      <c r="F899" s="8" t="n">
        <v>16.52</v>
      </c>
      <c r="G899" s="8" t="n">
        <v>17.35</v>
      </c>
      <c r="H899" s="8" t="n">
        <v>14.99</v>
      </c>
      <c r="I899" s="8" t="n">
        <v>8.56</v>
      </c>
      <c r="J899" s="8" t="n">
        <v>7.47</v>
      </c>
      <c r="K899" s="8" t="n">
        <v>9.66</v>
      </c>
      <c r="L899" s="8" t="n">
        <v>10.08</v>
      </c>
      <c r="M899" s="8" t="n">
        <v>11.91</v>
      </c>
      <c r="N899" s="4" t="n">
        <v>10.74</v>
      </c>
    </row>
    <row r="900">
      <c r="A900" s="2" t="inlineStr">
        <is>
          <t>WIR0331</t>
        </is>
      </c>
      <c r="B900" s="8" t="inlineStr">
        <is>
          <t>2028-02-01 00:00:00</t>
        </is>
      </c>
      <c r="C900" s="8" t="n">
        <v>10.07</v>
      </c>
      <c r="D900" s="8" t="n">
        <v>12.14</v>
      </c>
      <c r="E900" s="8" t="n">
        <v>15.05</v>
      </c>
      <c r="F900" s="8" t="n">
        <v>14.56</v>
      </c>
      <c r="G900" s="8" t="n">
        <v>16.25</v>
      </c>
      <c r="H900" s="8" t="n">
        <v>14.15</v>
      </c>
      <c r="I900" s="8" t="n">
        <v>8.9</v>
      </c>
      <c r="J900" s="8" t="n">
        <v>7.47</v>
      </c>
      <c r="K900" s="8" t="n">
        <v>11.05</v>
      </c>
      <c r="L900" s="8" t="n">
        <v>11.27</v>
      </c>
      <c r="M900" s="8" t="n">
        <v>13.13</v>
      </c>
      <c r="N900" s="4" t="n">
        <v>11.69</v>
      </c>
    </row>
    <row r="901">
      <c r="A901" s="2" t="inlineStr">
        <is>
          <t>WIR0331</t>
        </is>
      </c>
      <c r="B901" s="8" t="inlineStr">
        <is>
          <t>2028-03-01 00:00:00</t>
        </is>
      </c>
      <c r="C901" s="8" t="n">
        <v>10.32</v>
      </c>
      <c r="D901" s="8" t="n">
        <v>12.62</v>
      </c>
      <c r="E901" s="8" t="n">
        <v>14.32</v>
      </c>
      <c r="F901" s="8" t="n">
        <v>13.59</v>
      </c>
      <c r="G901" s="8" t="n">
        <v>14.41</v>
      </c>
      <c r="H901" s="8" t="n">
        <v>13.12</v>
      </c>
      <c r="I901" s="8" t="n">
        <v>10.13</v>
      </c>
      <c r="J901" s="8" t="n">
        <v>9.9</v>
      </c>
      <c r="K901" s="8" t="n">
        <v>12.99</v>
      </c>
      <c r="L901" s="8" t="n">
        <v>11.98</v>
      </c>
      <c r="M901" s="8" t="n">
        <v>13.18</v>
      </c>
      <c r="N901" s="4" t="n">
        <v>12.17</v>
      </c>
    </row>
    <row r="902">
      <c r="A902" s="2" t="inlineStr">
        <is>
          <t>WIR0331</t>
        </is>
      </c>
      <c r="B902" s="8" t="inlineStr">
        <is>
          <t>2028-04-01 00:00:00</t>
        </is>
      </c>
      <c r="C902" s="8" t="n">
        <v>15.69</v>
      </c>
      <c r="D902" s="8" t="n">
        <v>18.24</v>
      </c>
      <c r="E902" s="8" t="n">
        <v>19.5</v>
      </c>
      <c r="F902" s="8" t="n">
        <v>19.64</v>
      </c>
      <c r="G902" s="8" t="n">
        <v>21.59</v>
      </c>
      <c r="H902" s="8" t="n">
        <v>18.54</v>
      </c>
      <c r="I902" s="8" t="n">
        <v>13.38</v>
      </c>
      <c r="J902" s="8" t="n">
        <v>13.75</v>
      </c>
      <c r="K902" s="8" t="n">
        <v>17.4</v>
      </c>
      <c r="L902" s="8" t="n">
        <v>15.69</v>
      </c>
      <c r="M902" s="8" t="n">
        <v>18.46</v>
      </c>
      <c r="N902" s="4" t="n">
        <v>16.18</v>
      </c>
    </row>
    <row r="903">
      <c r="A903" s="2" t="inlineStr">
        <is>
          <t>WIR0331</t>
        </is>
      </c>
      <c r="B903" s="8" t="inlineStr">
        <is>
          <t>2028-05-01 00:00:00</t>
        </is>
      </c>
      <c r="C903" s="8" t="n">
        <v>14.09</v>
      </c>
      <c r="D903" s="8" t="n">
        <v>18.67</v>
      </c>
      <c r="E903" s="8" t="n">
        <v>21.61</v>
      </c>
      <c r="F903" s="8" t="n">
        <v>18.33</v>
      </c>
      <c r="G903" s="8" t="n">
        <v>23.44</v>
      </c>
      <c r="H903" s="8" t="n">
        <v>17.21</v>
      </c>
      <c r="I903" s="8" t="n">
        <v>14.3</v>
      </c>
      <c r="J903" s="8" t="n">
        <v>14.58</v>
      </c>
      <c r="K903" s="8" t="n">
        <v>15.7</v>
      </c>
      <c r="L903" s="8" t="n">
        <v>15.03</v>
      </c>
      <c r="M903" s="8" t="n">
        <v>17.16</v>
      </c>
      <c r="N903" s="4" t="n">
        <v>15.5</v>
      </c>
    </row>
    <row r="904">
      <c r="A904" s="2" t="inlineStr">
        <is>
          <t>WIR0331</t>
        </is>
      </c>
      <c r="B904" s="8" t="inlineStr">
        <is>
          <t>2028-06-01 00:00:00</t>
        </is>
      </c>
      <c r="C904" s="8" t="n">
        <v>14.85</v>
      </c>
      <c r="D904" s="8" t="n">
        <v>18.88</v>
      </c>
      <c r="E904" s="8" t="n">
        <v>27.2</v>
      </c>
      <c r="F904" s="8" t="n">
        <v>18.82</v>
      </c>
      <c r="G904" s="8" t="n">
        <v>28.31</v>
      </c>
      <c r="H904" s="8" t="n">
        <v>18.37</v>
      </c>
      <c r="I904" s="8" t="n">
        <v>13.55</v>
      </c>
      <c r="J904" s="8" t="n">
        <v>12.93</v>
      </c>
      <c r="K904" s="8" t="n">
        <v>15.94</v>
      </c>
      <c r="L904" s="8" t="n">
        <v>15.13</v>
      </c>
      <c r="M904" s="8" t="n">
        <v>18.82</v>
      </c>
      <c r="N904" s="4" t="n">
        <v>17.3</v>
      </c>
    </row>
    <row r="905">
      <c r="A905" s="2" t="inlineStr">
        <is>
          <t>WIR0331</t>
        </is>
      </c>
      <c r="B905" s="8" t="inlineStr">
        <is>
          <t>2028-07-01 00:00:00</t>
        </is>
      </c>
      <c r="C905" s="8" t="n">
        <v>14.6</v>
      </c>
      <c r="D905" s="8" t="n">
        <v>17.76</v>
      </c>
      <c r="E905" s="8" t="n">
        <v>26.03</v>
      </c>
      <c r="F905" s="8" t="n">
        <v>19.56</v>
      </c>
      <c r="G905" s="8" t="n">
        <v>28.05</v>
      </c>
      <c r="H905" s="8" t="n">
        <v>18.65</v>
      </c>
      <c r="I905" s="8" t="n">
        <v>14.56</v>
      </c>
      <c r="J905" s="8" t="n">
        <v>14</v>
      </c>
      <c r="K905" s="8" t="n">
        <v>18.06</v>
      </c>
      <c r="L905" s="8" t="n">
        <v>15.53</v>
      </c>
      <c r="M905" s="8" t="n">
        <v>20.37</v>
      </c>
      <c r="N905" s="4" t="n">
        <v>17.43</v>
      </c>
    </row>
    <row r="906">
      <c r="A906" s="2" t="inlineStr">
        <is>
          <t>WIR0331</t>
        </is>
      </c>
      <c r="B906" s="8" t="inlineStr">
        <is>
          <t>2028-08-01 00:00:00</t>
        </is>
      </c>
      <c r="C906" s="8" t="n">
        <v>14.6</v>
      </c>
      <c r="D906" s="8" t="n">
        <v>18.3</v>
      </c>
      <c r="E906" s="8" t="n">
        <v>19.25</v>
      </c>
      <c r="F906" s="8" t="n">
        <v>17.75</v>
      </c>
      <c r="G906" s="8" t="n">
        <v>20.33</v>
      </c>
      <c r="H906" s="8" t="n">
        <v>18.39</v>
      </c>
      <c r="I906" s="8" t="n">
        <v>16.43</v>
      </c>
      <c r="J906" s="8" t="n">
        <v>16.05</v>
      </c>
      <c r="K906" s="8" t="n">
        <v>18.68</v>
      </c>
      <c r="L906" s="8" t="n">
        <v>17.37</v>
      </c>
      <c r="M906" s="8" t="n">
        <v>20.39</v>
      </c>
      <c r="N906" s="4" t="n">
        <v>18.02</v>
      </c>
    </row>
    <row r="907">
      <c r="A907" s="2" t="inlineStr">
        <is>
          <t>WIR0331</t>
        </is>
      </c>
      <c r="B907" s="8" t="inlineStr">
        <is>
          <t>2028-09-01 00:00:00</t>
        </is>
      </c>
      <c r="C907" s="8" t="n">
        <v>10.6</v>
      </c>
      <c r="D907" s="8" t="n">
        <v>18.3</v>
      </c>
      <c r="E907" s="8" t="n">
        <v>22.59</v>
      </c>
      <c r="F907" s="8" t="n">
        <v>19.53</v>
      </c>
      <c r="G907" s="8" t="n">
        <v>25.79</v>
      </c>
      <c r="H907" s="8" t="n">
        <v>19.02</v>
      </c>
      <c r="I907" s="8" t="n">
        <v>9.050000000000001</v>
      </c>
      <c r="J907" s="8" t="n">
        <v>9.970000000000001</v>
      </c>
      <c r="K907" s="8" t="n">
        <v>14.77</v>
      </c>
      <c r="L907" s="8" t="n">
        <v>13.1</v>
      </c>
      <c r="M907" s="8" t="n">
        <v>19.09</v>
      </c>
      <c r="N907" s="4" t="n">
        <v>15.53</v>
      </c>
    </row>
    <row r="908">
      <c r="A908" s="2" t="inlineStr">
        <is>
          <t>WIR0331</t>
        </is>
      </c>
      <c r="B908" s="8" t="inlineStr">
        <is>
          <t>2028-10-01 00:00:00</t>
        </is>
      </c>
      <c r="C908" s="8" t="n">
        <v>6.17</v>
      </c>
      <c r="D908" s="8" t="n">
        <v>8.31</v>
      </c>
      <c r="E908" s="8" t="n">
        <v>9.74</v>
      </c>
      <c r="F908" s="8" t="n">
        <v>8.35</v>
      </c>
      <c r="G908" s="8" t="n">
        <v>9.92</v>
      </c>
      <c r="H908" s="8" t="n">
        <v>9.83</v>
      </c>
      <c r="I908" s="8" t="n">
        <v>6.96</v>
      </c>
      <c r="J908" s="8" t="n">
        <v>6.87</v>
      </c>
      <c r="K908" s="8" t="n">
        <v>7.74</v>
      </c>
      <c r="L908" s="8" t="n">
        <v>6.67</v>
      </c>
      <c r="M908" s="8" t="n">
        <v>8.34</v>
      </c>
      <c r="N908" s="4" t="n">
        <v>8.06</v>
      </c>
    </row>
    <row r="909">
      <c r="A909" s="2" t="inlineStr">
        <is>
          <t>WIR0331</t>
        </is>
      </c>
      <c r="B909" s="8" t="inlineStr">
        <is>
          <t>2028-11-01 00:00:00</t>
        </is>
      </c>
      <c r="C909" s="8" t="n">
        <v>5.04</v>
      </c>
      <c r="D909" s="8" t="n">
        <v>7.75</v>
      </c>
      <c r="E909" s="8" t="n">
        <v>11.14</v>
      </c>
      <c r="F909" s="8" t="n">
        <v>10.42</v>
      </c>
      <c r="G909" s="8" t="n">
        <v>11.05</v>
      </c>
      <c r="H909" s="8" t="n">
        <v>8.99</v>
      </c>
      <c r="I909" s="8" t="n">
        <v>5</v>
      </c>
      <c r="J909" s="8" t="n">
        <v>4.47</v>
      </c>
      <c r="K909" s="8" t="n">
        <v>7.34</v>
      </c>
      <c r="L909" s="8" t="n">
        <v>6.39</v>
      </c>
      <c r="M909" s="8" t="n">
        <v>7.3</v>
      </c>
      <c r="N909" s="4" t="n">
        <v>6.92</v>
      </c>
    </row>
    <row r="910">
      <c r="A910" s="2" t="inlineStr">
        <is>
          <t>WIR0331</t>
        </is>
      </c>
      <c r="B910" s="8" t="inlineStr">
        <is>
          <t>2028-12-01 00:00:00</t>
        </is>
      </c>
      <c r="C910" s="8" t="n">
        <v>6.38</v>
      </c>
      <c r="D910" s="8" t="n">
        <v>7.02</v>
      </c>
      <c r="E910" s="8" t="n">
        <v>11.48</v>
      </c>
      <c r="F910" s="8" t="n">
        <v>10.61</v>
      </c>
      <c r="G910" s="8" t="n">
        <v>10.16</v>
      </c>
      <c r="H910" s="8" t="n">
        <v>8.35</v>
      </c>
      <c r="I910" s="8" t="n">
        <v>6.08</v>
      </c>
      <c r="J910" s="8" t="n">
        <v>5.69</v>
      </c>
      <c r="K910" s="8" t="n">
        <v>7.94</v>
      </c>
      <c r="L910" s="8" t="n">
        <v>7.77</v>
      </c>
      <c r="M910" s="8" t="n">
        <v>8.35</v>
      </c>
      <c r="N910" s="4" t="n">
        <v>7.38</v>
      </c>
    </row>
    <row r="911">
      <c r="A911" s="2" t="inlineStr">
        <is>
          <t>WIR0331</t>
        </is>
      </c>
      <c r="B911" s="8" t="inlineStr">
        <is>
          <t>2029-01-01 00:00:00</t>
        </is>
      </c>
      <c r="C911" s="8" t="n">
        <v>10.84</v>
      </c>
      <c r="D911" s="8" t="n">
        <v>11.43</v>
      </c>
      <c r="E911" s="8" t="n">
        <v>14.78</v>
      </c>
      <c r="F911" s="8" t="n">
        <v>15.9</v>
      </c>
      <c r="G911" s="8" t="n">
        <v>16.71</v>
      </c>
      <c r="H911" s="8" t="n">
        <v>14.44</v>
      </c>
      <c r="I911" s="8" t="n">
        <v>8.26</v>
      </c>
      <c r="J911" s="8" t="n">
        <v>7.21</v>
      </c>
      <c r="K911" s="8" t="n">
        <v>9.31</v>
      </c>
      <c r="L911" s="8" t="n">
        <v>9.720000000000001</v>
      </c>
      <c r="M911" s="8" t="n">
        <v>11.47</v>
      </c>
      <c r="N911" s="4" t="n">
        <v>10.36</v>
      </c>
    </row>
    <row r="912">
      <c r="A912" s="2" t="inlineStr">
        <is>
          <t>WIR0331</t>
        </is>
      </c>
      <c r="B912" s="8" t="inlineStr">
        <is>
          <t>2029-02-01 00:00:00</t>
        </is>
      </c>
      <c r="C912" s="8" t="n">
        <v>9.949999999999999</v>
      </c>
      <c r="D912" s="8" t="n">
        <v>12.01</v>
      </c>
      <c r="E912" s="8" t="n">
        <v>14.88</v>
      </c>
      <c r="F912" s="8" t="n">
        <v>14.39</v>
      </c>
      <c r="G912" s="8" t="n">
        <v>16.06</v>
      </c>
      <c r="H912" s="8" t="n">
        <v>13.99</v>
      </c>
      <c r="I912" s="8" t="n">
        <v>8.800000000000001</v>
      </c>
      <c r="J912" s="8" t="n">
        <v>7.39</v>
      </c>
      <c r="K912" s="8" t="n">
        <v>10.93</v>
      </c>
      <c r="L912" s="8" t="n">
        <v>11.15</v>
      </c>
      <c r="M912" s="8" t="n">
        <v>12.99</v>
      </c>
      <c r="N912" s="4" t="n">
        <v>11.55</v>
      </c>
    </row>
    <row r="913">
      <c r="A913" s="2" t="inlineStr">
        <is>
          <t>WIR0331</t>
        </is>
      </c>
      <c r="B913" s="8" t="inlineStr">
        <is>
          <t>2029-03-01 00:00:00</t>
        </is>
      </c>
      <c r="C913" s="8" t="n">
        <v>10.24</v>
      </c>
      <c r="D913" s="8" t="n">
        <v>12.53</v>
      </c>
      <c r="E913" s="8" t="n">
        <v>14.22</v>
      </c>
      <c r="F913" s="8" t="n">
        <v>13.49</v>
      </c>
      <c r="G913" s="8" t="n">
        <v>14.3</v>
      </c>
      <c r="H913" s="8" t="n">
        <v>13.03</v>
      </c>
      <c r="I913" s="8" t="n">
        <v>10.06</v>
      </c>
      <c r="J913" s="8" t="n">
        <v>9.83</v>
      </c>
      <c r="K913" s="8" t="n">
        <v>12.9</v>
      </c>
      <c r="L913" s="8" t="n">
        <v>11.89</v>
      </c>
      <c r="M913" s="8" t="n">
        <v>13.09</v>
      </c>
      <c r="N913" s="4" t="n">
        <v>12.08</v>
      </c>
    </row>
    <row r="914">
      <c r="A914" s="2" t="inlineStr">
        <is>
          <t>WIR0331</t>
        </is>
      </c>
      <c r="B914" s="8" t="inlineStr">
        <is>
          <t>2029-04-01 00:00:00</t>
        </is>
      </c>
      <c r="C914" s="8" t="n">
        <v>15.39</v>
      </c>
      <c r="D914" s="8" t="n">
        <v>17.89</v>
      </c>
      <c r="E914" s="8" t="n">
        <v>19.12</v>
      </c>
      <c r="F914" s="8" t="n">
        <v>19.26</v>
      </c>
      <c r="G914" s="8" t="n">
        <v>21.17</v>
      </c>
      <c r="H914" s="8" t="n">
        <v>18.18</v>
      </c>
      <c r="I914" s="8" t="n">
        <v>13.12</v>
      </c>
      <c r="J914" s="8" t="n">
        <v>13.48</v>
      </c>
      <c r="K914" s="8" t="n">
        <v>17.07</v>
      </c>
      <c r="L914" s="8" t="n">
        <v>15.38</v>
      </c>
      <c r="M914" s="8" t="n">
        <v>18.1</v>
      </c>
      <c r="N914" s="4" t="n">
        <v>15.87</v>
      </c>
    </row>
    <row r="915">
      <c r="A915" s="2" t="inlineStr">
        <is>
          <t>WIR0331</t>
        </is>
      </c>
      <c r="B915" s="8" t="inlineStr">
        <is>
          <t>2029-05-01 00:00:00</t>
        </is>
      </c>
      <c r="C915" s="8" t="n">
        <v>13.98</v>
      </c>
      <c r="D915" s="8" t="n">
        <v>18.53</v>
      </c>
      <c r="E915" s="8" t="n">
        <v>21.44</v>
      </c>
      <c r="F915" s="8" t="n">
        <v>18.18</v>
      </c>
      <c r="G915" s="8" t="n">
        <v>23.25</v>
      </c>
      <c r="H915" s="8" t="n">
        <v>17.08</v>
      </c>
      <c r="I915" s="8" t="n">
        <v>14.19</v>
      </c>
      <c r="J915" s="8" t="n">
        <v>14.47</v>
      </c>
      <c r="K915" s="8" t="n">
        <v>15.58</v>
      </c>
      <c r="L915" s="8" t="n">
        <v>14.91</v>
      </c>
      <c r="M915" s="8" t="n">
        <v>17.02</v>
      </c>
      <c r="N915" s="4" t="n">
        <v>15.38</v>
      </c>
    </row>
    <row r="916">
      <c r="A916" s="2" t="inlineStr">
        <is>
          <t>WIR0331</t>
        </is>
      </c>
      <c r="B916" s="8" t="inlineStr">
        <is>
          <t>2029-06-01 00:00:00</t>
        </is>
      </c>
      <c r="C916" s="8" t="n">
        <v>14.83</v>
      </c>
      <c r="D916" s="8" t="n">
        <v>18.85</v>
      </c>
      <c r="E916" s="8" t="n">
        <v>27.17</v>
      </c>
      <c r="F916" s="8" t="n">
        <v>18.79</v>
      </c>
      <c r="G916" s="8" t="n">
        <v>28.28</v>
      </c>
      <c r="H916" s="8" t="n">
        <v>18.34</v>
      </c>
      <c r="I916" s="8" t="n">
        <v>13.53</v>
      </c>
      <c r="J916" s="8" t="n">
        <v>12.91</v>
      </c>
      <c r="K916" s="8" t="n">
        <v>15.92</v>
      </c>
      <c r="L916" s="8" t="n">
        <v>15.11</v>
      </c>
      <c r="M916" s="8" t="n">
        <v>18.79</v>
      </c>
      <c r="N916" s="4" t="n">
        <v>17.27</v>
      </c>
    </row>
    <row r="917">
      <c r="A917" s="2" t="inlineStr">
        <is>
          <t>WIR0331</t>
        </is>
      </c>
      <c r="B917" s="8" t="inlineStr">
        <is>
          <t>2029-07-01 00:00:00</t>
        </is>
      </c>
      <c r="C917" s="8" t="n">
        <v>14.18</v>
      </c>
      <c r="D917" s="8" t="n">
        <v>17.25</v>
      </c>
      <c r="E917" s="8" t="n">
        <v>25.45</v>
      </c>
      <c r="F917" s="8" t="n">
        <v>18.99</v>
      </c>
      <c r="G917" s="8" t="n">
        <v>27.41</v>
      </c>
      <c r="H917" s="8" t="n">
        <v>18.11</v>
      </c>
      <c r="I917" s="8" t="n">
        <v>14.14</v>
      </c>
      <c r="J917" s="8" t="n">
        <v>13.6</v>
      </c>
      <c r="K917" s="8" t="n">
        <v>17.54</v>
      </c>
      <c r="L917" s="8" t="n">
        <v>15.09</v>
      </c>
      <c r="M917" s="8" t="n">
        <v>19.78</v>
      </c>
      <c r="N917" s="4" t="n">
        <v>16.93</v>
      </c>
    </row>
    <row r="918">
      <c r="A918" s="2" t="inlineStr">
        <is>
          <t>WIR0331</t>
        </is>
      </c>
      <c r="B918" s="8" t="inlineStr">
        <is>
          <t>2029-08-01 00:00:00</t>
        </is>
      </c>
      <c r="C918" s="8" t="n">
        <v>14.24</v>
      </c>
      <c r="D918" s="8" t="n">
        <v>17.84</v>
      </c>
      <c r="E918" s="8" t="n">
        <v>18.76</v>
      </c>
      <c r="F918" s="8" t="n">
        <v>17.3</v>
      </c>
      <c r="G918" s="8" t="n">
        <v>19.82</v>
      </c>
      <c r="H918" s="8" t="n">
        <v>17.92</v>
      </c>
      <c r="I918" s="8" t="n">
        <v>16.02</v>
      </c>
      <c r="J918" s="8" t="n">
        <v>15.65</v>
      </c>
      <c r="K918" s="8" t="n">
        <v>18.21</v>
      </c>
      <c r="L918" s="8" t="n">
        <v>16.93</v>
      </c>
      <c r="M918" s="8" t="n">
        <v>19.87</v>
      </c>
      <c r="N918" s="4" t="n">
        <v>17.56</v>
      </c>
    </row>
    <row r="919">
      <c r="A919" s="2" t="inlineStr">
        <is>
          <t>WIR0331</t>
        </is>
      </c>
      <c r="B919" s="8" t="inlineStr">
        <is>
          <t>2029-09-01 00:00:00</t>
        </is>
      </c>
      <c r="C919" s="8" t="n">
        <v>10.44</v>
      </c>
      <c r="D919" s="8" t="n">
        <v>18.02</v>
      </c>
      <c r="E919" s="8" t="n">
        <v>22.24</v>
      </c>
      <c r="F919" s="8" t="n">
        <v>19.23</v>
      </c>
      <c r="G919" s="8" t="n">
        <v>25.39</v>
      </c>
      <c r="H919" s="8" t="n">
        <v>18.73</v>
      </c>
      <c r="I919" s="8" t="n">
        <v>8.91</v>
      </c>
      <c r="J919" s="8" t="n">
        <v>9.83</v>
      </c>
      <c r="K919" s="8" t="n">
        <v>14.55</v>
      </c>
      <c r="L919" s="8" t="n">
        <v>12.9</v>
      </c>
      <c r="M919" s="8" t="n">
        <v>18.8</v>
      </c>
      <c r="N919" s="4" t="n">
        <v>15.29</v>
      </c>
    </row>
    <row r="920">
      <c r="A920" s="2" t="inlineStr">
        <is>
          <t>WIR0331</t>
        </is>
      </c>
      <c r="B920" s="8" t="inlineStr">
        <is>
          <t>2029-10-01 00:00:00</t>
        </is>
      </c>
      <c r="C920" s="8" t="n">
        <v>6.01</v>
      </c>
      <c r="D920" s="8" t="n">
        <v>8.09</v>
      </c>
      <c r="E920" s="8" t="n">
        <v>9.48</v>
      </c>
      <c r="F920" s="8" t="n">
        <v>8.119999999999999</v>
      </c>
      <c r="G920" s="8" t="n">
        <v>9.65</v>
      </c>
      <c r="H920" s="8" t="n">
        <v>9.56</v>
      </c>
      <c r="I920" s="8" t="n">
        <v>6.78</v>
      </c>
      <c r="J920" s="8" t="n">
        <v>6.69</v>
      </c>
      <c r="K920" s="8" t="n">
        <v>7.54</v>
      </c>
      <c r="L920" s="8" t="n">
        <v>6.49</v>
      </c>
      <c r="M920" s="8" t="n">
        <v>8.109999999999999</v>
      </c>
      <c r="N920" s="4" t="n">
        <v>7.85</v>
      </c>
    </row>
    <row r="921">
      <c r="A921" s="2" t="inlineStr">
        <is>
          <t>WIR0331</t>
        </is>
      </c>
      <c r="B921" s="8" t="inlineStr">
        <is>
          <t>2029-11-01 00:00:00</t>
        </is>
      </c>
      <c r="C921" s="8" t="n">
        <v>4.93</v>
      </c>
      <c r="D921" s="8" t="n">
        <v>7.58</v>
      </c>
      <c r="E921" s="8" t="n">
        <v>10.9</v>
      </c>
      <c r="F921" s="8" t="n">
        <v>10.19</v>
      </c>
      <c r="G921" s="8" t="n">
        <v>10.8</v>
      </c>
      <c r="H921" s="8" t="n">
        <v>8.789999999999999</v>
      </c>
      <c r="I921" s="8" t="n">
        <v>4.89</v>
      </c>
      <c r="J921" s="8" t="n">
        <v>4.38</v>
      </c>
      <c r="K921" s="8" t="n">
        <v>7.18</v>
      </c>
      <c r="L921" s="8" t="n">
        <v>6.25</v>
      </c>
      <c r="M921" s="8" t="n">
        <v>7.14</v>
      </c>
      <c r="N921" s="4" t="n">
        <v>6.77</v>
      </c>
    </row>
    <row r="922">
      <c r="A922" s="2" t="inlineStr">
        <is>
          <t>WIR0331</t>
        </is>
      </c>
      <c r="B922" s="8" t="inlineStr">
        <is>
          <t>2029-12-01 00:00:00</t>
        </is>
      </c>
      <c r="C922" s="8" t="n">
        <v>6.25</v>
      </c>
      <c r="D922" s="8" t="n">
        <v>6.86</v>
      </c>
      <c r="E922" s="8" t="n">
        <v>11.22</v>
      </c>
      <c r="F922" s="8" t="n">
        <v>10.37</v>
      </c>
      <c r="G922" s="8" t="n">
        <v>9.93</v>
      </c>
      <c r="H922" s="8" t="n">
        <v>8.16</v>
      </c>
      <c r="I922" s="8" t="n">
        <v>5.95</v>
      </c>
      <c r="J922" s="8" t="n">
        <v>5.57</v>
      </c>
      <c r="K922" s="8" t="n">
        <v>7.77</v>
      </c>
      <c r="L922" s="8" t="n">
        <v>7.6</v>
      </c>
      <c r="M922" s="8" t="n">
        <v>8.17</v>
      </c>
      <c r="N922" s="4" t="n">
        <v>7.22</v>
      </c>
    </row>
    <row r="923">
      <c r="A923" s="2" t="inlineStr">
        <is>
          <t>WIR0331</t>
        </is>
      </c>
      <c r="B923" s="8" t="inlineStr">
        <is>
          <t>2030-01-01 00:00:00</t>
        </is>
      </c>
      <c r="C923" s="8" t="n">
        <v>10.84</v>
      </c>
      <c r="D923" s="8" t="n">
        <v>11.43</v>
      </c>
      <c r="E923" s="8" t="n">
        <v>14.78</v>
      </c>
      <c r="F923" s="8" t="n">
        <v>15.9</v>
      </c>
      <c r="G923" s="8" t="n">
        <v>16.71</v>
      </c>
      <c r="H923" s="8" t="n">
        <v>14.44</v>
      </c>
      <c r="I923" s="8" t="n">
        <v>8.26</v>
      </c>
      <c r="J923" s="8" t="n">
        <v>7.21</v>
      </c>
      <c r="K923" s="8" t="n">
        <v>9.31</v>
      </c>
      <c r="L923" s="8" t="n">
        <v>9.720000000000001</v>
      </c>
      <c r="M923" s="8" t="n">
        <v>11.47</v>
      </c>
      <c r="N923" s="4" t="n">
        <v>10.36</v>
      </c>
    </row>
    <row r="924">
      <c r="A924" s="2" t="inlineStr">
        <is>
          <t>WIR0331</t>
        </is>
      </c>
      <c r="B924" s="8" t="inlineStr">
        <is>
          <t>2030-02-01 00:00:00</t>
        </is>
      </c>
      <c r="C924" s="8" t="n">
        <v>9.949999999999999</v>
      </c>
      <c r="D924" s="8" t="n">
        <v>12.01</v>
      </c>
      <c r="E924" s="8" t="n">
        <v>14.88</v>
      </c>
      <c r="F924" s="8" t="n">
        <v>14.39</v>
      </c>
      <c r="G924" s="8" t="n">
        <v>16.06</v>
      </c>
      <c r="H924" s="8" t="n">
        <v>13.99</v>
      </c>
      <c r="I924" s="8" t="n">
        <v>8.800000000000001</v>
      </c>
      <c r="J924" s="8" t="n">
        <v>7.39</v>
      </c>
      <c r="K924" s="8" t="n">
        <v>10.93</v>
      </c>
      <c r="L924" s="8" t="n">
        <v>11.15</v>
      </c>
      <c r="M924" s="8" t="n">
        <v>12.99</v>
      </c>
      <c r="N924" s="4" t="n">
        <v>11.55</v>
      </c>
    </row>
    <row r="925">
      <c r="A925" s="2" t="inlineStr">
        <is>
          <t>WIR0331</t>
        </is>
      </c>
      <c r="B925" s="8" t="inlineStr">
        <is>
          <t>2030-03-01 00:00:00</t>
        </is>
      </c>
      <c r="C925" s="8" t="n">
        <v>10.24</v>
      </c>
      <c r="D925" s="8" t="n">
        <v>12.53</v>
      </c>
      <c r="E925" s="8" t="n">
        <v>14.22</v>
      </c>
      <c r="F925" s="8" t="n">
        <v>13.49</v>
      </c>
      <c r="G925" s="8" t="n">
        <v>14.3</v>
      </c>
      <c r="H925" s="8" t="n">
        <v>13.03</v>
      </c>
      <c r="I925" s="8" t="n">
        <v>10.06</v>
      </c>
      <c r="J925" s="8" t="n">
        <v>9.83</v>
      </c>
      <c r="K925" s="8" t="n">
        <v>12.9</v>
      </c>
      <c r="L925" s="8" t="n">
        <v>11.89</v>
      </c>
      <c r="M925" s="8" t="n">
        <v>13.09</v>
      </c>
      <c r="N925" s="4" t="n">
        <v>12.08</v>
      </c>
    </row>
    <row r="926">
      <c r="A926" s="2" t="inlineStr">
        <is>
          <t>WIR0331</t>
        </is>
      </c>
      <c r="B926" s="8" t="inlineStr">
        <is>
          <t>2030-04-01 00:00:00</t>
        </is>
      </c>
      <c r="C926" s="8" t="n">
        <v>15.39</v>
      </c>
      <c r="D926" s="8" t="n">
        <v>17.89</v>
      </c>
      <c r="E926" s="8" t="n">
        <v>19.12</v>
      </c>
      <c r="F926" s="8" t="n">
        <v>19.26</v>
      </c>
      <c r="G926" s="8" t="n">
        <v>21.17</v>
      </c>
      <c r="H926" s="8" t="n">
        <v>18.18</v>
      </c>
      <c r="I926" s="8" t="n">
        <v>13.12</v>
      </c>
      <c r="J926" s="8" t="n">
        <v>13.48</v>
      </c>
      <c r="K926" s="8" t="n">
        <v>17.07</v>
      </c>
      <c r="L926" s="8" t="n">
        <v>15.38</v>
      </c>
      <c r="M926" s="8" t="n">
        <v>18.1</v>
      </c>
      <c r="N926" s="4" t="n">
        <v>15.87</v>
      </c>
    </row>
    <row r="927">
      <c r="A927" s="2" t="inlineStr">
        <is>
          <t>WIR0331</t>
        </is>
      </c>
      <c r="B927" s="8" t="inlineStr">
        <is>
          <t>2030-05-01 00:00:00</t>
        </is>
      </c>
      <c r="C927" s="8" t="n">
        <v>13.98</v>
      </c>
      <c r="D927" s="8" t="n">
        <v>18.53</v>
      </c>
      <c r="E927" s="8" t="n">
        <v>21.44</v>
      </c>
      <c r="F927" s="8" t="n">
        <v>18.18</v>
      </c>
      <c r="G927" s="8" t="n">
        <v>23.25</v>
      </c>
      <c r="H927" s="8" t="n">
        <v>17.08</v>
      </c>
      <c r="I927" s="8" t="n">
        <v>14.19</v>
      </c>
      <c r="J927" s="8" t="n">
        <v>14.47</v>
      </c>
      <c r="K927" s="8" t="n">
        <v>15.58</v>
      </c>
      <c r="L927" s="8" t="n">
        <v>14.91</v>
      </c>
      <c r="M927" s="8" t="n">
        <v>17.02</v>
      </c>
      <c r="N927" s="4" t="n">
        <v>15.38</v>
      </c>
    </row>
    <row r="928">
      <c r="A928" s="2" t="inlineStr">
        <is>
          <t>WIR0331</t>
        </is>
      </c>
      <c r="B928" s="8" t="inlineStr">
        <is>
          <t>2030-06-01 00:00:00</t>
        </is>
      </c>
      <c r="C928" s="8" t="n">
        <v>14.83</v>
      </c>
      <c r="D928" s="8" t="n">
        <v>18.85</v>
      </c>
      <c r="E928" s="8" t="n">
        <v>27.17</v>
      </c>
      <c r="F928" s="8" t="n">
        <v>18.79</v>
      </c>
      <c r="G928" s="8" t="n">
        <v>28.28</v>
      </c>
      <c r="H928" s="8" t="n">
        <v>18.34</v>
      </c>
      <c r="I928" s="8" t="n">
        <v>13.53</v>
      </c>
      <c r="J928" s="8" t="n">
        <v>12.91</v>
      </c>
      <c r="K928" s="8" t="n">
        <v>15.92</v>
      </c>
      <c r="L928" s="8" t="n">
        <v>15.11</v>
      </c>
      <c r="M928" s="8" t="n">
        <v>18.79</v>
      </c>
      <c r="N928" s="4" t="n">
        <v>17.27</v>
      </c>
    </row>
    <row r="929">
      <c r="A929" s="2" t="inlineStr">
        <is>
          <t>WIR0331</t>
        </is>
      </c>
      <c r="B929" s="8" t="inlineStr">
        <is>
          <t>2030-07-01 00:00:00</t>
        </is>
      </c>
      <c r="C929" s="8" t="n">
        <v>14.18</v>
      </c>
      <c r="D929" s="8" t="n">
        <v>17.25</v>
      </c>
      <c r="E929" s="8" t="n">
        <v>25.45</v>
      </c>
      <c r="F929" s="8" t="n">
        <v>18.99</v>
      </c>
      <c r="G929" s="8" t="n">
        <v>27.41</v>
      </c>
      <c r="H929" s="8" t="n">
        <v>18.11</v>
      </c>
      <c r="I929" s="8" t="n">
        <v>14.14</v>
      </c>
      <c r="J929" s="8" t="n">
        <v>13.6</v>
      </c>
      <c r="K929" s="8" t="n">
        <v>17.54</v>
      </c>
      <c r="L929" s="8" t="n">
        <v>15.09</v>
      </c>
      <c r="M929" s="8" t="n">
        <v>19.78</v>
      </c>
      <c r="N929" s="4" t="n">
        <v>16.93</v>
      </c>
    </row>
    <row r="930">
      <c r="A930" s="2" t="inlineStr">
        <is>
          <t>WIR0331</t>
        </is>
      </c>
      <c r="B930" s="8" t="inlineStr">
        <is>
          <t>2030-08-01 00:00:00</t>
        </is>
      </c>
      <c r="C930" s="8" t="n">
        <v>14.24</v>
      </c>
      <c r="D930" s="8" t="n">
        <v>17.84</v>
      </c>
      <c r="E930" s="8" t="n">
        <v>18.76</v>
      </c>
      <c r="F930" s="8" t="n">
        <v>17.3</v>
      </c>
      <c r="G930" s="8" t="n">
        <v>19.82</v>
      </c>
      <c r="H930" s="8" t="n">
        <v>17.92</v>
      </c>
      <c r="I930" s="8" t="n">
        <v>16.02</v>
      </c>
      <c r="J930" s="8" t="n">
        <v>15.65</v>
      </c>
      <c r="K930" s="8" t="n">
        <v>18.21</v>
      </c>
      <c r="L930" s="8" t="n">
        <v>16.93</v>
      </c>
      <c r="M930" s="8" t="n">
        <v>19.87</v>
      </c>
      <c r="N930" s="4" t="n">
        <v>17.56</v>
      </c>
    </row>
    <row r="931">
      <c r="A931" s="2" t="inlineStr">
        <is>
          <t>WIR0331</t>
        </is>
      </c>
      <c r="B931" s="8" t="inlineStr">
        <is>
          <t>2030-09-01 00:00:00</t>
        </is>
      </c>
      <c r="C931" s="8" t="n">
        <v>10.44</v>
      </c>
      <c r="D931" s="8" t="n">
        <v>18.02</v>
      </c>
      <c r="E931" s="8" t="n">
        <v>22.24</v>
      </c>
      <c r="F931" s="8" t="n">
        <v>19.23</v>
      </c>
      <c r="G931" s="8" t="n">
        <v>25.39</v>
      </c>
      <c r="H931" s="8" t="n">
        <v>18.73</v>
      </c>
      <c r="I931" s="8" t="n">
        <v>8.91</v>
      </c>
      <c r="J931" s="8" t="n">
        <v>9.83</v>
      </c>
      <c r="K931" s="8" t="n">
        <v>14.55</v>
      </c>
      <c r="L931" s="8" t="n">
        <v>12.9</v>
      </c>
      <c r="M931" s="8" t="n">
        <v>18.8</v>
      </c>
      <c r="N931" s="4" t="n">
        <v>15.29</v>
      </c>
    </row>
    <row r="932">
      <c r="A932" s="2" t="inlineStr">
        <is>
          <t>WIR0331</t>
        </is>
      </c>
      <c r="B932" s="8" t="inlineStr">
        <is>
          <t>2030-10-01 00:00:00</t>
        </is>
      </c>
      <c r="C932" s="8" t="n">
        <v>6.01</v>
      </c>
      <c r="D932" s="8" t="n">
        <v>8.09</v>
      </c>
      <c r="E932" s="8" t="n">
        <v>9.48</v>
      </c>
      <c r="F932" s="8" t="n">
        <v>8.119999999999999</v>
      </c>
      <c r="G932" s="8" t="n">
        <v>9.65</v>
      </c>
      <c r="H932" s="8" t="n">
        <v>9.56</v>
      </c>
      <c r="I932" s="8" t="n">
        <v>6.78</v>
      </c>
      <c r="J932" s="8" t="n">
        <v>6.69</v>
      </c>
      <c r="K932" s="8" t="n">
        <v>7.54</v>
      </c>
      <c r="L932" s="8" t="n">
        <v>6.49</v>
      </c>
      <c r="M932" s="8" t="n">
        <v>8.109999999999999</v>
      </c>
      <c r="N932" s="4" t="n">
        <v>7.85</v>
      </c>
    </row>
    <row r="933">
      <c r="A933" s="2" t="inlineStr">
        <is>
          <t>WIR0331</t>
        </is>
      </c>
      <c r="B933" s="8" t="inlineStr">
        <is>
          <t>2030-11-01 00:00:00</t>
        </is>
      </c>
      <c r="C933" s="8" t="n">
        <v>4.93</v>
      </c>
      <c r="D933" s="8" t="n">
        <v>7.58</v>
      </c>
      <c r="E933" s="8" t="n">
        <v>10.9</v>
      </c>
      <c r="F933" s="8" t="n">
        <v>10.19</v>
      </c>
      <c r="G933" s="8" t="n">
        <v>10.8</v>
      </c>
      <c r="H933" s="8" t="n">
        <v>8.789999999999999</v>
      </c>
      <c r="I933" s="8" t="n">
        <v>4.89</v>
      </c>
      <c r="J933" s="8" t="n">
        <v>4.38</v>
      </c>
      <c r="K933" s="8" t="n">
        <v>7.18</v>
      </c>
      <c r="L933" s="8" t="n">
        <v>6.25</v>
      </c>
      <c r="M933" s="8" t="n">
        <v>7.14</v>
      </c>
      <c r="N933" s="4" t="n">
        <v>6.77</v>
      </c>
    </row>
    <row r="934">
      <c r="A934" s="2" t="inlineStr">
        <is>
          <t>WIR0331</t>
        </is>
      </c>
      <c r="B934" s="8" t="inlineStr">
        <is>
          <t>2030-12-01 00:00:00</t>
        </is>
      </c>
      <c r="C934" s="8" t="n">
        <v>6.25</v>
      </c>
      <c r="D934" s="8" t="n">
        <v>6.86</v>
      </c>
      <c r="E934" s="8" t="n">
        <v>11.22</v>
      </c>
      <c r="F934" s="8" t="n">
        <v>10.37</v>
      </c>
      <c r="G934" s="8" t="n">
        <v>9.93</v>
      </c>
      <c r="H934" s="8" t="n">
        <v>8.16</v>
      </c>
      <c r="I934" s="8" t="n">
        <v>5.95</v>
      </c>
      <c r="J934" s="8" t="n">
        <v>5.57</v>
      </c>
      <c r="K934" s="8" t="n">
        <v>7.77</v>
      </c>
      <c r="L934" s="8" t="n">
        <v>7.6</v>
      </c>
      <c r="M934" s="8" t="n">
        <v>8.17</v>
      </c>
      <c r="N934" s="4" t="n">
        <v>7.22</v>
      </c>
    </row>
    <row r="935">
      <c r="A935" s="2" t="inlineStr">
        <is>
          <t>WIR0331</t>
        </is>
      </c>
      <c r="B935" s="8" t="inlineStr">
        <is>
          <t>2031-01-01 00:00:00</t>
        </is>
      </c>
      <c r="C935" s="8" t="n">
        <v>10.84</v>
      </c>
      <c r="D935" s="8" t="n">
        <v>11.43</v>
      </c>
      <c r="E935" s="8" t="n">
        <v>14.78</v>
      </c>
      <c r="F935" s="8" t="n">
        <v>15.9</v>
      </c>
      <c r="G935" s="8" t="n">
        <v>16.71</v>
      </c>
      <c r="H935" s="8" t="n">
        <v>14.44</v>
      </c>
      <c r="I935" s="8" t="n">
        <v>8.26</v>
      </c>
      <c r="J935" s="8" t="n">
        <v>7.21</v>
      </c>
      <c r="K935" s="8" t="n">
        <v>9.31</v>
      </c>
      <c r="L935" s="8" t="n">
        <v>9.720000000000001</v>
      </c>
      <c r="M935" s="8" t="n">
        <v>11.47</v>
      </c>
      <c r="N935" s="4" t="n">
        <v>10.36</v>
      </c>
    </row>
    <row r="936">
      <c r="A936" s="2" t="inlineStr">
        <is>
          <t>WIR0331</t>
        </is>
      </c>
      <c r="B936" s="8" t="inlineStr">
        <is>
          <t>2031-02-01 00:00:00</t>
        </is>
      </c>
      <c r="C936" s="8" t="n">
        <v>9.949999999999999</v>
      </c>
      <c r="D936" s="8" t="n">
        <v>12.01</v>
      </c>
      <c r="E936" s="8" t="n">
        <v>14.88</v>
      </c>
      <c r="F936" s="8" t="n">
        <v>14.39</v>
      </c>
      <c r="G936" s="8" t="n">
        <v>16.06</v>
      </c>
      <c r="H936" s="8" t="n">
        <v>13.99</v>
      </c>
      <c r="I936" s="8" t="n">
        <v>8.800000000000001</v>
      </c>
      <c r="J936" s="8" t="n">
        <v>7.39</v>
      </c>
      <c r="K936" s="8" t="n">
        <v>10.93</v>
      </c>
      <c r="L936" s="8" t="n">
        <v>11.15</v>
      </c>
      <c r="M936" s="8" t="n">
        <v>12.99</v>
      </c>
      <c r="N936" s="4" t="n">
        <v>11.55</v>
      </c>
    </row>
    <row r="937">
      <c r="A937" s="2" t="inlineStr">
        <is>
          <t>WIR0331</t>
        </is>
      </c>
      <c r="B937" s="8" t="inlineStr">
        <is>
          <t>2031-03-01 00:00:00</t>
        </is>
      </c>
      <c r="C937" s="8" t="n">
        <v>10.24</v>
      </c>
      <c r="D937" s="8" t="n">
        <v>12.53</v>
      </c>
      <c r="E937" s="8" t="n">
        <v>14.22</v>
      </c>
      <c r="F937" s="8" t="n">
        <v>13.49</v>
      </c>
      <c r="G937" s="8" t="n">
        <v>14.3</v>
      </c>
      <c r="H937" s="8" t="n">
        <v>13.03</v>
      </c>
      <c r="I937" s="8" t="n">
        <v>10.06</v>
      </c>
      <c r="J937" s="8" t="n">
        <v>9.83</v>
      </c>
      <c r="K937" s="8" t="n">
        <v>12.9</v>
      </c>
      <c r="L937" s="8" t="n">
        <v>11.89</v>
      </c>
      <c r="M937" s="8" t="n">
        <v>13.09</v>
      </c>
      <c r="N937" s="4" t="n">
        <v>12.08</v>
      </c>
    </row>
    <row r="938">
      <c r="A938" s="2" t="inlineStr">
        <is>
          <t>WIR0331</t>
        </is>
      </c>
      <c r="B938" s="8" t="inlineStr">
        <is>
          <t>2031-04-01 00:00:00</t>
        </is>
      </c>
      <c r="C938" s="8" t="n">
        <v>15.39</v>
      </c>
      <c r="D938" s="8" t="n">
        <v>17.89</v>
      </c>
      <c r="E938" s="8" t="n">
        <v>19.12</v>
      </c>
      <c r="F938" s="8" t="n">
        <v>19.26</v>
      </c>
      <c r="G938" s="8" t="n">
        <v>21.17</v>
      </c>
      <c r="H938" s="8" t="n">
        <v>18.18</v>
      </c>
      <c r="I938" s="8" t="n">
        <v>13.12</v>
      </c>
      <c r="J938" s="8" t="n">
        <v>13.48</v>
      </c>
      <c r="K938" s="8" t="n">
        <v>17.07</v>
      </c>
      <c r="L938" s="8" t="n">
        <v>15.38</v>
      </c>
      <c r="M938" s="8" t="n">
        <v>18.1</v>
      </c>
      <c r="N938" s="4" t="n">
        <v>15.87</v>
      </c>
    </row>
    <row r="939">
      <c r="A939" s="2" t="inlineStr">
        <is>
          <t>WIR0331</t>
        </is>
      </c>
      <c r="B939" s="8" t="inlineStr">
        <is>
          <t>2031-05-01 00:00:00</t>
        </is>
      </c>
      <c r="C939" s="8" t="n">
        <v>13.98</v>
      </c>
      <c r="D939" s="8" t="n">
        <v>18.53</v>
      </c>
      <c r="E939" s="8" t="n">
        <v>21.44</v>
      </c>
      <c r="F939" s="8" t="n">
        <v>18.18</v>
      </c>
      <c r="G939" s="8" t="n">
        <v>23.25</v>
      </c>
      <c r="H939" s="8" t="n">
        <v>17.08</v>
      </c>
      <c r="I939" s="8" t="n">
        <v>14.19</v>
      </c>
      <c r="J939" s="8" t="n">
        <v>14.47</v>
      </c>
      <c r="K939" s="8" t="n">
        <v>15.58</v>
      </c>
      <c r="L939" s="8" t="n">
        <v>14.91</v>
      </c>
      <c r="M939" s="8" t="n">
        <v>17.02</v>
      </c>
      <c r="N939" s="4" t="n">
        <v>15.38</v>
      </c>
    </row>
    <row r="940">
      <c r="A940" s="2" t="inlineStr">
        <is>
          <t>WIR0331</t>
        </is>
      </c>
      <c r="B940" s="8" t="inlineStr">
        <is>
          <t>2031-06-01 00:00:00</t>
        </is>
      </c>
      <c r="C940" s="8" t="n">
        <v>14.83</v>
      </c>
      <c r="D940" s="8" t="n">
        <v>18.85</v>
      </c>
      <c r="E940" s="8" t="n">
        <v>27.17</v>
      </c>
      <c r="F940" s="8" t="n">
        <v>18.79</v>
      </c>
      <c r="G940" s="8" t="n">
        <v>28.28</v>
      </c>
      <c r="H940" s="8" t="n">
        <v>18.34</v>
      </c>
      <c r="I940" s="8" t="n">
        <v>13.53</v>
      </c>
      <c r="J940" s="8" t="n">
        <v>12.91</v>
      </c>
      <c r="K940" s="8" t="n">
        <v>15.92</v>
      </c>
      <c r="L940" s="8" t="n">
        <v>15.11</v>
      </c>
      <c r="M940" s="8" t="n">
        <v>18.79</v>
      </c>
      <c r="N940" s="4" t="n">
        <v>17.27</v>
      </c>
    </row>
    <row r="941">
      <c r="A941" s="2" t="inlineStr">
        <is>
          <t>HWB0331</t>
        </is>
      </c>
      <c r="B941" s="8" t="inlineStr">
        <is>
          <t>2026-07-01 00:00:00</t>
        </is>
      </c>
      <c r="C941" s="8" t="n">
        <v>12.58</v>
      </c>
      <c r="D941" s="8" t="n">
        <v>14.28</v>
      </c>
      <c r="E941" s="8" t="n">
        <v>20.93</v>
      </c>
      <c r="F941" s="8" t="n">
        <v>14.79</v>
      </c>
      <c r="G941" s="8" t="n">
        <v>22.12</v>
      </c>
      <c r="H941" s="8" t="n">
        <v>14.71</v>
      </c>
      <c r="I941" s="8" t="n">
        <v>12.49</v>
      </c>
      <c r="J941" s="8" t="n">
        <v>11.79</v>
      </c>
      <c r="K941" s="8" t="n">
        <v>14.03</v>
      </c>
      <c r="L941" s="8" t="n">
        <v>12.29</v>
      </c>
      <c r="M941" s="8" t="n">
        <v>15.46</v>
      </c>
      <c r="N941" s="4" t="n">
        <v>13.92</v>
      </c>
    </row>
    <row r="942">
      <c r="A942" s="2" t="inlineStr">
        <is>
          <t>HWB0331</t>
        </is>
      </c>
      <c r="B942" s="8" t="inlineStr">
        <is>
          <t>2026-08-01 00:00:00</t>
        </is>
      </c>
      <c r="C942" s="8" t="n">
        <v>12.84</v>
      </c>
      <c r="D942" s="8" t="n">
        <v>14.74</v>
      </c>
      <c r="E942" s="8" t="n">
        <v>14.7</v>
      </c>
      <c r="F942" s="8" t="n">
        <v>13.76</v>
      </c>
      <c r="G942" s="8" t="n">
        <v>15.33</v>
      </c>
      <c r="H942" s="8" t="n">
        <v>14.9</v>
      </c>
      <c r="I942" s="8" t="n">
        <v>14.45</v>
      </c>
      <c r="J942" s="8" t="n">
        <v>13.85</v>
      </c>
      <c r="K942" s="8" t="n">
        <v>15.49</v>
      </c>
      <c r="L942" s="8" t="n">
        <v>14.43</v>
      </c>
      <c r="M942" s="8" t="n">
        <v>16.31</v>
      </c>
      <c r="N942" s="4" t="n">
        <v>15.06</v>
      </c>
    </row>
    <row r="943">
      <c r="A943" s="2" t="inlineStr">
        <is>
          <t>HWB0331</t>
        </is>
      </c>
      <c r="B943" s="8" t="inlineStr">
        <is>
          <t>2026-09-01 00:00:00</t>
        </is>
      </c>
      <c r="C943" s="8" t="n">
        <v>6.74</v>
      </c>
      <c r="D943" s="8" t="n">
        <v>10.62</v>
      </c>
      <c r="E943" s="8" t="n">
        <v>12.28</v>
      </c>
      <c r="F943" s="8" t="n">
        <v>10.29</v>
      </c>
      <c r="G943" s="8" t="n">
        <v>13.83</v>
      </c>
      <c r="H943" s="8" t="n">
        <v>11.19</v>
      </c>
      <c r="I943" s="8" t="n">
        <v>5.95</v>
      </c>
      <c r="J943" s="8" t="n">
        <v>6.05</v>
      </c>
      <c r="K943" s="8" t="n">
        <v>8.31</v>
      </c>
      <c r="L943" s="8" t="n">
        <v>7.39</v>
      </c>
      <c r="M943" s="8" t="n">
        <v>10.79</v>
      </c>
      <c r="N943" s="4" t="n">
        <v>8.68</v>
      </c>
    </row>
    <row r="944">
      <c r="A944" s="2" t="inlineStr">
        <is>
          <t>HWB0331</t>
        </is>
      </c>
      <c r="B944" s="8" t="inlineStr">
        <is>
          <t>2026-10-01 00:00:00</t>
        </is>
      </c>
      <c r="C944" s="8" t="n">
        <v>6.5</v>
      </c>
      <c r="D944" s="8" t="n">
        <v>7.83</v>
      </c>
      <c r="E944" s="8" t="n">
        <v>8.85</v>
      </c>
      <c r="F944" s="8" t="n">
        <v>7.66</v>
      </c>
      <c r="G944" s="8" t="n">
        <v>9.25</v>
      </c>
      <c r="H944" s="8" t="n">
        <v>9.75</v>
      </c>
      <c r="I944" s="8" t="n">
        <v>7.35</v>
      </c>
      <c r="J944" s="8" t="n">
        <v>7</v>
      </c>
      <c r="K944" s="8" t="n">
        <v>7.65</v>
      </c>
      <c r="L944" s="8" t="n">
        <v>6.4</v>
      </c>
      <c r="M944" s="8" t="n">
        <v>8.220000000000001</v>
      </c>
      <c r="N944" s="4" t="n">
        <v>8.220000000000001</v>
      </c>
    </row>
    <row r="945">
      <c r="A945" s="2" t="inlineStr">
        <is>
          <t>HWB0331</t>
        </is>
      </c>
      <c r="B945" s="8" t="inlineStr">
        <is>
          <t>2026-11-01 00:00:00</t>
        </is>
      </c>
      <c r="C945" s="8" t="n">
        <v>5.12</v>
      </c>
      <c r="D945" s="8" t="n">
        <v>7.05</v>
      </c>
      <c r="E945" s="8" t="n">
        <v>8.65</v>
      </c>
      <c r="F945" s="8" t="n">
        <v>8</v>
      </c>
      <c r="G945" s="8" t="n">
        <v>9.279999999999999</v>
      </c>
      <c r="H945" s="8" t="n">
        <v>8.279999999999999</v>
      </c>
      <c r="I945" s="8" t="n">
        <v>5.14</v>
      </c>
      <c r="J945" s="8" t="n">
        <v>4.51</v>
      </c>
      <c r="K945" s="8" t="n">
        <v>6.83</v>
      </c>
      <c r="L945" s="8" t="n">
        <v>5.89</v>
      </c>
      <c r="M945" s="8" t="n">
        <v>6.83</v>
      </c>
      <c r="N945" s="4" t="n">
        <v>6.72</v>
      </c>
    </row>
    <row r="946">
      <c r="A946" s="2" t="inlineStr">
        <is>
          <t>HWB0331</t>
        </is>
      </c>
      <c r="B946" s="8" t="inlineStr">
        <is>
          <t>2026-12-01 00:00:00</t>
        </is>
      </c>
      <c r="C946" s="8" t="n">
        <v>5.96</v>
      </c>
      <c r="D946" s="8" t="n">
        <v>5.87</v>
      </c>
      <c r="E946" s="8" t="n">
        <v>7.77</v>
      </c>
      <c r="F946" s="8" t="n">
        <v>7.84</v>
      </c>
      <c r="G946" s="8" t="n">
        <v>7.44</v>
      </c>
      <c r="H946" s="8" t="n">
        <v>6.94</v>
      </c>
      <c r="I946" s="8" t="n">
        <v>5.77</v>
      </c>
      <c r="J946" s="8" t="n">
        <v>5.31</v>
      </c>
      <c r="K946" s="8" t="n">
        <v>6.86</v>
      </c>
      <c r="L946" s="8" t="n">
        <v>6.75</v>
      </c>
      <c r="M946" s="8" t="n">
        <v>7.04</v>
      </c>
      <c r="N946" s="4" t="n">
        <v>6.57</v>
      </c>
    </row>
    <row r="947">
      <c r="A947" s="2" t="inlineStr">
        <is>
          <t>HWB0331</t>
        </is>
      </c>
      <c r="B947" s="8" t="inlineStr">
        <is>
          <t>2027-01-01 00:00:00</t>
        </is>
      </c>
      <c r="C947" s="8" t="n">
        <v>11.32</v>
      </c>
      <c r="D947" s="8" t="n">
        <v>11.35</v>
      </c>
      <c r="E947" s="8" t="n">
        <v>13.44</v>
      </c>
      <c r="F947" s="8" t="n">
        <v>14.02</v>
      </c>
      <c r="G947" s="8" t="n">
        <v>14.74</v>
      </c>
      <c r="H947" s="8" t="n">
        <v>14</v>
      </c>
      <c r="I947" s="8" t="n">
        <v>8.69</v>
      </c>
      <c r="J947" s="8" t="n">
        <v>7.48</v>
      </c>
      <c r="K947" s="8" t="n">
        <v>9.1</v>
      </c>
      <c r="L947" s="8" t="n">
        <v>9.449999999999999</v>
      </c>
      <c r="M947" s="8" t="n">
        <v>11.04</v>
      </c>
      <c r="N947" s="4" t="n">
        <v>10.45</v>
      </c>
    </row>
    <row r="948">
      <c r="A948" s="2" t="inlineStr">
        <is>
          <t>HWB0331</t>
        </is>
      </c>
      <c r="B948" s="8" t="inlineStr">
        <is>
          <t>2027-02-01 00:00:00</t>
        </is>
      </c>
      <c r="C948" s="8" t="n">
        <v>11.73</v>
      </c>
      <c r="D948" s="8" t="n">
        <v>12.34</v>
      </c>
      <c r="E948" s="8" t="n">
        <v>13.03</v>
      </c>
      <c r="F948" s="8" t="n">
        <v>12.3</v>
      </c>
      <c r="G948" s="8" t="n">
        <v>14.78</v>
      </c>
      <c r="H948" s="8" t="n">
        <v>14.6</v>
      </c>
      <c r="I948" s="8" t="n">
        <v>9.99</v>
      </c>
      <c r="J948" s="8" t="n">
        <v>7.61</v>
      </c>
      <c r="K948" s="8" t="n">
        <v>8.31</v>
      </c>
      <c r="L948" s="8" t="n">
        <v>8.279999999999999</v>
      </c>
      <c r="M948" s="8" t="n">
        <v>9.76</v>
      </c>
      <c r="N948" s="4" t="n">
        <v>10.13</v>
      </c>
    </row>
    <row r="949">
      <c r="A949" s="2" t="inlineStr">
        <is>
          <t>HWB0331</t>
        </is>
      </c>
      <c r="B949" s="8" t="inlineStr">
        <is>
          <t>2027-03-01 00:00:00</t>
        </is>
      </c>
      <c r="C949" s="8" t="n">
        <v>11.06</v>
      </c>
      <c r="D949" s="8" t="n">
        <v>12.11</v>
      </c>
      <c r="E949" s="8" t="n">
        <v>12.16</v>
      </c>
      <c r="F949" s="8" t="n">
        <v>11.29</v>
      </c>
      <c r="G949" s="8" t="n">
        <v>12.67</v>
      </c>
      <c r="H949" s="8" t="n">
        <v>12.69</v>
      </c>
      <c r="I949" s="8" t="n">
        <v>11.27</v>
      </c>
      <c r="J949" s="8" t="n">
        <v>10.89</v>
      </c>
      <c r="K949" s="8" t="n">
        <v>12.09</v>
      </c>
      <c r="L949" s="8" t="n">
        <v>11.35</v>
      </c>
      <c r="M949" s="8" t="n">
        <v>12.61</v>
      </c>
      <c r="N949" s="4" t="n">
        <v>12.43</v>
      </c>
    </row>
    <row r="950">
      <c r="A950" s="2" t="inlineStr">
        <is>
          <t>HWB0331</t>
        </is>
      </c>
      <c r="B950" s="8" t="inlineStr">
        <is>
          <t>2027-04-01 00:00:00</t>
        </is>
      </c>
      <c r="C950" s="8" t="n">
        <v>16.67</v>
      </c>
      <c r="D950" s="8" t="n">
        <v>17.57</v>
      </c>
      <c r="E950" s="8" t="n">
        <v>16.89</v>
      </c>
      <c r="F950" s="8" t="n">
        <v>16.58</v>
      </c>
      <c r="G950" s="8" t="n">
        <v>18.86</v>
      </c>
      <c r="H950" s="8" t="n">
        <v>17.89</v>
      </c>
      <c r="I950" s="8" t="n">
        <v>14.96</v>
      </c>
      <c r="J950" s="8" t="n">
        <v>14.33</v>
      </c>
      <c r="K950" s="8" t="n">
        <v>15.72</v>
      </c>
      <c r="L950" s="8" t="n">
        <v>14.69</v>
      </c>
      <c r="M950" s="8" t="n">
        <v>17.49</v>
      </c>
      <c r="N950" s="4" t="n">
        <v>16.09</v>
      </c>
    </row>
    <row r="951">
      <c r="A951" s="2" t="inlineStr">
        <is>
          <t>HWB0331</t>
        </is>
      </c>
      <c r="B951" s="8" t="inlineStr">
        <is>
          <t>2027-05-01 00:00:00</t>
        </is>
      </c>
      <c r="C951" s="8" t="n">
        <v>15.35</v>
      </c>
      <c r="D951" s="8" t="n">
        <v>18.15</v>
      </c>
      <c r="E951" s="8" t="n">
        <v>19.05</v>
      </c>
      <c r="F951" s="8" t="n">
        <v>16.13</v>
      </c>
      <c r="G951" s="8" t="n">
        <v>20.96</v>
      </c>
      <c r="H951" s="8" t="n">
        <v>16.64</v>
      </c>
      <c r="I951" s="8" t="n">
        <v>15.17</v>
      </c>
      <c r="J951" s="8" t="n">
        <v>15.12</v>
      </c>
      <c r="K951" s="8" t="n">
        <v>15.41</v>
      </c>
      <c r="L951" s="8" t="n">
        <v>14.75</v>
      </c>
      <c r="M951" s="8" t="n">
        <v>16.1</v>
      </c>
      <c r="N951" s="4" t="n">
        <v>15.4</v>
      </c>
    </row>
    <row r="952">
      <c r="A952" s="2" t="inlineStr">
        <is>
          <t>HWB0331</t>
        </is>
      </c>
      <c r="B952" s="8" t="inlineStr">
        <is>
          <t>2027-06-01 00:00:00</t>
        </is>
      </c>
      <c r="C952" s="8" t="n">
        <v>15.4</v>
      </c>
      <c r="D952" s="8" t="n">
        <v>18.14</v>
      </c>
      <c r="E952" s="8" t="n">
        <v>24.69</v>
      </c>
      <c r="F952" s="8" t="n">
        <v>16.45</v>
      </c>
      <c r="G952" s="8" t="n">
        <v>25.39</v>
      </c>
      <c r="H952" s="8" t="n">
        <v>17.06</v>
      </c>
      <c r="I952" s="8" t="n">
        <v>14.84</v>
      </c>
      <c r="J952" s="8" t="n">
        <v>13.86</v>
      </c>
      <c r="K952" s="8" t="n">
        <v>15.77</v>
      </c>
      <c r="L952" s="8" t="n">
        <v>14.88</v>
      </c>
      <c r="M952" s="8" t="n">
        <v>17.53</v>
      </c>
      <c r="N952" s="4" t="n">
        <v>17.28</v>
      </c>
    </row>
    <row r="953">
      <c r="A953" s="2" t="inlineStr">
        <is>
          <t>HWB0331</t>
        </is>
      </c>
      <c r="B953" s="8" t="inlineStr">
        <is>
          <t>2027-07-01 00:00:00</t>
        </is>
      </c>
      <c r="C953" s="8" t="n">
        <v>14.79</v>
      </c>
      <c r="D953" s="8" t="n">
        <v>16.82</v>
      </c>
      <c r="E953" s="8" t="n">
        <v>23.58</v>
      </c>
      <c r="F953" s="8" t="n">
        <v>17.42</v>
      </c>
      <c r="G953" s="8" t="n">
        <v>25</v>
      </c>
      <c r="H953" s="8" t="n">
        <v>17.33</v>
      </c>
      <c r="I953" s="8" t="n">
        <v>14.69</v>
      </c>
      <c r="J953" s="8" t="n">
        <v>13.84</v>
      </c>
      <c r="K953" s="8" t="n">
        <v>16.52</v>
      </c>
      <c r="L953" s="8" t="n">
        <v>14.44</v>
      </c>
      <c r="M953" s="8" t="n">
        <v>18.21</v>
      </c>
      <c r="N953" s="4" t="n">
        <v>16.39</v>
      </c>
    </row>
    <row r="954">
      <c r="A954" s="2" t="inlineStr">
        <is>
          <t>HWB0331</t>
        </is>
      </c>
      <c r="B954" s="8" t="inlineStr">
        <is>
          <t>2027-08-01 00:00:00</t>
        </is>
      </c>
      <c r="C954" s="8" t="n">
        <v>14.67</v>
      </c>
      <c r="D954" s="8" t="n">
        <v>16.87</v>
      </c>
      <c r="E954" s="8" t="n">
        <v>16.83</v>
      </c>
      <c r="F954" s="8" t="n">
        <v>15.74</v>
      </c>
      <c r="G954" s="8" t="n">
        <v>17.55</v>
      </c>
      <c r="H954" s="8" t="n">
        <v>17.06</v>
      </c>
      <c r="I954" s="8" t="n">
        <v>16.54</v>
      </c>
      <c r="J954" s="8" t="n">
        <v>15.84</v>
      </c>
      <c r="K954" s="8" t="n">
        <v>17.74</v>
      </c>
      <c r="L954" s="8" t="n">
        <v>16.51</v>
      </c>
      <c r="M954" s="8" t="n">
        <v>18.68</v>
      </c>
      <c r="N954" s="4" t="n">
        <v>17.24</v>
      </c>
    </row>
    <row r="955">
      <c r="A955" s="2" t="inlineStr">
        <is>
          <t>HWB0331</t>
        </is>
      </c>
      <c r="B955" s="8" t="inlineStr">
        <is>
          <t>2027-09-01 00:00:00</t>
        </is>
      </c>
      <c r="C955" s="8" t="n">
        <v>10.58</v>
      </c>
      <c r="D955" s="8" t="n">
        <v>16.87</v>
      </c>
      <c r="E955" s="8" t="n">
        <v>19.55</v>
      </c>
      <c r="F955" s="8" t="n">
        <v>16.33</v>
      </c>
      <c r="G955" s="8" t="n">
        <v>22.05</v>
      </c>
      <c r="H955" s="8" t="n">
        <v>17.78</v>
      </c>
      <c r="I955" s="8" t="n">
        <v>9.31</v>
      </c>
      <c r="J955" s="8" t="n">
        <v>9.470000000000001</v>
      </c>
      <c r="K955" s="8" t="n">
        <v>13.12</v>
      </c>
      <c r="L955" s="8" t="n">
        <v>11.64</v>
      </c>
      <c r="M955" s="8" t="n">
        <v>17.13</v>
      </c>
      <c r="N955" s="4" t="n">
        <v>13.73</v>
      </c>
    </row>
    <row r="956">
      <c r="A956" s="2" t="inlineStr">
        <is>
          <t>HWB0331</t>
        </is>
      </c>
      <c r="B956" s="8" t="inlineStr">
        <is>
          <t>2027-10-01 00:00:00</t>
        </is>
      </c>
      <c r="C956" s="8" t="n">
        <v>5.75</v>
      </c>
      <c r="D956" s="8" t="n">
        <v>6.91</v>
      </c>
      <c r="E956" s="8" t="n">
        <v>7.79</v>
      </c>
      <c r="F956" s="8" t="n">
        <v>6.75</v>
      </c>
      <c r="G956" s="8" t="n">
        <v>8.140000000000001</v>
      </c>
      <c r="H956" s="8" t="n">
        <v>8.58</v>
      </c>
      <c r="I956" s="8" t="n">
        <v>6.48</v>
      </c>
      <c r="J956" s="8" t="n">
        <v>6.18</v>
      </c>
      <c r="K956" s="8" t="n">
        <v>6.74</v>
      </c>
      <c r="L956" s="8" t="n">
        <v>5.65</v>
      </c>
      <c r="M956" s="8" t="n">
        <v>7.24</v>
      </c>
      <c r="N956" s="4" t="n">
        <v>7.25</v>
      </c>
    </row>
    <row r="957">
      <c r="A957" s="2" t="inlineStr">
        <is>
          <t>HWB0331</t>
        </is>
      </c>
      <c r="B957" s="8" t="inlineStr">
        <is>
          <t>2027-11-01 00:00:00</t>
        </is>
      </c>
      <c r="C957" s="8" t="n">
        <v>5.13</v>
      </c>
      <c r="D957" s="8" t="n">
        <v>7.07</v>
      </c>
      <c r="E957" s="8" t="n">
        <v>8.68</v>
      </c>
      <c r="F957" s="8" t="n">
        <v>8.02</v>
      </c>
      <c r="G957" s="8" t="n">
        <v>9.300000000000001</v>
      </c>
      <c r="H957" s="8" t="n">
        <v>8.300000000000001</v>
      </c>
      <c r="I957" s="8" t="n">
        <v>5.15</v>
      </c>
      <c r="J957" s="8" t="n">
        <v>4.52</v>
      </c>
      <c r="K957" s="8" t="n">
        <v>6.85</v>
      </c>
      <c r="L957" s="8" t="n">
        <v>5.91</v>
      </c>
      <c r="M957" s="8" t="n">
        <v>6.85</v>
      </c>
      <c r="N957" s="4" t="n">
        <v>6.74</v>
      </c>
    </row>
    <row r="958">
      <c r="A958" s="2" t="inlineStr">
        <is>
          <t>HWB0331</t>
        </is>
      </c>
      <c r="B958" s="8" t="inlineStr">
        <is>
          <t>2027-12-01 00:00:00</t>
        </is>
      </c>
      <c r="C958" s="8" t="n">
        <v>6.45</v>
      </c>
      <c r="D958" s="8" t="n">
        <v>6.35</v>
      </c>
      <c r="E958" s="8" t="n">
        <v>8.41</v>
      </c>
      <c r="F958" s="8" t="n">
        <v>8.49</v>
      </c>
      <c r="G958" s="8" t="n">
        <v>8.06</v>
      </c>
      <c r="H958" s="8" t="n">
        <v>7.51</v>
      </c>
      <c r="I958" s="8" t="n">
        <v>6.24</v>
      </c>
      <c r="J958" s="8" t="n">
        <v>5.73</v>
      </c>
      <c r="K958" s="8" t="n">
        <v>7.43</v>
      </c>
      <c r="L958" s="8" t="n">
        <v>7.3</v>
      </c>
      <c r="M958" s="8" t="n">
        <v>7.62</v>
      </c>
      <c r="N958" s="4" t="n">
        <v>7.11</v>
      </c>
    </row>
    <row r="959">
      <c r="A959" s="2" t="inlineStr">
        <is>
          <t>HWB0331</t>
        </is>
      </c>
      <c r="B959" s="8" t="inlineStr">
        <is>
          <t>2028-01-01 00:00:00</t>
        </is>
      </c>
      <c r="C959" s="8" t="n">
        <v>11.07</v>
      </c>
      <c r="D959" s="8" t="n">
        <v>11.1</v>
      </c>
      <c r="E959" s="8" t="n">
        <v>13.15</v>
      </c>
      <c r="F959" s="8" t="n">
        <v>13.71</v>
      </c>
      <c r="G959" s="8" t="n">
        <v>14.41</v>
      </c>
      <c r="H959" s="8" t="n">
        <v>13.69</v>
      </c>
      <c r="I959" s="8" t="n">
        <v>8.5</v>
      </c>
      <c r="J959" s="8" t="n">
        <v>7.32</v>
      </c>
      <c r="K959" s="8" t="n">
        <v>8.9</v>
      </c>
      <c r="L959" s="8" t="n">
        <v>9.24</v>
      </c>
      <c r="M959" s="8" t="n">
        <v>10.8</v>
      </c>
      <c r="N959" s="4" t="n">
        <v>10.23</v>
      </c>
    </row>
    <row r="960">
      <c r="A960" s="2" t="inlineStr">
        <is>
          <t>HWB0331</t>
        </is>
      </c>
      <c r="B960" s="8" t="inlineStr">
        <is>
          <t>2028-02-01 00:00:00</t>
        </is>
      </c>
      <c r="C960" s="8" t="n">
        <v>11.43</v>
      </c>
      <c r="D960" s="8" t="n">
        <v>12.03</v>
      </c>
      <c r="E960" s="8" t="n">
        <v>12.7</v>
      </c>
      <c r="F960" s="8" t="n">
        <v>11.99</v>
      </c>
      <c r="G960" s="8" t="n">
        <v>14.39</v>
      </c>
      <c r="H960" s="8" t="n">
        <v>14.22</v>
      </c>
      <c r="I960" s="8" t="n">
        <v>9.74</v>
      </c>
      <c r="J960" s="8" t="n">
        <v>7.42</v>
      </c>
      <c r="K960" s="8" t="n">
        <v>8.1</v>
      </c>
      <c r="L960" s="8" t="n">
        <v>8.08</v>
      </c>
      <c r="M960" s="8" t="n">
        <v>9.51</v>
      </c>
      <c r="N960" s="4" t="n">
        <v>9.869999999999999</v>
      </c>
    </row>
    <row r="961">
      <c r="A961" s="2" t="inlineStr">
        <is>
          <t>HWB0331</t>
        </is>
      </c>
      <c r="B961" s="8" t="inlineStr">
        <is>
          <t>2028-03-01 00:00:00</t>
        </is>
      </c>
      <c r="C961" s="8" t="n">
        <v>10.81</v>
      </c>
      <c r="D961" s="8" t="n">
        <v>11.83</v>
      </c>
      <c r="E961" s="8" t="n">
        <v>11.88</v>
      </c>
      <c r="F961" s="8" t="n">
        <v>11.03</v>
      </c>
      <c r="G961" s="8" t="n">
        <v>12.37</v>
      </c>
      <c r="H961" s="8" t="n">
        <v>12.39</v>
      </c>
      <c r="I961" s="8" t="n">
        <v>11.02</v>
      </c>
      <c r="J961" s="8" t="n">
        <v>10.65</v>
      </c>
      <c r="K961" s="8" t="n">
        <v>11.81</v>
      </c>
      <c r="L961" s="8" t="n">
        <v>11.09</v>
      </c>
      <c r="M961" s="8" t="n">
        <v>12.31</v>
      </c>
      <c r="N961" s="4" t="n">
        <v>12.15</v>
      </c>
    </row>
    <row r="962">
      <c r="A962" s="2" t="inlineStr">
        <is>
          <t>HWB0331</t>
        </is>
      </c>
      <c r="B962" s="8" t="inlineStr">
        <is>
          <t>2028-04-01 00:00:00</t>
        </is>
      </c>
      <c r="C962" s="8" t="n">
        <v>16.17</v>
      </c>
      <c r="D962" s="8" t="n">
        <v>17.04</v>
      </c>
      <c r="E962" s="8" t="n">
        <v>16.38</v>
      </c>
      <c r="F962" s="8" t="n">
        <v>16.08</v>
      </c>
      <c r="G962" s="8" t="n">
        <v>18.29</v>
      </c>
      <c r="H962" s="8" t="n">
        <v>17.35</v>
      </c>
      <c r="I962" s="8" t="n">
        <v>14.51</v>
      </c>
      <c r="J962" s="8" t="n">
        <v>13.9</v>
      </c>
      <c r="K962" s="8" t="n">
        <v>15.25</v>
      </c>
      <c r="L962" s="8" t="n">
        <v>14.26</v>
      </c>
      <c r="M962" s="8" t="n">
        <v>16.96</v>
      </c>
      <c r="N962" s="4" t="n">
        <v>15.61</v>
      </c>
    </row>
    <row r="963">
      <c r="A963" s="2" t="inlineStr">
        <is>
          <t>HWB0331</t>
        </is>
      </c>
      <c r="B963" s="8" t="inlineStr">
        <is>
          <t>2028-05-01 00:00:00</t>
        </is>
      </c>
      <c r="C963" s="8" t="n">
        <v>14.55</v>
      </c>
      <c r="D963" s="8" t="n">
        <v>17.2</v>
      </c>
      <c r="E963" s="8" t="n">
        <v>18.04</v>
      </c>
      <c r="F963" s="8" t="n">
        <v>15.28</v>
      </c>
      <c r="G963" s="8" t="n">
        <v>19.85</v>
      </c>
      <c r="H963" s="8" t="n">
        <v>15.76</v>
      </c>
      <c r="I963" s="8" t="n">
        <v>14.38</v>
      </c>
      <c r="J963" s="8" t="n">
        <v>14.33</v>
      </c>
      <c r="K963" s="8" t="n">
        <v>14.61</v>
      </c>
      <c r="L963" s="8" t="n">
        <v>13.99</v>
      </c>
      <c r="M963" s="8" t="n">
        <v>15.26</v>
      </c>
      <c r="N963" s="4" t="n">
        <v>14.6</v>
      </c>
    </row>
    <row r="964">
      <c r="A964" s="2" t="inlineStr">
        <is>
          <t>HWB0331</t>
        </is>
      </c>
      <c r="B964" s="8" t="inlineStr">
        <is>
          <t>2028-06-01 00:00:00</t>
        </is>
      </c>
      <c r="C964" s="8" t="n">
        <v>14.68</v>
      </c>
      <c r="D964" s="8" t="n">
        <v>17.28</v>
      </c>
      <c r="E964" s="8" t="n">
        <v>23.8</v>
      </c>
      <c r="F964" s="8" t="n">
        <v>15.67</v>
      </c>
      <c r="G964" s="8" t="n">
        <v>24.47</v>
      </c>
      <c r="H964" s="8" t="n">
        <v>16.25</v>
      </c>
      <c r="I964" s="8" t="n">
        <v>14.14</v>
      </c>
      <c r="J964" s="8" t="n">
        <v>13.22</v>
      </c>
      <c r="K964" s="8" t="n">
        <v>15.03</v>
      </c>
      <c r="L964" s="8" t="n">
        <v>14.18</v>
      </c>
      <c r="M964" s="8" t="n">
        <v>16.7</v>
      </c>
      <c r="N964" s="4" t="n">
        <v>16.47</v>
      </c>
    </row>
    <row r="965">
      <c r="A965" s="2" t="inlineStr">
        <is>
          <t>HWB0331</t>
        </is>
      </c>
      <c r="B965" s="8" t="inlineStr">
        <is>
          <t>2028-07-01 00:00:00</t>
        </is>
      </c>
      <c r="C965" s="8" t="n">
        <v>14.44</v>
      </c>
      <c r="D965" s="8" t="n">
        <v>16.41</v>
      </c>
      <c r="E965" s="8" t="n">
        <v>23.15</v>
      </c>
      <c r="F965" s="8" t="n">
        <v>16.99</v>
      </c>
      <c r="G965" s="8" t="n">
        <v>24.53</v>
      </c>
      <c r="H965" s="8" t="n">
        <v>16.9</v>
      </c>
      <c r="I965" s="8" t="n">
        <v>14.33</v>
      </c>
      <c r="J965" s="8" t="n">
        <v>13.51</v>
      </c>
      <c r="K965" s="8" t="n">
        <v>16.12</v>
      </c>
      <c r="L965" s="8" t="n">
        <v>14.09</v>
      </c>
      <c r="M965" s="8" t="n">
        <v>17.76</v>
      </c>
      <c r="N965" s="4" t="n">
        <v>15.99</v>
      </c>
    </row>
    <row r="966">
      <c r="A966" s="2" t="inlineStr">
        <is>
          <t>HWB0331</t>
        </is>
      </c>
      <c r="B966" s="8" t="inlineStr">
        <is>
          <t>2028-08-01 00:00:00</t>
        </is>
      </c>
      <c r="C966" s="8" t="n">
        <v>14.25</v>
      </c>
      <c r="D966" s="8" t="n">
        <v>16.39</v>
      </c>
      <c r="E966" s="8" t="n">
        <v>16.34</v>
      </c>
      <c r="F966" s="8" t="n">
        <v>15.29</v>
      </c>
      <c r="G966" s="8" t="n">
        <v>17.05</v>
      </c>
      <c r="H966" s="8" t="n">
        <v>16.57</v>
      </c>
      <c r="I966" s="8" t="n">
        <v>16.06</v>
      </c>
      <c r="J966" s="8" t="n">
        <v>15.39</v>
      </c>
      <c r="K966" s="8" t="n">
        <v>17.23</v>
      </c>
      <c r="L966" s="8" t="n">
        <v>16.04</v>
      </c>
      <c r="M966" s="8" t="n">
        <v>18.14</v>
      </c>
      <c r="N966" s="4" t="n">
        <v>16.74</v>
      </c>
    </row>
    <row r="967">
      <c r="A967" s="2" t="inlineStr">
        <is>
          <t>HWB0331</t>
        </is>
      </c>
      <c r="B967" s="8" t="inlineStr">
        <is>
          <t>2028-09-01 00:00:00</t>
        </is>
      </c>
      <c r="C967" s="8" t="n">
        <v>10.38</v>
      </c>
      <c r="D967" s="8" t="n">
        <v>16.53</v>
      </c>
      <c r="E967" s="8" t="n">
        <v>19.15</v>
      </c>
      <c r="F967" s="8" t="n">
        <v>16</v>
      </c>
      <c r="G967" s="8" t="n">
        <v>21.59</v>
      </c>
      <c r="H967" s="8" t="n">
        <v>17.42</v>
      </c>
      <c r="I967" s="8" t="n">
        <v>9.140000000000001</v>
      </c>
      <c r="J967" s="8" t="n">
        <v>9.289999999999999</v>
      </c>
      <c r="K967" s="8" t="n">
        <v>12.86</v>
      </c>
      <c r="L967" s="8" t="n">
        <v>11.41</v>
      </c>
      <c r="M967" s="8" t="n">
        <v>16.78</v>
      </c>
      <c r="N967" s="4" t="n">
        <v>13.46</v>
      </c>
    </row>
    <row r="968">
      <c r="A968" s="2" t="inlineStr">
        <is>
          <t>HWB0331</t>
        </is>
      </c>
      <c r="B968" s="8" t="inlineStr">
        <is>
          <t>2028-10-01 00:00:00</t>
        </is>
      </c>
      <c r="C968" s="8" t="n">
        <v>5.58</v>
      </c>
      <c r="D968" s="8" t="n">
        <v>6.7</v>
      </c>
      <c r="E968" s="8" t="n">
        <v>7.56</v>
      </c>
      <c r="F968" s="8" t="n">
        <v>6.55</v>
      </c>
      <c r="G968" s="8" t="n">
        <v>7.89</v>
      </c>
      <c r="H968" s="8" t="n">
        <v>8.31</v>
      </c>
      <c r="I968" s="8" t="n">
        <v>6.29</v>
      </c>
      <c r="J968" s="8" t="n">
        <v>6</v>
      </c>
      <c r="K968" s="8" t="n">
        <v>6.54</v>
      </c>
      <c r="L968" s="8" t="n">
        <v>5.49</v>
      </c>
      <c r="M968" s="8" t="n">
        <v>7.03</v>
      </c>
      <c r="N968" s="4" t="n">
        <v>7.03</v>
      </c>
    </row>
    <row r="969">
      <c r="A969" s="2" t="inlineStr">
        <is>
          <t>HWB0331</t>
        </is>
      </c>
      <c r="B969" s="8" t="inlineStr">
        <is>
          <t>2028-11-01 00:00:00</t>
        </is>
      </c>
      <c r="C969" s="8" t="n">
        <v>5</v>
      </c>
      <c r="D969" s="8" t="n">
        <v>6.88</v>
      </c>
      <c r="E969" s="8" t="n">
        <v>8.44</v>
      </c>
      <c r="F969" s="8" t="n">
        <v>7.81</v>
      </c>
      <c r="G969" s="8" t="n">
        <v>9.050000000000001</v>
      </c>
      <c r="H969" s="8" t="n">
        <v>8.08</v>
      </c>
      <c r="I969" s="8" t="n">
        <v>5.02</v>
      </c>
      <c r="J969" s="8" t="n">
        <v>4.41</v>
      </c>
      <c r="K969" s="8" t="n">
        <v>6.67</v>
      </c>
      <c r="L969" s="8" t="n">
        <v>5.75</v>
      </c>
      <c r="M969" s="8" t="n">
        <v>6.67</v>
      </c>
      <c r="N969" s="4" t="n">
        <v>6.56</v>
      </c>
    </row>
    <row r="970">
      <c r="A970" s="2" t="inlineStr">
        <is>
          <t>HWB0331</t>
        </is>
      </c>
      <c r="B970" s="8" t="inlineStr">
        <is>
          <t>2028-12-01 00:00:00</t>
        </is>
      </c>
      <c r="C970" s="8" t="n">
        <v>6.31</v>
      </c>
      <c r="D970" s="8" t="n">
        <v>6.22</v>
      </c>
      <c r="E970" s="8" t="n">
        <v>8.23</v>
      </c>
      <c r="F970" s="8" t="n">
        <v>8.300000000000001</v>
      </c>
      <c r="G970" s="8" t="n">
        <v>7.88</v>
      </c>
      <c r="H970" s="8" t="n">
        <v>7.35</v>
      </c>
      <c r="I970" s="8" t="n">
        <v>6.11</v>
      </c>
      <c r="J970" s="8" t="n">
        <v>5.62</v>
      </c>
      <c r="K970" s="8" t="n">
        <v>7.27</v>
      </c>
      <c r="L970" s="8" t="n">
        <v>7.14</v>
      </c>
      <c r="M970" s="8" t="n">
        <v>7.46</v>
      </c>
      <c r="N970" s="4" t="n">
        <v>6.96</v>
      </c>
    </row>
    <row r="971">
      <c r="A971" s="2" t="inlineStr">
        <is>
          <t>HWB0331</t>
        </is>
      </c>
      <c r="B971" s="8" t="inlineStr">
        <is>
          <t>2029-01-01 00:00:00</t>
        </is>
      </c>
      <c r="C971" s="8" t="n">
        <v>10.64</v>
      </c>
      <c r="D971" s="8" t="n">
        <v>10.67</v>
      </c>
      <c r="E971" s="8" t="n">
        <v>12.63</v>
      </c>
      <c r="F971" s="8" t="n">
        <v>13.17</v>
      </c>
      <c r="G971" s="8" t="n">
        <v>13.84</v>
      </c>
      <c r="H971" s="8" t="n">
        <v>13.16</v>
      </c>
      <c r="I971" s="8" t="n">
        <v>8.18</v>
      </c>
      <c r="J971" s="8" t="n">
        <v>7.05</v>
      </c>
      <c r="K971" s="8" t="n">
        <v>8.57</v>
      </c>
      <c r="L971" s="8" t="n">
        <v>8.890000000000001</v>
      </c>
      <c r="M971" s="8" t="n">
        <v>10.39</v>
      </c>
      <c r="N971" s="4" t="n">
        <v>9.84</v>
      </c>
    </row>
    <row r="972">
      <c r="A972" s="2" t="inlineStr">
        <is>
          <t>HWB0331</t>
        </is>
      </c>
      <c r="B972" s="8" t="inlineStr">
        <is>
          <t>2029-02-01 00:00:00</t>
        </is>
      </c>
      <c r="C972" s="8" t="n">
        <v>11.25</v>
      </c>
      <c r="D972" s="8" t="n">
        <v>11.83</v>
      </c>
      <c r="E972" s="8" t="n">
        <v>12.49</v>
      </c>
      <c r="F972" s="8" t="n">
        <v>11.8</v>
      </c>
      <c r="G972" s="8" t="n">
        <v>14.16</v>
      </c>
      <c r="H972" s="8" t="n">
        <v>13.99</v>
      </c>
      <c r="I972" s="8" t="n">
        <v>9.59</v>
      </c>
      <c r="J972" s="8" t="n">
        <v>7.31</v>
      </c>
      <c r="K972" s="8" t="n">
        <v>7.98</v>
      </c>
      <c r="L972" s="8" t="n">
        <v>7.95</v>
      </c>
      <c r="M972" s="8" t="n">
        <v>9.359999999999999</v>
      </c>
      <c r="N972" s="4" t="n">
        <v>9.720000000000001</v>
      </c>
    </row>
    <row r="973">
      <c r="A973" s="2" t="inlineStr">
        <is>
          <t>HWB0331</t>
        </is>
      </c>
      <c r="B973" s="8" t="inlineStr">
        <is>
          <t>2029-03-01 00:00:00</t>
        </is>
      </c>
      <c r="C973" s="8" t="n">
        <v>10.61</v>
      </c>
      <c r="D973" s="8" t="n">
        <v>11.61</v>
      </c>
      <c r="E973" s="8" t="n">
        <v>11.66</v>
      </c>
      <c r="F973" s="8" t="n">
        <v>10.82</v>
      </c>
      <c r="G973" s="8" t="n">
        <v>12.14</v>
      </c>
      <c r="H973" s="8" t="n">
        <v>12.16</v>
      </c>
      <c r="I973" s="8" t="n">
        <v>10.81</v>
      </c>
      <c r="J973" s="8" t="n">
        <v>10.45</v>
      </c>
      <c r="K973" s="8" t="n">
        <v>11.59</v>
      </c>
      <c r="L973" s="8" t="n">
        <v>10.89</v>
      </c>
      <c r="M973" s="8" t="n">
        <v>12.09</v>
      </c>
      <c r="N973" s="4" t="n">
        <v>11.92</v>
      </c>
    </row>
    <row r="974">
      <c r="A974" s="2" t="inlineStr">
        <is>
          <t>HWB0331</t>
        </is>
      </c>
      <c r="B974" s="8" t="inlineStr">
        <is>
          <t>2029-04-01 00:00:00</t>
        </is>
      </c>
      <c r="C974" s="8" t="n">
        <v>15.78</v>
      </c>
      <c r="D974" s="8" t="n">
        <v>16.63</v>
      </c>
      <c r="E974" s="8" t="n">
        <v>15.98</v>
      </c>
      <c r="F974" s="8" t="n">
        <v>15.69</v>
      </c>
      <c r="G974" s="8" t="n">
        <v>17.84</v>
      </c>
      <c r="H974" s="8" t="n">
        <v>16.92</v>
      </c>
      <c r="I974" s="8" t="n">
        <v>14.16</v>
      </c>
      <c r="J974" s="8" t="n">
        <v>13.57</v>
      </c>
      <c r="K974" s="8" t="n">
        <v>14.88</v>
      </c>
      <c r="L974" s="8" t="n">
        <v>13.91</v>
      </c>
      <c r="M974" s="8" t="n">
        <v>16.55</v>
      </c>
      <c r="N974" s="4" t="n">
        <v>15.23</v>
      </c>
    </row>
    <row r="975">
      <c r="A975" s="2" t="inlineStr">
        <is>
          <t>HWB0331</t>
        </is>
      </c>
      <c r="B975" s="8" t="inlineStr">
        <is>
          <t>2029-05-01 00:00:00</t>
        </is>
      </c>
      <c r="C975" s="8" t="n">
        <v>14.31</v>
      </c>
      <c r="D975" s="8" t="n">
        <v>16.91</v>
      </c>
      <c r="E975" s="8" t="n">
        <v>17.74</v>
      </c>
      <c r="F975" s="8" t="n">
        <v>15.03</v>
      </c>
      <c r="G975" s="8" t="n">
        <v>19.52</v>
      </c>
      <c r="H975" s="8" t="n">
        <v>15.5</v>
      </c>
      <c r="I975" s="8" t="n">
        <v>14.14</v>
      </c>
      <c r="J975" s="8" t="n">
        <v>14.1</v>
      </c>
      <c r="K975" s="8" t="n">
        <v>14.36</v>
      </c>
      <c r="L975" s="8" t="n">
        <v>13.76</v>
      </c>
      <c r="M975" s="8" t="n">
        <v>15.01</v>
      </c>
      <c r="N975" s="4" t="n">
        <v>14.36</v>
      </c>
    </row>
    <row r="976">
      <c r="A976" s="2" t="inlineStr">
        <is>
          <t>HWB0331</t>
        </is>
      </c>
      <c r="B976" s="8" t="inlineStr">
        <is>
          <t>2029-06-01 00:00:00</t>
        </is>
      </c>
      <c r="C976" s="8" t="n">
        <v>14.49</v>
      </c>
      <c r="D976" s="8" t="n">
        <v>17.05</v>
      </c>
      <c r="E976" s="8" t="n">
        <v>23.57</v>
      </c>
      <c r="F976" s="8" t="n">
        <v>15.46</v>
      </c>
      <c r="G976" s="8" t="n">
        <v>24.22</v>
      </c>
      <c r="H976" s="8" t="n">
        <v>16.04</v>
      </c>
      <c r="I976" s="8" t="n">
        <v>13.96</v>
      </c>
      <c r="J976" s="8" t="n">
        <v>13.05</v>
      </c>
      <c r="K976" s="8" t="n">
        <v>14.83</v>
      </c>
      <c r="L976" s="8" t="n">
        <v>14</v>
      </c>
      <c r="M976" s="8" t="n">
        <v>16.48</v>
      </c>
      <c r="N976" s="4" t="n">
        <v>16.25</v>
      </c>
    </row>
    <row r="977">
      <c r="A977" s="2" t="inlineStr">
        <is>
          <t>HWB0331</t>
        </is>
      </c>
      <c r="B977" s="8" t="inlineStr">
        <is>
          <t>2029-07-01 00:00:00</t>
        </is>
      </c>
      <c r="C977" s="8" t="n">
        <v>14.18</v>
      </c>
      <c r="D977" s="8" t="n">
        <v>16.11</v>
      </c>
      <c r="E977" s="8" t="n">
        <v>22.84</v>
      </c>
      <c r="F977" s="8" t="n">
        <v>16.68</v>
      </c>
      <c r="G977" s="8" t="n">
        <v>24.2</v>
      </c>
      <c r="H977" s="8" t="n">
        <v>16.6</v>
      </c>
      <c r="I977" s="8" t="n">
        <v>14.08</v>
      </c>
      <c r="J977" s="8" t="n">
        <v>13.27</v>
      </c>
      <c r="K977" s="8" t="n">
        <v>15.83</v>
      </c>
      <c r="L977" s="8" t="n">
        <v>13.84</v>
      </c>
      <c r="M977" s="8" t="n">
        <v>17.44</v>
      </c>
      <c r="N977" s="4" t="n">
        <v>15.7</v>
      </c>
    </row>
    <row r="978">
      <c r="A978" s="2" t="inlineStr">
        <is>
          <t>HWB0331</t>
        </is>
      </c>
      <c r="B978" s="8" t="inlineStr">
        <is>
          <t>2029-08-01 00:00:00</t>
        </is>
      </c>
      <c r="C978" s="8" t="n">
        <v>14.04</v>
      </c>
      <c r="D978" s="8" t="n">
        <v>16.14</v>
      </c>
      <c r="E978" s="8" t="n">
        <v>16.09</v>
      </c>
      <c r="F978" s="8" t="n">
        <v>15.06</v>
      </c>
      <c r="G978" s="8" t="n">
        <v>16.79</v>
      </c>
      <c r="H978" s="8" t="n">
        <v>16.32</v>
      </c>
      <c r="I978" s="8" t="n">
        <v>15.82</v>
      </c>
      <c r="J978" s="8" t="n">
        <v>15.16</v>
      </c>
      <c r="K978" s="8" t="n">
        <v>16.97</v>
      </c>
      <c r="L978" s="8" t="n">
        <v>15.8</v>
      </c>
      <c r="M978" s="8" t="n">
        <v>17.87</v>
      </c>
      <c r="N978" s="4" t="n">
        <v>16.49</v>
      </c>
    </row>
    <row r="979">
      <c r="A979" s="2" t="inlineStr">
        <is>
          <t>HWB0331</t>
        </is>
      </c>
      <c r="B979" s="8" t="inlineStr">
        <is>
          <t>2029-09-01 00:00:00</t>
        </is>
      </c>
      <c r="C979" s="8" t="n">
        <v>10.32</v>
      </c>
      <c r="D979" s="8" t="n">
        <v>16.44</v>
      </c>
      <c r="E979" s="8" t="n">
        <v>19.04</v>
      </c>
      <c r="F979" s="8" t="n">
        <v>15.91</v>
      </c>
      <c r="G979" s="8" t="n">
        <v>21.47</v>
      </c>
      <c r="H979" s="8" t="n">
        <v>17.33</v>
      </c>
      <c r="I979" s="8" t="n">
        <v>9.09</v>
      </c>
      <c r="J979" s="8" t="n">
        <v>9.24</v>
      </c>
      <c r="K979" s="8" t="n">
        <v>12.79</v>
      </c>
      <c r="L979" s="8" t="n">
        <v>11.35</v>
      </c>
      <c r="M979" s="8" t="n">
        <v>16.69</v>
      </c>
      <c r="N979" s="4" t="n">
        <v>13.38</v>
      </c>
    </row>
    <row r="980">
      <c r="A980" s="2" t="inlineStr">
        <is>
          <t>HWB0331</t>
        </is>
      </c>
      <c r="B980" s="8" t="inlineStr">
        <is>
          <t>2029-10-01 00:00:00</t>
        </is>
      </c>
      <c r="C980" s="8" t="n">
        <v>5.45</v>
      </c>
      <c r="D980" s="8" t="n">
        <v>6.54</v>
      </c>
      <c r="E980" s="8" t="n">
        <v>7.37</v>
      </c>
      <c r="F980" s="8" t="n">
        <v>6.4</v>
      </c>
      <c r="G980" s="8" t="n">
        <v>7.7</v>
      </c>
      <c r="H980" s="8" t="n">
        <v>8.109999999999999</v>
      </c>
      <c r="I980" s="8" t="n">
        <v>6.14</v>
      </c>
      <c r="J980" s="8" t="n">
        <v>5.86</v>
      </c>
      <c r="K980" s="8" t="n">
        <v>6.39</v>
      </c>
      <c r="L980" s="8" t="n">
        <v>5.36</v>
      </c>
      <c r="M980" s="8" t="n">
        <v>6.86</v>
      </c>
      <c r="N980" s="4" t="n">
        <v>6.86</v>
      </c>
    </row>
    <row r="981">
      <c r="A981" s="2" t="inlineStr">
        <is>
          <t>HWB0331</t>
        </is>
      </c>
      <c r="B981" s="8" t="inlineStr">
        <is>
          <t>2029-11-01 00:00:00</t>
        </is>
      </c>
      <c r="C981" s="8" t="n">
        <v>4.9</v>
      </c>
      <c r="D981" s="8" t="n">
        <v>6.74</v>
      </c>
      <c r="E981" s="8" t="n">
        <v>8.26</v>
      </c>
      <c r="F981" s="8" t="n">
        <v>7.64</v>
      </c>
      <c r="G981" s="8" t="n">
        <v>8.85</v>
      </c>
      <c r="H981" s="8" t="n">
        <v>7.91</v>
      </c>
      <c r="I981" s="8" t="n">
        <v>4.92</v>
      </c>
      <c r="J981" s="8" t="n">
        <v>4.33</v>
      </c>
      <c r="K981" s="8" t="n">
        <v>6.53</v>
      </c>
      <c r="L981" s="8" t="n">
        <v>5.64</v>
      </c>
      <c r="M981" s="8" t="n">
        <v>6.53</v>
      </c>
      <c r="N981" s="4" t="n">
        <v>6.43</v>
      </c>
    </row>
    <row r="982">
      <c r="A982" s="2" t="inlineStr">
        <is>
          <t>HWB0331</t>
        </is>
      </c>
      <c r="B982" s="8" t="inlineStr">
        <is>
          <t>2029-12-01 00:00:00</t>
        </is>
      </c>
      <c r="C982" s="8" t="n">
        <v>6.18</v>
      </c>
      <c r="D982" s="8" t="n">
        <v>6.09</v>
      </c>
      <c r="E982" s="8" t="n">
        <v>8.06</v>
      </c>
      <c r="F982" s="8" t="n">
        <v>8.130000000000001</v>
      </c>
      <c r="G982" s="8" t="n">
        <v>7.72</v>
      </c>
      <c r="H982" s="8" t="n">
        <v>7.19</v>
      </c>
      <c r="I982" s="8" t="n">
        <v>5.99</v>
      </c>
      <c r="J982" s="8" t="n">
        <v>5.5</v>
      </c>
      <c r="K982" s="8" t="n">
        <v>7.12</v>
      </c>
      <c r="L982" s="8" t="n">
        <v>7</v>
      </c>
      <c r="M982" s="8" t="n">
        <v>7.3</v>
      </c>
      <c r="N982" s="4" t="n">
        <v>6.81</v>
      </c>
    </row>
    <row r="983">
      <c r="A983" s="2" t="inlineStr">
        <is>
          <t>HWB0331</t>
        </is>
      </c>
      <c r="B983" s="8" t="inlineStr">
        <is>
          <t>2030-01-01 00:00:00</t>
        </is>
      </c>
      <c r="C983" s="8" t="n">
        <v>10.64</v>
      </c>
      <c r="D983" s="8" t="n">
        <v>10.67</v>
      </c>
      <c r="E983" s="8" t="n">
        <v>12.63</v>
      </c>
      <c r="F983" s="8" t="n">
        <v>13.17</v>
      </c>
      <c r="G983" s="8" t="n">
        <v>13.84</v>
      </c>
      <c r="H983" s="8" t="n">
        <v>13.16</v>
      </c>
      <c r="I983" s="8" t="n">
        <v>8.18</v>
      </c>
      <c r="J983" s="8" t="n">
        <v>7.05</v>
      </c>
      <c r="K983" s="8" t="n">
        <v>8.57</v>
      </c>
      <c r="L983" s="8" t="n">
        <v>8.890000000000001</v>
      </c>
      <c r="M983" s="8" t="n">
        <v>10.39</v>
      </c>
      <c r="N983" s="4" t="n">
        <v>9.84</v>
      </c>
    </row>
    <row r="984">
      <c r="A984" s="2" t="inlineStr">
        <is>
          <t>HWB0331</t>
        </is>
      </c>
      <c r="B984" s="8" t="inlineStr">
        <is>
          <t>2030-02-01 00:00:00</t>
        </is>
      </c>
      <c r="C984" s="8" t="n">
        <v>11.25</v>
      </c>
      <c r="D984" s="8" t="n">
        <v>11.83</v>
      </c>
      <c r="E984" s="8" t="n">
        <v>12.49</v>
      </c>
      <c r="F984" s="8" t="n">
        <v>11.8</v>
      </c>
      <c r="G984" s="8" t="n">
        <v>14.16</v>
      </c>
      <c r="H984" s="8" t="n">
        <v>13.99</v>
      </c>
      <c r="I984" s="8" t="n">
        <v>9.59</v>
      </c>
      <c r="J984" s="8" t="n">
        <v>7.31</v>
      </c>
      <c r="K984" s="8" t="n">
        <v>7.98</v>
      </c>
      <c r="L984" s="8" t="n">
        <v>7.95</v>
      </c>
      <c r="M984" s="8" t="n">
        <v>9.359999999999999</v>
      </c>
      <c r="N984" s="4" t="n">
        <v>9.720000000000001</v>
      </c>
    </row>
    <row r="985">
      <c r="A985" s="2" t="inlineStr">
        <is>
          <t>HWB0331</t>
        </is>
      </c>
      <c r="B985" s="8" t="inlineStr">
        <is>
          <t>2030-03-01 00:00:00</t>
        </is>
      </c>
      <c r="C985" s="8" t="n">
        <v>10.61</v>
      </c>
      <c r="D985" s="8" t="n">
        <v>11.61</v>
      </c>
      <c r="E985" s="8" t="n">
        <v>11.66</v>
      </c>
      <c r="F985" s="8" t="n">
        <v>10.82</v>
      </c>
      <c r="G985" s="8" t="n">
        <v>12.14</v>
      </c>
      <c r="H985" s="8" t="n">
        <v>12.16</v>
      </c>
      <c r="I985" s="8" t="n">
        <v>10.81</v>
      </c>
      <c r="J985" s="8" t="n">
        <v>10.45</v>
      </c>
      <c r="K985" s="8" t="n">
        <v>11.59</v>
      </c>
      <c r="L985" s="8" t="n">
        <v>10.89</v>
      </c>
      <c r="M985" s="8" t="n">
        <v>12.09</v>
      </c>
      <c r="N985" s="4" t="n">
        <v>11.92</v>
      </c>
    </row>
    <row r="986">
      <c r="A986" s="2" t="inlineStr">
        <is>
          <t>HWB0331</t>
        </is>
      </c>
      <c r="B986" s="8" t="inlineStr">
        <is>
          <t>2030-04-01 00:00:00</t>
        </is>
      </c>
      <c r="C986" s="8" t="n">
        <v>15.78</v>
      </c>
      <c r="D986" s="8" t="n">
        <v>16.63</v>
      </c>
      <c r="E986" s="8" t="n">
        <v>15.98</v>
      </c>
      <c r="F986" s="8" t="n">
        <v>15.69</v>
      </c>
      <c r="G986" s="8" t="n">
        <v>17.84</v>
      </c>
      <c r="H986" s="8" t="n">
        <v>16.92</v>
      </c>
      <c r="I986" s="8" t="n">
        <v>14.16</v>
      </c>
      <c r="J986" s="8" t="n">
        <v>13.57</v>
      </c>
      <c r="K986" s="8" t="n">
        <v>14.88</v>
      </c>
      <c r="L986" s="8" t="n">
        <v>13.91</v>
      </c>
      <c r="M986" s="8" t="n">
        <v>16.55</v>
      </c>
      <c r="N986" s="4" t="n">
        <v>15.23</v>
      </c>
    </row>
    <row r="987">
      <c r="A987" s="2" t="inlineStr">
        <is>
          <t>HWB0331</t>
        </is>
      </c>
      <c r="B987" s="8" t="inlineStr">
        <is>
          <t>2030-05-01 00:00:00</t>
        </is>
      </c>
      <c r="C987" s="8" t="n">
        <v>14.31</v>
      </c>
      <c r="D987" s="8" t="n">
        <v>16.91</v>
      </c>
      <c r="E987" s="8" t="n">
        <v>17.74</v>
      </c>
      <c r="F987" s="8" t="n">
        <v>15.03</v>
      </c>
      <c r="G987" s="8" t="n">
        <v>19.52</v>
      </c>
      <c r="H987" s="8" t="n">
        <v>15.5</v>
      </c>
      <c r="I987" s="8" t="n">
        <v>14.14</v>
      </c>
      <c r="J987" s="8" t="n">
        <v>14.1</v>
      </c>
      <c r="K987" s="8" t="n">
        <v>14.36</v>
      </c>
      <c r="L987" s="8" t="n">
        <v>13.76</v>
      </c>
      <c r="M987" s="8" t="n">
        <v>15.01</v>
      </c>
      <c r="N987" s="4" t="n">
        <v>14.36</v>
      </c>
    </row>
    <row r="988">
      <c r="A988" s="2" t="inlineStr">
        <is>
          <t>HWB0331</t>
        </is>
      </c>
      <c r="B988" s="8" t="inlineStr">
        <is>
          <t>2030-06-01 00:00:00</t>
        </is>
      </c>
      <c r="C988" s="8" t="n">
        <v>14.49</v>
      </c>
      <c r="D988" s="8" t="n">
        <v>17.05</v>
      </c>
      <c r="E988" s="8" t="n">
        <v>23.57</v>
      </c>
      <c r="F988" s="8" t="n">
        <v>15.46</v>
      </c>
      <c r="G988" s="8" t="n">
        <v>24.22</v>
      </c>
      <c r="H988" s="8" t="n">
        <v>16.04</v>
      </c>
      <c r="I988" s="8" t="n">
        <v>13.96</v>
      </c>
      <c r="J988" s="8" t="n">
        <v>13.05</v>
      </c>
      <c r="K988" s="8" t="n">
        <v>14.83</v>
      </c>
      <c r="L988" s="8" t="n">
        <v>14</v>
      </c>
      <c r="M988" s="8" t="n">
        <v>16.48</v>
      </c>
      <c r="N988" s="4" t="n">
        <v>16.25</v>
      </c>
    </row>
    <row r="989">
      <c r="A989" s="2" t="inlineStr">
        <is>
          <t>HWB0331</t>
        </is>
      </c>
      <c r="B989" s="8" t="inlineStr">
        <is>
          <t>2030-07-01 00:00:00</t>
        </is>
      </c>
      <c r="C989" s="8" t="n">
        <v>14.18</v>
      </c>
      <c r="D989" s="8" t="n">
        <v>16.11</v>
      </c>
      <c r="E989" s="8" t="n">
        <v>22.84</v>
      </c>
      <c r="F989" s="8" t="n">
        <v>16.68</v>
      </c>
      <c r="G989" s="8" t="n">
        <v>24.2</v>
      </c>
      <c r="H989" s="8" t="n">
        <v>16.6</v>
      </c>
      <c r="I989" s="8" t="n">
        <v>14.08</v>
      </c>
      <c r="J989" s="8" t="n">
        <v>13.27</v>
      </c>
      <c r="K989" s="8" t="n">
        <v>15.83</v>
      </c>
      <c r="L989" s="8" t="n">
        <v>13.84</v>
      </c>
      <c r="M989" s="8" t="n">
        <v>17.44</v>
      </c>
      <c r="N989" s="4" t="n">
        <v>15.7</v>
      </c>
    </row>
    <row r="990">
      <c r="A990" s="2" t="inlineStr">
        <is>
          <t>HWB0331</t>
        </is>
      </c>
      <c r="B990" s="8" t="inlineStr">
        <is>
          <t>2030-08-01 00:00:00</t>
        </is>
      </c>
      <c r="C990" s="8" t="n">
        <v>14.04</v>
      </c>
      <c r="D990" s="8" t="n">
        <v>16.14</v>
      </c>
      <c r="E990" s="8" t="n">
        <v>16.09</v>
      </c>
      <c r="F990" s="8" t="n">
        <v>15.06</v>
      </c>
      <c r="G990" s="8" t="n">
        <v>16.79</v>
      </c>
      <c r="H990" s="8" t="n">
        <v>16.32</v>
      </c>
      <c r="I990" s="8" t="n">
        <v>15.82</v>
      </c>
      <c r="J990" s="8" t="n">
        <v>15.16</v>
      </c>
      <c r="K990" s="8" t="n">
        <v>16.97</v>
      </c>
      <c r="L990" s="8" t="n">
        <v>15.8</v>
      </c>
      <c r="M990" s="8" t="n">
        <v>17.87</v>
      </c>
      <c r="N990" s="4" t="n">
        <v>16.49</v>
      </c>
    </row>
    <row r="991">
      <c r="A991" s="2" t="inlineStr">
        <is>
          <t>HWB0331</t>
        </is>
      </c>
      <c r="B991" s="8" t="inlineStr">
        <is>
          <t>2030-09-01 00:00:00</t>
        </is>
      </c>
      <c r="C991" s="8" t="n">
        <v>10.32</v>
      </c>
      <c r="D991" s="8" t="n">
        <v>16.44</v>
      </c>
      <c r="E991" s="8" t="n">
        <v>19.04</v>
      </c>
      <c r="F991" s="8" t="n">
        <v>15.91</v>
      </c>
      <c r="G991" s="8" t="n">
        <v>21.47</v>
      </c>
      <c r="H991" s="8" t="n">
        <v>17.33</v>
      </c>
      <c r="I991" s="8" t="n">
        <v>9.09</v>
      </c>
      <c r="J991" s="8" t="n">
        <v>9.24</v>
      </c>
      <c r="K991" s="8" t="n">
        <v>12.79</v>
      </c>
      <c r="L991" s="8" t="n">
        <v>11.35</v>
      </c>
      <c r="M991" s="8" t="n">
        <v>16.69</v>
      </c>
      <c r="N991" s="4" t="n">
        <v>13.38</v>
      </c>
    </row>
    <row r="992">
      <c r="A992" s="2" t="inlineStr">
        <is>
          <t>HWB0331</t>
        </is>
      </c>
      <c r="B992" s="8" t="inlineStr">
        <is>
          <t>2030-10-01 00:00:00</t>
        </is>
      </c>
      <c r="C992" s="8" t="n">
        <v>5.45</v>
      </c>
      <c r="D992" s="8" t="n">
        <v>6.54</v>
      </c>
      <c r="E992" s="8" t="n">
        <v>7.37</v>
      </c>
      <c r="F992" s="8" t="n">
        <v>6.4</v>
      </c>
      <c r="G992" s="8" t="n">
        <v>7.7</v>
      </c>
      <c r="H992" s="8" t="n">
        <v>8.109999999999999</v>
      </c>
      <c r="I992" s="8" t="n">
        <v>6.14</v>
      </c>
      <c r="J992" s="8" t="n">
        <v>5.86</v>
      </c>
      <c r="K992" s="8" t="n">
        <v>6.39</v>
      </c>
      <c r="L992" s="8" t="n">
        <v>5.36</v>
      </c>
      <c r="M992" s="8" t="n">
        <v>6.86</v>
      </c>
      <c r="N992" s="4" t="n">
        <v>6.86</v>
      </c>
    </row>
    <row r="993">
      <c r="A993" s="2" t="inlineStr">
        <is>
          <t>HWB0331</t>
        </is>
      </c>
      <c r="B993" s="8" t="inlineStr">
        <is>
          <t>2030-11-01 00:00:00</t>
        </is>
      </c>
      <c r="C993" s="8" t="n">
        <v>4.9</v>
      </c>
      <c r="D993" s="8" t="n">
        <v>6.74</v>
      </c>
      <c r="E993" s="8" t="n">
        <v>8.26</v>
      </c>
      <c r="F993" s="8" t="n">
        <v>7.64</v>
      </c>
      <c r="G993" s="8" t="n">
        <v>8.85</v>
      </c>
      <c r="H993" s="8" t="n">
        <v>7.91</v>
      </c>
      <c r="I993" s="8" t="n">
        <v>4.92</v>
      </c>
      <c r="J993" s="8" t="n">
        <v>4.33</v>
      </c>
      <c r="K993" s="8" t="n">
        <v>6.53</v>
      </c>
      <c r="L993" s="8" t="n">
        <v>5.64</v>
      </c>
      <c r="M993" s="8" t="n">
        <v>6.53</v>
      </c>
      <c r="N993" s="4" t="n">
        <v>6.43</v>
      </c>
    </row>
    <row r="994">
      <c r="A994" s="2" t="inlineStr">
        <is>
          <t>HWB0331</t>
        </is>
      </c>
      <c r="B994" s="8" t="inlineStr">
        <is>
          <t>2030-12-01 00:00:00</t>
        </is>
      </c>
      <c r="C994" s="8" t="n">
        <v>6.18</v>
      </c>
      <c r="D994" s="8" t="n">
        <v>6.09</v>
      </c>
      <c r="E994" s="8" t="n">
        <v>8.06</v>
      </c>
      <c r="F994" s="8" t="n">
        <v>8.130000000000001</v>
      </c>
      <c r="G994" s="8" t="n">
        <v>7.72</v>
      </c>
      <c r="H994" s="8" t="n">
        <v>7.19</v>
      </c>
      <c r="I994" s="8" t="n">
        <v>5.99</v>
      </c>
      <c r="J994" s="8" t="n">
        <v>5.5</v>
      </c>
      <c r="K994" s="8" t="n">
        <v>7.12</v>
      </c>
      <c r="L994" s="8" t="n">
        <v>7</v>
      </c>
      <c r="M994" s="8" t="n">
        <v>7.3</v>
      </c>
      <c r="N994" s="4" t="n">
        <v>6.81</v>
      </c>
    </row>
    <row r="995">
      <c r="A995" s="2" t="inlineStr">
        <is>
          <t>HWB0331</t>
        </is>
      </c>
      <c r="B995" s="8" t="inlineStr">
        <is>
          <t>2031-01-01 00:00:00</t>
        </is>
      </c>
      <c r="C995" s="8" t="n">
        <v>10.64</v>
      </c>
      <c r="D995" s="8" t="n">
        <v>10.67</v>
      </c>
      <c r="E995" s="8" t="n">
        <v>12.63</v>
      </c>
      <c r="F995" s="8" t="n">
        <v>13.17</v>
      </c>
      <c r="G995" s="8" t="n">
        <v>13.84</v>
      </c>
      <c r="H995" s="8" t="n">
        <v>13.16</v>
      </c>
      <c r="I995" s="8" t="n">
        <v>8.18</v>
      </c>
      <c r="J995" s="8" t="n">
        <v>7.05</v>
      </c>
      <c r="K995" s="8" t="n">
        <v>8.57</v>
      </c>
      <c r="L995" s="8" t="n">
        <v>8.890000000000001</v>
      </c>
      <c r="M995" s="8" t="n">
        <v>10.39</v>
      </c>
      <c r="N995" s="4" t="n">
        <v>9.84</v>
      </c>
    </row>
    <row r="996">
      <c r="A996" s="2" t="inlineStr">
        <is>
          <t>HWB0331</t>
        </is>
      </c>
      <c r="B996" s="8" t="inlineStr">
        <is>
          <t>2031-02-01 00:00:00</t>
        </is>
      </c>
      <c r="C996" s="8" t="n">
        <v>11.25</v>
      </c>
      <c r="D996" s="8" t="n">
        <v>11.83</v>
      </c>
      <c r="E996" s="8" t="n">
        <v>12.49</v>
      </c>
      <c r="F996" s="8" t="n">
        <v>11.8</v>
      </c>
      <c r="G996" s="8" t="n">
        <v>14.16</v>
      </c>
      <c r="H996" s="8" t="n">
        <v>13.99</v>
      </c>
      <c r="I996" s="8" t="n">
        <v>9.59</v>
      </c>
      <c r="J996" s="8" t="n">
        <v>7.31</v>
      </c>
      <c r="K996" s="8" t="n">
        <v>7.98</v>
      </c>
      <c r="L996" s="8" t="n">
        <v>7.95</v>
      </c>
      <c r="M996" s="8" t="n">
        <v>9.359999999999999</v>
      </c>
      <c r="N996" s="4" t="n">
        <v>9.720000000000001</v>
      </c>
    </row>
    <row r="997">
      <c r="A997" s="2" t="inlineStr">
        <is>
          <t>HWB0331</t>
        </is>
      </c>
      <c r="B997" s="8" t="inlineStr">
        <is>
          <t>2031-03-01 00:00:00</t>
        </is>
      </c>
      <c r="C997" s="8" t="n">
        <v>10.61</v>
      </c>
      <c r="D997" s="8" t="n">
        <v>11.61</v>
      </c>
      <c r="E997" s="8" t="n">
        <v>11.66</v>
      </c>
      <c r="F997" s="8" t="n">
        <v>10.82</v>
      </c>
      <c r="G997" s="8" t="n">
        <v>12.14</v>
      </c>
      <c r="H997" s="8" t="n">
        <v>12.16</v>
      </c>
      <c r="I997" s="8" t="n">
        <v>10.81</v>
      </c>
      <c r="J997" s="8" t="n">
        <v>10.45</v>
      </c>
      <c r="K997" s="8" t="n">
        <v>11.59</v>
      </c>
      <c r="L997" s="8" t="n">
        <v>10.89</v>
      </c>
      <c r="M997" s="8" t="n">
        <v>12.09</v>
      </c>
      <c r="N997" s="4" t="n">
        <v>11.92</v>
      </c>
    </row>
    <row r="998">
      <c r="A998" s="2" t="inlineStr">
        <is>
          <t>HWB0331</t>
        </is>
      </c>
      <c r="B998" s="8" t="inlineStr">
        <is>
          <t>2031-04-01 00:00:00</t>
        </is>
      </c>
      <c r="C998" s="8" t="n">
        <v>15.78</v>
      </c>
      <c r="D998" s="8" t="n">
        <v>16.63</v>
      </c>
      <c r="E998" s="8" t="n">
        <v>15.98</v>
      </c>
      <c r="F998" s="8" t="n">
        <v>15.69</v>
      </c>
      <c r="G998" s="8" t="n">
        <v>17.84</v>
      </c>
      <c r="H998" s="8" t="n">
        <v>16.92</v>
      </c>
      <c r="I998" s="8" t="n">
        <v>14.16</v>
      </c>
      <c r="J998" s="8" t="n">
        <v>13.57</v>
      </c>
      <c r="K998" s="8" t="n">
        <v>14.88</v>
      </c>
      <c r="L998" s="8" t="n">
        <v>13.91</v>
      </c>
      <c r="M998" s="8" t="n">
        <v>16.55</v>
      </c>
      <c r="N998" s="4" t="n">
        <v>15.23</v>
      </c>
    </row>
    <row r="999">
      <c r="A999" s="2" t="inlineStr">
        <is>
          <t>HWB0331</t>
        </is>
      </c>
      <c r="B999" s="8" t="inlineStr">
        <is>
          <t>2031-05-01 00:00:00</t>
        </is>
      </c>
      <c r="C999" s="8" t="n">
        <v>14.31</v>
      </c>
      <c r="D999" s="8" t="n">
        <v>16.91</v>
      </c>
      <c r="E999" s="8" t="n">
        <v>17.74</v>
      </c>
      <c r="F999" s="8" t="n">
        <v>15.03</v>
      </c>
      <c r="G999" s="8" t="n">
        <v>19.52</v>
      </c>
      <c r="H999" s="8" t="n">
        <v>15.5</v>
      </c>
      <c r="I999" s="8" t="n">
        <v>14.14</v>
      </c>
      <c r="J999" s="8" t="n">
        <v>14.1</v>
      </c>
      <c r="K999" s="8" t="n">
        <v>14.36</v>
      </c>
      <c r="L999" s="8" t="n">
        <v>13.76</v>
      </c>
      <c r="M999" s="8" t="n">
        <v>15.01</v>
      </c>
      <c r="N999" s="4" t="n">
        <v>14.36</v>
      </c>
    </row>
    <row r="1000">
      <c r="A1000" s="2" t="inlineStr">
        <is>
          <t>HWB0331</t>
        </is>
      </c>
      <c r="B1000" s="8" t="inlineStr">
        <is>
          <t>2031-06-01 00:00:00</t>
        </is>
      </c>
      <c r="C1000" s="8" t="n">
        <v>14.49</v>
      </c>
      <c r="D1000" s="8" t="n">
        <v>17.05</v>
      </c>
      <c r="E1000" s="8" t="n">
        <v>23.57</v>
      </c>
      <c r="F1000" s="8" t="n">
        <v>15.46</v>
      </c>
      <c r="G1000" s="8" t="n">
        <v>24.22</v>
      </c>
      <c r="H1000" s="8" t="n">
        <v>16.04</v>
      </c>
      <c r="I1000" s="8" t="n">
        <v>13.96</v>
      </c>
      <c r="J1000" s="8" t="n">
        <v>13.05</v>
      </c>
      <c r="K1000" s="8" t="n">
        <v>14.83</v>
      </c>
      <c r="L1000" s="8" t="n">
        <v>14</v>
      </c>
      <c r="M1000" s="8" t="n">
        <v>16.48</v>
      </c>
      <c r="N1000" s="4" t="n">
        <v>16.25</v>
      </c>
    </row>
    <row r="1001">
      <c r="A1001" s="2" t="inlineStr">
        <is>
          <t>BRY0661</t>
        </is>
      </c>
      <c r="B1001" s="8" t="inlineStr">
        <is>
          <t>2026-07-01 00:00:00</t>
        </is>
      </c>
      <c r="C1001" s="8" t="n">
        <v>13.46</v>
      </c>
      <c r="D1001" s="8" t="n">
        <v>15.29</v>
      </c>
      <c r="E1001" s="8" t="n">
        <v>21.98</v>
      </c>
      <c r="F1001" s="8" t="n">
        <v>15.83</v>
      </c>
      <c r="G1001" s="8" t="n">
        <v>23.26</v>
      </c>
      <c r="H1001" s="8" t="n">
        <v>15.75</v>
      </c>
      <c r="I1001" s="8" t="n">
        <v>13.36</v>
      </c>
      <c r="J1001" s="8" t="n">
        <v>12.6</v>
      </c>
      <c r="K1001" s="8" t="n">
        <v>15.02</v>
      </c>
      <c r="L1001" s="8" t="n">
        <v>13.14</v>
      </c>
      <c r="M1001" s="8" t="n">
        <v>16.55</v>
      </c>
      <c r="N1001" s="4" t="n">
        <v>14.9</v>
      </c>
    </row>
    <row r="1002">
      <c r="A1002" s="2" t="inlineStr">
        <is>
          <t>BRY0661</t>
        </is>
      </c>
      <c r="B1002" s="8" t="inlineStr">
        <is>
          <t>2026-08-01 00:00:00</t>
        </is>
      </c>
      <c r="C1002" s="8" t="n">
        <v>13.76</v>
      </c>
      <c r="D1002" s="8" t="n">
        <v>15.81</v>
      </c>
      <c r="E1002" s="8" t="n">
        <v>15.76</v>
      </c>
      <c r="F1002" s="8" t="n">
        <v>14.75</v>
      </c>
      <c r="G1002" s="8" t="n">
        <v>16.44</v>
      </c>
      <c r="H1002" s="8" t="n">
        <v>15.98</v>
      </c>
      <c r="I1002" s="8" t="n">
        <v>15.5</v>
      </c>
      <c r="J1002" s="8" t="n">
        <v>14.85</v>
      </c>
      <c r="K1002" s="8" t="n">
        <v>16.62</v>
      </c>
      <c r="L1002" s="8" t="n">
        <v>15.47</v>
      </c>
      <c r="M1002" s="8" t="n">
        <v>17.5</v>
      </c>
      <c r="N1002" s="4" t="n">
        <v>16.15</v>
      </c>
    </row>
    <row r="1003">
      <c r="A1003" s="2" t="inlineStr">
        <is>
          <t>BRY0661</t>
        </is>
      </c>
      <c r="B1003" s="8" t="inlineStr">
        <is>
          <t>2026-09-01 00:00:00</t>
        </is>
      </c>
      <c r="C1003" s="8" t="n">
        <v>7.32</v>
      </c>
      <c r="D1003" s="8" t="n">
        <v>11.58</v>
      </c>
      <c r="E1003" s="8" t="n">
        <v>13.39</v>
      </c>
      <c r="F1003" s="8" t="n">
        <v>11.21</v>
      </c>
      <c r="G1003" s="8" t="n">
        <v>15.08</v>
      </c>
      <c r="H1003" s="8" t="n">
        <v>12.2</v>
      </c>
      <c r="I1003" s="8" t="n">
        <v>6.46</v>
      </c>
      <c r="J1003" s="8" t="n">
        <v>6.57</v>
      </c>
      <c r="K1003" s="8" t="n">
        <v>9.039999999999999</v>
      </c>
      <c r="L1003" s="8" t="n">
        <v>8.039999999999999</v>
      </c>
      <c r="M1003" s="8" t="n">
        <v>11.75</v>
      </c>
      <c r="N1003" s="4" t="n">
        <v>9.449999999999999</v>
      </c>
    </row>
    <row r="1004">
      <c r="A1004" s="2" t="inlineStr">
        <is>
          <t>BRY0661</t>
        </is>
      </c>
      <c r="B1004" s="8" t="inlineStr">
        <is>
          <t>2026-10-01 00:00:00</t>
        </is>
      </c>
      <c r="C1004" s="8" t="n">
        <v>7.2</v>
      </c>
      <c r="D1004" s="8" t="n">
        <v>8.69</v>
      </c>
      <c r="E1004" s="8" t="n">
        <v>9.82</v>
      </c>
      <c r="F1004" s="8" t="n">
        <v>8.49</v>
      </c>
      <c r="G1004" s="8" t="n">
        <v>10.27</v>
      </c>
      <c r="H1004" s="8" t="n">
        <v>10.83</v>
      </c>
      <c r="I1004" s="8" t="n">
        <v>8.15</v>
      </c>
      <c r="J1004" s="8" t="n">
        <v>7.76</v>
      </c>
      <c r="K1004" s="8" t="n">
        <v>8.48</v>
      </c>
      <c r="L1004" s="8" t="n">
        <v>7.08</v>
      </c>
      <c r="M1004" s="8" t="n">
        <v>9.119999999999999</v>
      </c>
      <c r="N1004" s="4" t="n">
        <v>9.119999999999999</v>
      </c>
    </row>
    <row r="1005">
      <c r="A1005" s="2" t="inlineStr">
        <is>
          <t>BRY0661</t>
        </is>
      </c>
      <c r="B1005" s="8" t="inlineStr">
        <is>
          <t>2026-11-01 00:00:00</t>
        </is>
      </c>
      <c r="C1005" s="8" t="n">
        <v>5.49</v>
      </c>
      <c r="D1005" s="8" t="n">
        <v>7.59</v>
      </c>
      <c r="E1005" s="8" t="n">
        <v>9.32</v>
      </c>
      <c r="F1005" s="8" t="n">
        <v>8.619999999999999</v>
      </c>
      <c r="G1005" s="8" t="n">
        <v>10</v>
      </c>
      <c r="H1005" s="8" t="n">
        <v>8.92</v>
      </c>
      <c r="I1005" s="8" t="n">
        <v>5.52</v>
      </c>
      <c r="J1005" s="8" t="n">
        <v>4.84</v>
      </c>
      <c r="K1005" s="8" t="n">
        <v>7.35</v>
      </c>
      <c r="L1005" s="8" t="n">
        <v>6.33</v>
      </c>
      <c r="M1005" s="8" t="n">
        <v>7.35</v>
      </c>
      <c r="N1005" s="4" t="n">
        <v>7.23</v>
      </c>
    </row>
    <row r="1006">
      <c r="A1006" s="2" t="inlineStr">
        <is>
          <t>BRY0661</t>
        </is>
      </c>
      <c r="B1006" s="8" t="inlineStr">
        <is>
          <t>2026-12-01 00:00:00</t>
        </is>
      </c>
      <c r="C1006" s="8" t="n">
        <v>6.38</v>
      </c>
      <c r="D1006" s="8" t="n">
        <v>6.28</v>
      </c>
      <c r="E1006" s="8" t="n">
        <v>8.32</v>
      </c>
      <c r="F1006" s="8" t="n">
        <v>8.4</v>
      </c>
      <c r="G1006" s="8" t="n">
        <v>7.97</v>
      </c>
      <c r="H1006" s="8" t="n">
        <v>7.43</v>
      </c>
      <c r="I1006" s="8" t="n">
        <v>6.17</v>
      </c>
      <c r="J1006" s="8" t="n">
        <v>5.67</v>
      </c>
      <c r="K1006" s="8" t="n">
        <v>7.35</v>
      </c>
      <c r="L1006" s="8" t="n">
        <v>7.22</v>
      </c>
      <c r="M1006" s="8" t="n">
        <v>7.54</v>
      </c>
      <c r="N1006" s="4" t="n">
        <v>7.03</v>
      </c>
    </row>
    <row r="1007">
      <c r="A1007" s="2" t="inlineStr">
        <is>
          <t>BRY0661</t>
        </is>
      </c>
      <c r="B1007" s="8" t="inlineStr">
        <is>
          <t>2027-01-01 00:00:00</t>
        </is>
      </c>
      <c r="C1007" s="8" t="n">
        <v>11.78</v>
      </c>
      <c r="D1007" s="8" t="n">
        <v>11.82</v>
      </c>
      <c r="E1007" s="8" t="n">
        <v>14.01</v>
      </c>
      <c r="F1007" s="8" t="n">
        <v>14.6</v>
      </c>
      <c r="G1007" s="8" t="n">
        <v>15.35</v>
      </c>
      <c r="H1007" s="8" t="n">
        <v>14.59</v>
      </c>
      <c r="I1007" s="8" t="n">
        <v>9.039999999999999</v>
      </c>
      <c r="J1007" s="8" t="n">
        <v>7.78</v>
      </c>
      <c r="K1007" s="8" t="n">
        <v>9.470000000000001</v>
      </c>
      <c r="L1007" s="8" t="n">
        <v>9.83</v>
      </c>
      <c r="M1007" s="8" t="n">
        <v>11.5</v>
      </c>
      <c r="N1007" s="4" t="n">
        <v>10.89</v>
      </c>
    </row>
    <row r="1008">
      <c r="A1008" s="2" t="inlineStr">
        <is>
          <t>BRY0661</t>
        </is>
      </c>
      <c r="B1008" s="8" t="inlineStr">
        <is>
          <t>2027-02-01 00:00:00</t>
        </is>
      </c>
      <c r="C1008" s="8" t="n">
        <v>12.14</v>
      </c>
      <c r="D1008" s="8" t="n">
        <v>12.78</v>
      </c>
      <c r="E1008" s="8" t="n">
        <v>13.49</v>
      </c>
      <c r="F1008" s="8" t="n">
        <v>12.74</v>
      </c>
      <c r="G1008" s="8" t="n">
        <v>15.3</v>
      </c>
      <c r="H1008" s="8" t="n">
        <v>15.11</v>
      </c>
      <c r="I1008" s="8" t="n">
        <v>10.34</v>
      </c>
      <c r="J1008" s="8" t="n">
        <v>7.87</v>
      </c>
      <c r="K1008" s="8" t="n">
        <v>8.59</v>
      </c>
      <c r="L1008" s="8" t="n">
        <v>8.57</v>
      </c>
      <c r="M1008" s="8" t="n">
        <v>10.1</v>
      </c>
      <c r="N1008" s="4" t="n">
        <v>10.48</v>
      </c>
    </row>
    <row r="1009">
      <c r="A1009" s="2" t="inlineStr">
        <is>
          <t>BRY0661</t>
        </is>
      </c>
      <c r="B1009" s="8" t="inlineStr">
        <is>
          <t>2027-03-01 00:00:00</t>
        </is>
      </c>
      <c r="C1009" s="8" t="n">
        <v>11.3</v>
      </c>
      <c r="D1009" s="8" t="n">
        <v>12.37</v>
      </c>
      <c r="E1009" s="8" t="n">
        <v>12.42</v>
      </c>
      <c r="F1009" s="8" t="n">
        <v>11.53</v>
      </c>
      <c r="G1009" s="8" t="n">
        <v>12.94</v>
      </c>
      <c r="H1009" s="8" t="n">
        <v>12.96</v>
      </c>
      <c r="I1009" s="8" t="n">
        <v>11.51</v>
      </c>
      <c r="J1009" s="8" t="n">
        <v>11.13</v>
      </c>
      <c r="K1009" s="8" t="n">
        <v>12.35</v>
      </c>
      <c r="L1009" s="8" t="n">
        <v>11.59</v>
      </c>
      <c r="M1009" s="8" t="n">
        <v>12.88</v>
      </c>
      <c r="N1009" s="4" t="n">
        <v>12.7</v>
      </c>
    </row>
    <row r="1010">
      <c r="A1010" s="2" t="inlineStr">
        <is>
          <t>BRY0661</t>
        </is>
      </c>
      <c r="B1010" s="8" t="inlineStr">
        <is>
          <t>2027-04-01 00:00:00</t>
        </is>
      </c>
      <c r="C1010" s="8" t="n">
        <v>17.49</v>
      </c>
      <c r="D1010" s="8" t="n">
        <v>18.44</v>
      </c>
      <c r="E1010" s="8" t="n">
        <v>17.72</v>
      </c>
      <c r="F1010" s="8" t="n">
        <v>17.4</v>
      </c>
      <c r="G1010" s="8" t="n">
        <v>19.79</v>
      </c>
      <c r="H1010" s="8" t="n">
        <v>18.77</v>
      </c>
      <c r="I1010" s="8" t="n">
        <v>15.69</v>
      </c>
      <c r="J1010" s="8" t="n">
        <v>15.03</v>
      </c>
      <c r="K1010" s="8" t="n">
        <v>16.5</v>
      </c>
      <c r="L1010" s="8" t="n">
        <v>15.41</v>
      </c>
      <c r="M1010" s="8" t="n">
        <v>18.35</v>
      </c>
      <c r="N1010" s="4" t="n">
        <v>16.89</v>
      </c>
    </row>
    <row r="1011">
      <c r="A1011" s="2" t="inlineStr">
        <is>
          <t>BRY0661</t>
        </is>
      </c>
      <c r="B1011" s="8" t="inlineStr">
        <is>
          <t>2027-05-01 00:00:00</t>
        </is>
      </c>
      <c r="C1011" s="8" t="n">
        <v>16.46</v>
      </c>
      <c r="D1011" s="8" t="n">
        <v>19.48</v>
      </c>
      <c r="E1011" s="8" t="n">
        <v>20.44</v>
      </c>
      <c r="F1011" s="8" t="n">
        <v>17.3</v>
      </c>
      <c r="G1011" s="8" t="n">
        <v>22.51</v>
      </c>
      <c r="H1011" s="8" t="n">
        <v>17.84</v>
      </c>
      <c r="I1011" s="8" t="n">
        <v>16.26</v>
      </c>
      <c r="J1011" s="8" t="n">
        <v>16.21</v>
      </c>
      <c r="K1011" s="8" t="n">
        <v>16.52</v>
      </c>
      <c r="L1011" s="8" t="n">
        <v>15.82</v>
      </c>
      <c r="M1011" s="8" t="n">
        <v>17.27</v>
      </c>
      <c r="N1011" s="4" t="n">
        <v>16.52</v>
      </c>
    </row>
    <row r="1012">
      <c r="A1012" s="2" t="inlineStr">
        <is>
          <t>BRY0661</t>
        </is>
      </c>
      <c r="B1012" s="8" t="inlineStr">
        <is>
          <t>2027-06-01 00:00:00</t>
        </is>
      </c>
      <c r="C1012" s="8" t="n">
        <v>16.6</v>
      </c>
      <c r="D1012" s="8" t="n">
        <v>19.57</v>
      </c>
      <c r="E1012" s="8" t="n">
        <v>26.17</v>
      </c>
      <c r="F1012" s="8" t="n">
        <v>17.73</v>
      </c>
      <c r="G1012" s="8" t="n">
        <v>26.93</v>
      </c>
      <c r="H1012" s="8" t="n">
        <v>18.4</v>
      </c>
      <c r="I1012" s="8" t="n">
        <v>16</v>
      </c>
      <c r="J1012" s="8" t="n">
        <v>14.94</v>
      </c>
      <c r="K1012" s="8" t="n">
        <v>17</v>
      </c>
      <c r="L1012" s="8" t="n">
        <v>16.04</v>
      </c>
      <c r="M1012" s="8" t="n">
        <v>18.91</v>
      </c>
      <c r="N1012" s="4" t="n">
        <v>18.64</v>
      </c>
    </row>
    <row r="1013">
      <c r="A1013" s="2" t="inlineStr">
        <is>
          <t>BRY0661</t>
        </is>
      </c>
      <c r="B1013" s="8" t="inlineStr">
        <is>
          <t>2027-07-01 00:00:00</t>
        </is>
      </c>
      <c r="C1013" s="8" t="n">
        <v>15.84</v>
      </c>
      <c r="D1013" s="8" t="n">
        <v>18.01</v>
      </c>
      <c r="E1013" s="8" t="n">
        <v>24.83</v>
      </c>
      <c r="F1013" s="8" t="n">
        <v>18.66</v>
      </c>
      <c r="G1013" s="8" t="n">
        <v>26.36</v>
      </c>
      <c r="H1013" s="8" t="n">
        <v>18.56</v>
      </c>
      <c r="I1013" s="8" t="n">
        <v>15.72</v>
      </c>
      <c r="J1013" s="8" t="n">
        <v>14.81</v>
      </c>
      <c r="K1013" s="8" t="n">
        <v>17.69</v>
      </c>
      <c r="L1013" s="8" t="n">
        <v>15.46</v>
      </c>
      <c r="M1013" s="8" t="n">
        <v>19.51</v>
      </c>
      <c r="N1013" s="4" t="n">
        <v>17.55</v>
      </c>
    </row>
    <row r="1014">
      <c r="A1014" s="2" t="inlineStr">
        <is>
          <t>BRY0661</t>
        </is>
      </c>
      <c r="B1014" s="8" t="inlineStr">
        <is>
          <t>2027-08-01 00:00:00</t>
        </is>
      </c>
      <c r="C1014" s="8" t="n">
        <v>15.73</v>
      </c>
      <c r="D1014" s="8" t="n">
        <v>18.1</v>
      </c>
      <c r="E1014" s="8" t="n">
        <v>18.05</v>
      </c>
      <c r="F1014" s="8" t="n">
        <v>16.89</v>
      </c>
      <c r="G1014" s="8" t="n">
        <v>18.84</v>
      </c>
      <c r="H1014" s="8" t="n">
        <v>18.3</v>
      </c>
      <c r="I1014" s="8" t="n">
        <v>17.74</v>
      </c>
      <c r="J1014" s="8" t="n">
        <v>17</v>
      </c>
      <c r="K1014" s="8" t="n">
        <v>19.04</v>
      </c>
      <c r="L1014" s="8" t="n">
        <v>17.72</v>
      </c>
      <c r="M1014" s="8" t="n">
        <v>20.06</v>
      </c>
      <c r="N1014" s="4" t="n">
        <v>18.5</v>
      </c>
    </row>
    <row r="1015">
      <c r="A1015" s="2" t="inlineStr">
        <is>
          <t>BRY0661</t>
        </is>
      </c>
      <c r="B1015" s="8" t="inlineStr">
        <is>
          <t>2027-09-01 00:00:00</t>
        </is>
      </c>
      <c r="C1015" s="8" t="n">
        <v>11.53</v>
      </c>
      <c r="D1015" s="8" t="n">
        <v>18.41</v>
      </c>
      <c r="E1015" s="8" t="n">
        <v>21.34</v>
      </c>
      <c r="F1015" s="8" t="n">
        <v>17.81</v>
      </c>
      <c r="G1015" s="8" t="n">
        <v>24.07</v>
      </c>
      <c r="H1015" s="8" t="n">
        <v>19.41</v>
      </c>
      <c r="I1015" s="8" t="n">
        <v>10.14</v>
      </c>
      <c r="J1015" s="8" t="n">
        <v>10.32</v>
      </c>
      <c r="K1015" s="8" t="n">
        <v>14.31</v>
      </c>
      <c r="L1015" s="8" t="n">
        <v>12.69</v>
      </c>
      <c r="M1015" s="8" t="n">
        <v>18.7</v>
      </c>
      <c r="N1015" s="4" t="n">
        <v>14.98</v>
      </c>
    </row>
    <row r="1016">
      <c r="A1016" s="2" t="inlineStr">
        <is>
          <t>BRY0661</t>
        </is>
      </c>
      <c r="B1016" s="8" t="inlineStr">
        <is>
          <t>2027-10-01 00:00:00</t>
        </is>
      </c>
      <c r="C1016" s="8" t="n">
        <v>6.36</v>
      </c>
      <c r="D1016" s="8" t="n">
        <v>7.65</v>
      </c>
      <c r="E1016" s="8" t="n">
        <v>8.640000000000001</v>
      </c>
      <c r="F1016" s="8" t="n">
        <v>7.48</v>
      </c>
      <c r="G1016" s="8" t="n">
        <v>9.029999999999999</v>
      </c>
      <c r="H1016" s="8" t="n">
        <v>9.52</v>
      </c>
      <c r="I1016" s="8" t="n">
        <v>7.18</v>
      </c>
      <c r="J1016" s="8" t="n">
        <v>6.84</v>
      </c>
      <c r="K1016" s="8" t="n">
        <v>7.47</v>
      </c>
      <c r="L1016" s="8" t="n">
        <v>6.25</v>
      </c>
      <c r="M1016" s="8" t="n">
        <v>8.029999999999999</v>
      </c>
      <c r="N1016" s="4" t="n">
        <v>8.029999999999999</v>
      </c>
    </row>
    <row r="1017">
      <c r="A1017" s="2" t="inlineStr">
        <is>
          <t>BRY0661</t>
        </is>
      </c>
      <c r="B1017" s="8" t="inlineStr">
        <is>
          <t>2027-11-01 00:00:00</t>
        </is>
      </c>
      <c r="C1017" s="8" t="n">
        <v>5.51</v>
      </c>
      <c r="D1017" s="8" t="n">
        <v>7.61</v>
      </c>
      <c r="E1017" s="8" t="n">
        <v>9.35</v>
      </c>
      <c r="F1017" s="8" t="n">
        <v>8.640000000000001</v>
      </c>
      <c r="G1017" s="8" t="n">
        <v>10.02</v>
      </c>
      <c r="H1017" s="8" t="n">
        <v>8.94</v>
      </c>
      <c r="I1017" s="8" t="n">
        <v>5.53</v>
      </c>
      <c r="J1017" s="8" t="n">
        <v>4.85</v>
      </c>
      <c r="K1017" s="8" t="n">
        <v>7.37</v>
      </c>
      <c r="L1017" s="8" t="n">
        <v>6.35</v>
      </c>
      <c r="M1017" s="8" t="n">
        <v>7.37</v>
      </c>
      <c r="N1017" s="4" t="n">
        <v>7.25</v>
      </c>
    </row>
    <row r="1018">
      <c r="A1018" s="2" t="inlineStr">
        <is>
          <t>BRY0661</t>
        </is>
      </c>
      <c r="B1018" s="8" t="inlineStr">
        <is>
          <t>2027-12-01 00:00:00</t>
        </is>
      </c>
      <c r="C1018" s="8" t="n">
        <v>6.9</v>
      </c>
      <c r="D1018" s="8" t="n">
        <v>6.79</v>
      </c>
      <c r="E1018" s="8" t="n">
        <v>9.01</v>
      </c>
      <c r="F1018" s="8" t="n">
        <v>9.1</v>
      </c>
      <c r="G1018" s="8" t="n">
        <v>8.630000000000001</v>
      </c>
      <c r="H1018" s="8" t="n">
        <v>8.039999999999999</v>
      </c>
      <c r="I1018" s="8" t="n">
        <v>6.68</v>
      </c>
      <c r="J1018" s="8" t="n">
        <v>6.13</v>
      </c>
      <c r="K1018" s="8" t="n">
        <v>7.95</v>
      </c>
      <c r="L1018" s="8" t="n">
        <v>7.81</v>
      </c>
      <c r="M1018" s="8" t="n">
        <v>8.16</v>
      </c>
      <c r="N1018" s="4" t="n">
        <v>7.61</v>
      </c>
    </row>
    <row r="1019">
      <c r="A1019" s="2" t="inlineStr">
        <is>
          <t>BRY0661</t>
        </is>
      </c>
      <c r="B1019" s="8" t="inlineStr">
        <is>
          <t>2028-01-01 00:00:00</t>
        </is>
      </c>
      <c r="C1019" s="8" t="n">
        <v>11.53</v>
      </c>
      <c r="D1019" s="8" t="n">
        <v>11.56</v>
      </c>
      <c r="E1019" s="8" t="n">
        <v>13.69</v>
      </c>
      <c r="F1019" s="8" t="n">
        <v>14.28</v>
      </c>
      <c r="G1019" s="8" t="n">
        <v>15.01</v>
      </c>
      <c r="H1019" s="8" t="n">
        <v>14.26</v>
      </c>
      <c r="I1019" s="8" t="n">
        <v>8.85</v>
      </c>
      <c r="J1019" s="8" t="n">
        <v>7.62</v>
      </c>
      <c r="K1019" s="8" t="n">
        <v>9.27</v>
      </c>
      <c r="L1019" s="8" t="n">
        <v>9.619999999999999</v>
      </c>
      <c r="M1019" s="8" t="n">
        <v>11.25</v>
      </c>
      <c r="N1019" s="4" t="n">
        <v>10.65</v>
      </c>
    </row>
    <row r="1020">
      <c r="A1020" s="2" t="inlineStr">
        <is>
          <t>BRY0661</t>
        </is>
      </c>
      <c r="B1020" s="8" t="inlineStr">
        <is>
          <t>2028-02-01 00:00:00</t>
        </is>
      </c>
      <c r="C1020" s="8" t="n">
        <v>11.83</v>
      </c>
      <c r="D1020" s="8" t="n">
        <v>12.45</v>
      </c>
      <c r="E1020" s="8" t="n">
        <v>13.14</v>
      </c>
      <c r="F1020" s="8" t="n">
        <v>12.41</v>
      </c>
      <c r="G1020" s="8" t="n">
        <v>14.9</v>
      </c>
      <c r="H1020" s="8" t="n">
        <v>14.72</v>
      </c>
      <c r="I1020" s="8" t="n">
        <v>10.08</v>
      </c>
      <c r="J1020" s="8" t="n">
        <v>7.68</v>
      </c>
      <c r="K1020" s="8" t="n">
        <v>8.380000000000001</v>
      </c>
      <c r="L1020" s="8" t="n">
        <v>8.359999999999999</v>
      </c>
      <c r="M1020" s="8" t="n">
        <v>9.84</v>
      </c>
      <c r="N1020" s="4" t="n">
        <v>10.22</v>
      </c>
    </row>
    <row r="1021">
      <c r="A1021" s="2" t="inlineStr">
        <is>
          <t>BRY0661</t>
        </is>
      </c>
      <c r="B1021" s="8" t="inlineStr">
        <is>
          <t>2028-03-01 00:00:00</t>
        </is>
      </c>
      <c r="C1021" s="8" t="n">
        <v>11.04</v>
      </c>
      <c r="D1021" s="8" t="n">
        <v>12.08</v>
      </c>
      <c r="E1021" s="8" t="n">
        <v>12.13</v>
      </c>
      <c r="F1021" s="8" t="n">
        <v>11.26</v>
      </c>
      <c r="G1021" s="8" t="n">
        <v>12.64</v>
      </c>
      <c r="H1021" s="8" t="n">
        <v>12.66</v>
      </c>
      <c r="I1021" s="8" t="n">
        <v>11.25</v>
      </c>
      <c r="J1021" s="8" t="n">
        <v>10.87</v>
      </c>
      <c r="K1021" s="8" t="n">
        <v>12.07</v>
      </c>
      <c r="L1021" s="8" t="n">
        <v>11.33</v>
      </c>
      <c r="M1021" s="8" t="n">
        <v>12.58</v>
      </c>
      <c r="N1021" s="4" t="n">
        <v>12.4</v>
      </c>
    </row>
    <row r="1022">
      <c r="A1022" s="2" t="inlineStr">
        <is>
          <t>BRY0661</t>
        </is>
      </c>
      <c r="B1022" s="8" t="inlineStr">
        <is>
          <t>2028-04-01 00:00:00</t>
        </is>
      </c>
      <c r="C1022" s="8" t="n">
        <v>16.97</v>
      </c>
      <c r="D1022" s="8" t="n">
        <v>17.88</v>
      </c>
      <c r="E1022" s="8" t="n">
        <v>17.19</v>
      </c>
      <c r="F1022" s="8" t="n">
        <v>16.87</v>
      </c>
      <c r="G1022" s="8" t="n">
        <v>19.19</v>
      </c>
      <c r="H1022" s="8" t="n">
        <v>18.2</v>
      </c>
      <c r="I1022" s="8" t="n">
        <v>15.22</v>
      </c>
      <c r="J1022" s="8" t="n">
        <v>14.58</v>
      </c>
      <c r="K1022" s="8" t="n">
        <v>16</v>
      </c>
      <c r="L1022" s="8" t="n">
        <v>14.95</v>
      </c>
      <c r="M1022" s="8" t="n">
        <v>17.8</v>
      </c>
      <c r="N1022" s="4" t="n">
        <v>16.38</v>
      </c>
    </row>
    <row r="1023">
      <c r="A1023" s="2" t="inlineStr">
        <is>
          <t>BRY0661</t>
        </is>
      </c>
      <c r="B1023" s="8" t="inlineStr">
        <is>
          <t>2028-05-01 00:00:00</t>
        </is>
      </c>
      <c r="C1023" s="8" t="n">
        <v>15.6</v>
      </c>
      <c r="D1023" s="8" t="n">
        <v>18.45</v>
      </c>
      <c r="E1023" s="8" t="n">
        <v>19.36</v>
      </c>
      <c r="F1023" s="8" t="n">
        <v>16.39</v>
      </c>
      <c r="G1023" s="8" t="n">
        <v>21.31</v>
      </c>
      <c r="H1023" s="8" t="n">
        <v>16.91</v>
      </c>
      <c r="I1023" s="8" t="n">
        <v>15.41</v>
      </c>
      <c r="J1023" s="8" t="n">
        <v>15.37</v>
      </c>
      <c r="K1023" s="8" t="n">
        <v>15.66</v>
      </c>
      <c r="L1023" s="8" t="n">
        <v>14.99</v>
      </c>
      <c r="M1023" s="8" t="n">
        <v>16.36</v>
      </c>
      <c r="N1023" s="4" t="n">
        <v>15.65</v>
      </c>
    </row>
    <row r="1024">
      <c r="A1024" s="2" t="inlineStr">
        <is>
          <t>BRY0661</t>
        </is>
      </c>
      <c r="B1024" s="8" t="inlineStr">
        <is>
          <t>2028-06-01 00:00:00</t>
        </is>
      </c>
      <c r="C1024" s="8" t="n">
        <v>15.82</v>
      </c>
      <c r="D1024" s="8" t="n">
        <v>18.64</v>
      </c>
      <c r="E1024" s="8" t="n">
        <v>25.2</v>
      </c>
      <c r="F1024" s="8" t="n">
        <v>16.89</v>
      </c>
      <c r="G1024" s="8" t="n">
        <v>25.92</v>
      </c>
      <c r="H1024" s="8" t="n">
        <v>17.52</v>
      </c>
      <c r="I1024" s="8" t="n">
        <v>15.24</v>
      </c>
      <c r="J1024" s="8" t="n">
        <v>14.24</v>
      </c>
      <c r="K1024" s="8" t="n">
        <v>16.2</v>
      </c>
      <c r="L1024" s="8" t="n">
        <v>15.28</v>
      </c>
      <c r="M1024" s="8" t="n">
        <v>18.01</v>
      </c>
      <c r="N1024" s="4" t="n">
        <v>17.76</v>
      </c>
    </row>
    <row r="1025">
      <c r="A1025" s="2" t="inlineStr">
        <is>
          <t>BRY0661</t>
        </is>
      </c>
      <c r="B1025" s="8" t="inlineStr">
        <is>
          <t>2028-07-01 00:00:00</t>
        </is>
      </c>
      <c r="C1025" s="8" t="n">
        <v>15.45</v>
      </c>
      <c r="D1025" s="8" t="n">
        <v>17.57</v>
      </c>
      <c r="E1025" s="8" t="n">
        <v>24.37</v>
      </c>
      <c r="F1025" s="8" t="n">
        <v>18.2</v>
      </c>
      <c r="G1025" s="8" t="n">
        <v>25.86</v>
      </c>
      <c r="H1025" s="8" t="n">
        <v>18.1</v>
      </c>
      <c r="I1025" s="8" t="n">
        <v>15.34</v>
      </c>
      <c r="J1025" s="8" t="n">
        <v>14.46</v>
      </c>
      <c r="K1025" s="8" t="n">
        <v>17.26</v>
      </c>
      <c r="L1025" s="8" t="n">
        <v>15.08</v>
      </c>
      <c r="M1025" s="8" t="n">
        <v>19.03</v>
      </c>
      <c r="N1025" s="4" t="n">
        <v>17.12</v>
      </c>
    </row>
    <row r="1026">
      <c r="A1026" s="2" t="inlineStr">
        <is>
          <t>BRY0661</t>
        </is>
      </c>
      <c r="B1026" s="8" t="inlineStr">
        <is>
          <t>2028-08-01 00:00:00</t>
        </is>
      </c>
      <c r="C1026" s="8" t="n">
        <v>15.28</v>
      </c>
      <c r="D1026" s="8" t="n">
        <v>17.58</v>
      </c>
      <c r="E1026" s="8" t="n">
        <v>17.53</v>
      </c>
      <c r="F1026" s="8" t="n">
        <v>16.4</v>
      </c>
      <c r="G1026" s="8" t="n">
        <v>18.29</v>
      </c>
      <c r="H1026" s="8" t="n">
        <v>17.77</v>
      </c>
      <c r="I1026" s="8" t="n">
        <v>17.23</v>
      </c>
      <c r="J1026" s="8" t="n">
        <v>16.51</v>
      </c>
      <c r="K1026" s="8" t="n">
        <v>18.49</v>
      </c>
      <c r="L1026" s="8" t="n">
        <v>17.2</v>
      </c>
      <c r="M1026" s="8" t="n">
        <v>19.47</v>
      </c>
      <c r="N1026" s="4" t="n">
        <v>17.96</v>
      </c>
    </row>
    <row r="1027">
      <c r="A1027" s="2" t="inlineStr">
        <is>
          <t>BRY0661</t>
        </is>
      </c>
      <c r="B1027" s="8" t="inlineStr">
        <is>
          <t>2028-09-01 00:00:00</t>
        </is>
      </c>
      <c r="C1027" s="8" t="n">
        <v>11.3</v>
      </c>
      <c r="D1027" s="8" t="n">
        <v>18.03</v>
      </c>
      <c r="E1027" s="8" t="n">
        <v>20.9</v>
      </c>
      <c r="F1027" s="8" t="n">
        <v>17.45</v>
      </c>
      <c r="G1027" s="8" t="n">
        <v>23.57</v>
      </c>
      <c r="H1027" s="8" t="n">
        <v>19.01</v>
      </c>
      <c r="I1027" s="8" t="n">
        <v>9.949999999999999</v>
      </c>
      <c r="J1027" s="8" t="n">
        <v>10.12</v>
      </c>
      <c r="K1027" s="8" t="n">
        <v>14.02</v>
      </c>
      <c r="L1027" s="8" t="n">
        <v>12.43</v>
      </c>
      <c r="M1027" s="8" t="n">
        <v>18.31</v>
      </c>
      <c r="N1027" s="4" t="n">
        <v>14.68</v>
      </c>
    </row>
    <row r="1028">
      <c r="A1028" s="2" t="inlineStr">
        <is>
          <t>BRY0661</t>
        </is>
      </c>
      <c r="B1028" s="8" t="inlineStr">
        <is>
          <t>2028-10-01 00:00:00</t>
        </is>
      </c>
      <c r="C1028" s="8" t="n">
        <v>6.17</v>
      </c>
      <c r="D1028" s="8" t="n">
        <v>7.42</v>
      </c>
      <c r="E1028" s="8" t="n">
        <v>8.380000000000001</v>
      </c>
      <c r="F1028" s="8" t="n">
        <v>7.26</v>
      </c>
      <c r="G1028" s="8" t="n">
        <v>8.75</v>
      </c>
      <c r="H1028" s="8" t="n">
        <v>9.220000000000001</v>
      </c>
      <c r="I1028" s="8" t="n">
        <v>6.97</v>
      </c>
      <c r="J1028" s="8" t="n">
        <v>6.64</v>
      </c>
      <c r="K1028" s="8" t="n">
        <v>7.25</v>
      </c>
      <c r="L1028" s="8" t="n">
        <v>6.07</v>
      </c>
      <c r="M1028" s="8" t="n">
        <v>7.79</v>
      </c>
      <c r="N1028" s="4" t="n">
        <v>7.79</v>
      </c>
    </row>
    <row r="1029">
      <c r="A1029" s="2" t="inlineStr">
        <is>
          <t>BRY0661</t>
        </is>
      </c>
      <c r="B1029" s="8" t="inlineStr">
        <is>
          <t>2028-11-01 00:00:00</t>
        </is>
      </c>
      <c r="C1029" s="8" t="n">
        <v>5.37</v>
      </c>
      <c r="D1029" s="8" t="n">
        <v>7.41</v>
      </c>
      <c r="E1029" s="8" t="n">
        <v>9.09</v>
      </c>
      <c r="F1029" s="8" t="n">
        <v>8.4</v>
      </c>
      <c r="G1029" s="8" t="n">
        <v>9.75</v>
      </c>
      <c r="H1029" s="8" t="n">
        <v>8.699999999999999</v>
      </c>
      <c r="I1029" s="8" t="n">
        <v>5.39</v>
      </c>
      <c r="J1029" s="8" t="n">
        <v>4.73</v>
      </c>
      <c r="K1029" s="8" t="n">
        <v>7.18</v>
      </c>
      <c r="L1029" s="8" t="n">
        <v>6.18</v>
      </c>
      <c r="M1029" s="8" t="n">
        <v>7.18</v>
      </c>
      <c r="N1029" s="4" t="n">
        <v>7.06</v>
      </c>
    </row>
    <row r="1030">
      <c r="A1030" s="2" t="inlineStr">
        <is>
          <t>BRY0661</t>
        </is>
      </c>
      <c r="B1030" s="8" t="inlineStr">
        <is>
          <t>2028-12-01 00:00:00</t>
        </is>
      </c>
      <c r="C1030" s="8" t="n">
        <v>6.75</v>
      </c>
      <c r="D1030" s="8" t="n">
        <v>6.65</v>
      </c>
      <c r="E1030" s="8" t="n">
        <v>8.81</v>
      </c>
      <c r="F1030" s="8" t="n">
        <v>8.9</v>
      </c>
      <c r="G1030" s="8" t="n">
        <v>8.44</v>
      </c>
      <c r="H1030" s="8" t="n">
        <v>7.87</v>
      </c>
      <c r="I1030" s="8" t="n">
        <v>6.54</v>
      </c>
      <c r="J1030" s="8" t="n">
        <v>6</v>
      </c>
      <c r="K1030" s="8" t="n">
        <v>7.78</v>
      </c>
      <c r="L1030" s="8" t="n">
        <v>7.65</v>
      </c>
      <c r="M1030" s="8" t="n">
        <v>7.99</v>
      </c>
      <c r="N1030" s="4" t="n">
        <v>7.45</v>
      </c>
    </row>
    <row r="1031">
      <c r="A1031" s="2" t="inlineStr">
        <is>
          <t>BRY0661</t>
        </is>
      </c>
      <c r="B1031" s="8" t="inlineStr">
        <is>
          <t>2029-01-01 00:00:00</t>
        </is>
      </c>
      <c r="C1031" s="8" t="n">
        <v>11.08</v>
      </c>
      <c r="D1031" s="8" t="n">
        <v>11.11</v>
      </c>
      <c r="E1031" s="8" t="n">
        <v>13.16</v>
      </c>
      <c r="F1031" s="8" t="n">
        <v>13.72</v>
      </c>
      <c r="G1031" s="8" t="n">
        <v>14.42</v>
      </c>
      <c r="H1031" s="8" t="n">
        <v>13.7</v>
      </c>
      <c r="I1031" s="8" t="n">
        <v>8.51</v>
      </c>
      <c r="J1031" s="8" t="n">
        <v>7.33</v>
      </c>
      <c r="K1031" s="8" t="n">
        <v>8.91</v>
      </c>
      <c r="L1031" s="8" t="n">
        <v>9.25</v>
      </c>
      <c r="M1031" s="8" t="n">
        <v>10.81</v>
      </c>
      <c r="N1031" s="4" t="n">
        <v>10.24</v>
      </c>
    </row>
    <row r="1032">
      <c r="A1032" s="2" t="inlineStr">
        <is>
          <t>BRY0661</t>
        </is>
      </c>
      <c r="B1032" s="8" t="inlineStr">
        <is>
          <t>2029-02-01 00:00:00</t>
        </is>
      </c>
      <c r="C1032" s="8" t="n">
        <v>11.64</v>
      </c>
      <c r="D1032" s="8" t="n">
        <v>12.25</v>
      </c>
      <c r="E1032" s="8" t="n">
        <v>12.93</v>
      </c>
      <c r="F1032" s="8" t="n">
        <v>12.21</v>
      </c>
      <c r="G1032" s="8" t="n">
        <v>14.66</v>
      </c>
      <c r="H1032" s="8" t="n">
        <v>14.48</v>
      </c>
      <c r="I1032" s="8" t="n">
        <v>9.92</v>
      </c>
      <c r="J1032" s="8" t="n">
        <v>7.56</v>
      </c>
      <c r="K1032" s="8" t="n">
        <v>8.25</v>
      </c>
      <c r="L1032" s="8" t="n">
        <v>8.23</v>
      </c>
      <c r="M1032" s="8" t="n">
        <v>9.69</v>
      </c>
      <c r="N1032" s="4" t="n">
        <v>10.05</v>
      </c>
    </row>
    <row r="1033">
      <c r="A1033" s="2" t="inlineStr">
        <is>
          <t>BRY0661</t>
        </is>
      </c>
      <c r="B1033" s="8" t="inlineStr">
        <is>
          <t>2029-03-01 00:00:00</t>
        </is>
      </c>
      <c r="C1033" s="8" t="n">
        <v>10.84</v>
      </c>
      <c r="D1033" s="8" t="n">
        <v>11.86</v>
      </c>
      <c r="E1033" s="8" t="n">
        <v>11.9</v>
      </c>
      <c r="F1033" s="8" t="n">
        <v>11.05</v>
      </c>
      <c r="G1033" s="8" t="n">
        <v>12.4</v>
      </c>
      <c r="H1033" s="8" t="n">
        <v>12.42</v>
      </c>
      <c r="I1033" s="8" t="n">
        <v>11.04</v>
      </c>
      <c r="J1033" s="8" t="n">
        <v>10.67</v>
      </c>
      <c r="K1033" s="8" t="n">
        <v>11.84</v>
      </c>
      <c r="L1033" s="8" t="n">
        <v>11.12</v>
      </c>
      <c r="M1033" s="8" t="n">
        <v>12.34</v>
      </c>
      <c r="N1033" s="4" t="n">
        <v>12.17</v>
      </c>
    </row>
    <row r="1034">
      <c r="A1034" s="2" t="inlineStr">
        <is>
          <t>BRY0661</t>
        </is>
      </c>
      <c r="B1034" s="8" t="inlineStr">
        <is>
          <t>2029-04-01 00:00:00</t>
        </is>
      </c>
      <c r="C1034" s="8" t="n">
        <v>16.55</v>
      </c>
      <c r="D1034" s="8" t="n">
        <v>17.44</v>
      </c>
      <c r="E1034" s="8" t="n">
        <v>16.77</v>
      </c>
      <c r="F1034" s="8" t="n">
        <v>16.46</v>
      </c>
      <c r="G1034" s="8" t="n">
        <v>18.72</v>
      </c>
      <c r="H1034" s="8" t="n">
        <v>17.75</v>
      </c>
      <c r="I1034" s="8" t="n">
        <v>14.85</v>
      </c>
      <c r="J1034" s="8" t="n">
        <v>14.23</v>
      </c>
      <c r="K1034" s="8" t="n">
        <v>15.61</v>
      </c>
      <c r="L1034" s="8" t="n">
        <v>14.59</v>
      </c>
      <c r="M1034" s="8" t="n">
        <v>17.36</v>
      </c>
      <c r="N1034" s="4" t="n">
        <v>15.98</v>
      </c>
    </row>
    <row r="1035">
      <c r="A1035" s="2" t="inlineStr">
        <is>
          <t>BRY0661</t>
        </is>
      </c>
      <c r="B1035" s="8" t="inlineStr">
        <is>
          <t>2029-05-01 00:00:00</t>
        </is>
      </c>
      <c r="C1035" s="8" t="n">
        <v>15.34</v>
      </c>
      <c r="D1035" s="8" t="n">
        <v>18.14</v>
      </c>
      <c r="E1035" s="8" t="n">
        <v>19.03</v>
      </c>
      <c r="F1035" s="8" t="n">
        <v>16.12</v>
      </c>
      <c r="G1035" s="8" t="n">
        <v>20.95</v>
      </c>
      <c r="H1035" s="8" t="n">
        <v>16.62</v>
      </c>
      <c r="I1035" s="8" t="n">
        <v>15.16</v>
      </c>
      <c r="J1035" s="8" t="n">
        <v>15.11</v>
      </c>
      <c r="K1035" s="8" t="n">
        <v>15.4</v>
      </c>
      <c r="L1035" s="8" t="n">
        <v>14.74</v>
      </c>
      <c r="M1035" s="8" t="n">
        <v>16.09</v>
      </c>
      <c r="N1035" s="4" t="n">
        <v>15.39</v>
      </c>
    </row>
    <row r="1036">
      <c r="A1036" s="2" t="inlineStr">
        <is>
          <t>BRY0661</t>
        </is>
      </c>
      <c r="B1036" s="8" t="inlineStr">
        <is>
          <t>2029-06-01 00:00:00</t>
        </is>
      </c>
      <c r="C1036" s="8" t="n">
        <v>15.61</v>
      </c>
      <c r="D1036" s="8" t="n">
        <v>18.39</v>
      </c>
      <c r="E1036" s="8" t="n">
        <v>24.95</v>
      </c>
      <c r="F1036" s="8" t="n">
        <v>16.67</v>
      </c>
      <c r="G1036" s="8" t="n">
        <v>25.66</v>
      </c>
      <c r="H1036" s="8" t="n">
        <v>17.29</v>
      </c>
      <c r="I1036" s="8" t="n">
        <v>15.04</v>
      </c>
      <c r="J1036" s="8" t="n">
        <v>14.05</v>
      </c>
      <c r="K1036" s="8" t="n">
        <v>15.99</v>
      </c>
      <c r="L1036" s="8" t="n">
        <v>15.08</v>
      </c>
      <c r="M1036" s="8" t="n">
        <v>17.78</v>
      </c>
      <c r="N1036" s="4" t="n">
        <v>17.52</v>
      </c>
    </row>
    <row r="1037">
      <c r="A1037" s="2" t="inlineStr">
        <is>
          <t>BRY0661</t>
        </is>
      </c>
      <c r="B1037" s="8" t="inlineStr">
        <is>
          <t>2029-07-01 00:00:00</t>
        </is>
      </c>
      <c r="C1037" s="8" t="n">
        <v>15.17</v>
      </c>
      <c r="D1037" s="8" t="n">
        <v>17.25</v>
      </c>
      <c r="E1037" s="8" t="n">
        <v>24.04</v>
      </c>
      <c r="F1037" s="8" t="n">
        <v>17.87</v>
      </c>
      <c r="G1037" s="8" t="n">
        <v>25.5</v>
      </c>
      <c r="H1037" s="8" t="n">
        <v>17.78</v>
      </c>
      <c r="I1037" s="8" t="n">
        <v>15.06</v>
      </c>
      <c r="J1037" s="8" t="n">
        <v>14.2</v>
      </c>
      <c r="K1037" s="8" t="n">
        <v>16.95</v>
      </c>
      <c r="L1037" s="8" t="n">
        <v>14.81</v>
      </c>
      <c r="M1037" s="8" t="n">
        <v>18.68</v>
      </c>
      <c r="N1037" s="4" t="n">
        <v>16.81</v>
      </c>
    </row>
    <row r="1038">
      <c r="A1038" s="2" t="inlineStr">
        <is>
          <t>BRY0661</t>
        </is>
      </c>
      <c r="B1038" s="8" t="inlineStr">
        <is>
          <t>2029-08-01 00:00:00</t>
        </is>
      </c>
      <c r="C1038" s="8" t="n">
        <v>15.05</v>
      </c>
      <c r="D1038" s="8" t="n">
        <v>17.31</v>
      </c>
      <c r="E1038" s="8" t="n">
        <v>17.26</v>
      </c>
      <c r="F1038" s="8" t="n">
        <v>16.15</v>
      </c>
      <c r="G1038" s="8" t="n">
        <v>18.01</v>
      </c>
      <c r="H1038" s="8" t="n">
        <v>17.5</v>
      </c>
      <c r="I1038" s="8" t="n">
        <v>16.97</v>
      </c>
      <c r="J1038" s="8" t="n">
        <v>16.25</v>
      </c>
      <c r="K1038" s="8" t="n">
        <v>18.2</v>
      </c>
      <c r="L1038" s="8" t="n">
        <v>16.94</v>
      </c>
      <c r="M1038" s="8" t="n">
        <v>19.17</v>
      </c>
      <c r="N1038" s="4" t="n">
        <v>17.69</v>
      </c>
    </row>
    <row r="1039">
      <c r="A1039" s="2" t="inlineStr">
        <is>
          <t>BRY0661</t>
        </is>
      </c>
      <c r="B1039" s="8" t="inlineStr">
        <is>
          <t>2029-09-01 00:00:00</t>
        </is>
      </c>
      <c r="C1039" s="8" t="n">
        <v>11.24</v>
      </c>
      <c r="D1039" s="8" t="n">
        <v>17.93</v>
      </c>
      <c r="E1039" s="8" t="n">
        <v>20.78</v>
      </c>
      <c r="F1039" s="8" t="n">
        <v>17.35</v>
      </c>
      <c r="G1039" s="8" t="n">
        <v>23.44</v>
      </c>
      <c r="H1039" s="8" t="n">
        <v>18.91</v>
      </c>
      <c r="I1039" s="8" t="n">
        <v>9.890000000000001</v>
      </c>
      <c r="J1039" s="8" t="n">
        <v>10.06</v>
      </c>
      <c r="K1039" s="8" t="n">
        <v>13.95</v>
      </c>
      <c r="L1039" s="8" t="n">
        <v>12.37</v>
      </c>
      <c r="M1039" s="8" t="n">
        <v>18.21</v>
      </c>
      <c r="N1039" s="4" t="n">
        <v>14.59</v>
      </c>
    </row>
    <row r="1040">
      <c r="A1040" s="2" t="inlineStr">
        <is>
          <t>BRY0661</t>
        </is>
      </c>
      <c r="B1040" s="8" t="inlineStr">
        <is>
          <t>2029-10-01 00:00:00</t>
        </is>
      </c>
      <c r="C1040" s="8" t="n">
        <v>6.02</v>
      </c>
      <c r="D1040" s="8" t="n">
        <v>7.24</v>
      </c>
      <c r="E1040" s="8" t="n">
        <v>8.17</v>
      </c>
      <c r="F1040" s="8" t="n">
        <v>7.08</v>
      </c>
      <c r="G1040" s="8" t="n">
        <v>8.539999999999999</v>
      </c>
      <c r="H1040" s="8" t="n">
        <v>9</v>
      </c>
      <c r="I1040" s="8" t="n">
        <v>6.8</v>
      </c>
      <c r="J1040" s="8" t="n">
        <v>6.48</v>
      </c>
      <c r="K1040" s="8" t="n">
        <v>7.07</v>
      </c>
      <c r="L1040" s="8" t="n">
        <v>5.93</v>
      </c>
      <c r="M1040" s="8" t="n">
        <v>7.6</v>
      </c>
      <c r="N1040" s="4" t="n">
        <v>7.6</v>
      </c>
    </row>
    <row r="1041">
      <c r="A1041" s="2" t="inlineStr">
        <is>
          <t>BRY0661</t>
        </is>
      </c>
      <c r="B1041" s="8" t="inlineStr">
        <is>
          <t>2029-11-01 00:00:00</t>
        </is>
      </c>
      <c r="C1041" s="8" t="n">
        <v>5.26</v>
      </c>
      <c r="D1041" s="8" t="n">
        <v>7.25</v>
      </c>
      <c r="E1041" s="8" t="n">
        <v>8.9</v>
      </c>
      <c r="F1041" s="8" t="n">
        <v>8.23</v>
      </c>
      <c r="G1041" s="8" t="n">
        <v>9.539999999999999</v>
      </c>
      <c r="H1041" s="8" t="n">
        <v>8.51</v>
      </c>
      <c r="I1041" s="8" t="n">
        <v>5.28</v>
      </c>
      <c r="J1041" s="8" t="n">
        <v>4.64</v>
      </c>
      <c r="K1041" s="8" t="n">
        <v>7.03</v>
      </c>
      <c r="L1041" s="8" t="n">
        <v>6.06</v>
      </c>
      <c r="M1041" s="8" t="n">
        <v>7.03</v>
      </c>
      <c r="N1041" s="4" t="n">
        <v>6.91</v>
      </c>
    </row>
    <row r="1042">
      <c r="A1042" s="2" t="inlineStr">
        <is>
          <t>BRY0661</t>
        </is>
      </c>
      <c r="B1042" s="8" t="inlineStr">
        <is>
          <t>2029-12-01 00:00:00</t>
        </is>
      </c>
      <c r="C1042" s="8" t="n">
        <v>6.61</v>
      </c>
      <c r="D1042" s="8" t="n">
        <v>6.51</v>
      </c>
      <c r="E1042" s="8" t="n">
        <v>8.630000000000001</v>
      </c>
      <c r="F1042" s="8" t="n">
        <v>8.710000000000001</v>
      </c>
      <c r="G1042" s="8" t="n">
        <v>8.26</v>
      </c>
      <c r="H1042" s="8" t="n">
        <v>7.7</v>
      </c>
      <c r="I1042" s="8" t="n">
        <v>6.4</v>
      </c>
      <c r="J1042" s="8" t="n">
        <v>5.88</v>
      </c>
      <c r="K1042" s="8" t="n">
        <v>7.62</v>
      </c>
      <c r="L1042" s="8" t="n">
        <v>7.49</v>
      </c>
      <c r="M1042" s="8" t="n">
        <v>7.82</v>
      </c>
      <c r="N1042" s="4" t="n">
        <v>7.29</v>
      </c>
    </row>
    <row r="1043">
      <c r="A1043" s="2" t="inlineStr">
        <is>
          <t>BRY0661</t>
        </is>
      </c>
      <c r="B1043" s="8" t="inlineStr">
        <is>
          <t>2030-01-01 00:00:00</t>
        </is>
      </c>
      <c r="C1043" s="8" t="n">
        <v>11.08</v>
      </c>
      <c r="D1043" s="8" t="n">
        <v>11.11</v>
      </c>
      <c r="E1043" s="8" t="n">
        <v>13.16</v>
      </c>
      <c r="F1043" s="8" t="n">
        <v>13.72</v>
      </c>
      <c r="G1043" s="8" t="n">
        <v>14.42</v>
      </c>
      <c r="H1043" s="8" t="n">
        <v>13.7</v>
      </c>
      <c r="I1043" s="8" t="n">
        <v>8.51</v>
      </c>
      <c r="J1043" s="8" t="n">
        <v>7.33</v>
      </c>
      <c r="K1043" s="8" t="n">
        <v>8.91</v>
      </c>
      <c r="L1043" s="8" t="n">
        <v>9.25</v>
      </c>
      <c r="M1043" s="8" t="n">
        <v>10.81</v>
      </c>
      <c r="N1043" s="4" t="n">
        <v>10.24</v>
      </c>
    </row>
    <row r="1044">
      <c r="A1044" s="2" t="inlineStr">
        <is>
          <t>BRY0661</t>
        </is>
      </c>
      <c r="B1044" s="8" t="inlineStr">
        <is>
          <t>2030-02-01 00:00:00</t>
        </is>
      </c>
      <c r="C1044" s="8" t="n">
        <v>11.64</v>
      </c>
      <c r="D1044" s="8" t="n">
        <v>12.25</v>
      </c>
      <c r="E1044" s="8" t="n">
        <v>12.93</v>
      </c>
      <c r="F1044" s="8" t="n">
        <v>12.21</v>
      </c>
      <c r="G1044" s="8" t="n">
        <v>14.66</v>
      </c>
      <c r="H1044" s="8" t="n">
        <v>14.48</v>
      </c>
      <c r="I1044" s="8" t="n">
        <v>9.92</v>
      </c>
      <c r="J1044" s="8" t="n">
        <v>7.56</v>
      </c>
      <c r="K1044" s="8" t="n">
        <v>8.25</v>
      </c>
      <c r="L1044" s="8" t="n">
        <v>8.23</v>
      </c>
      <c r="M1044" s="8" t="n">
        <v>9.69</v>
      </c>
      <c r="N1044" s="4" t="n">
        <v>10.05</v>
      </c>
    </row>
    <row r="1045">
      <c r="A1045" s="2" t="inlineStr">
        <is>
          <t>BRY0661</t>
        </is>
      </c>
      <c r="B1045" s="8" t="inlineStr">
        <is>
          <t>2030-03-01 00:00:00</t>
        </is>
      </c>
      <c r="C1045" s="8" t="n">
        <v>10.84</v>
      </c>
      <c r="D1045" s="8" t="n">
        <v>11.86</v>
      </c>
      <c r="E1045" s="8" t="n">
        <v>11.9</v>
      </c>
      <c r="F1045" s="8" t="n">
        <v>11.05</v>
      </c>
      <c r="G1045" s="8" t="n">
        <v>12.4</v>
      </c>
      <c r="H1045" s="8" t="n">
        <v>12.42</v>
      </c>
      <c r="I1045" s="8" t="n">
        <v>11.04</v>
      </c>
      <c r="J1045" s="8" t="n">
        <v>10.67</v>
      </c>
      <c r="K1045" s="8" t="n">
        <v>11.84</v>
      </c>
      <c r="L1045" s="8" t="n">
        <v>11.12</v>
      </c>
      <c r="M1045" s="8" t="n">
        <v>12.34</v>
      </c>
      <c r="N1045" s="4" t="n">
        <v>12.17</v>
      </c>
    </row>
    <row r="1046">
      <c r="A1046" s="2" t="inlineStr">
        <is>
          <t>BRY0661</t>
        </is>
      </c>
      <c r="B1046" s="8" t="inlineStr">
        <is>
          <t>2030-04-01 00:00:00</t>
        </is>
      </c>
      <c r="C1046" s="8" t="n">
        <v>16.55</v>
      </c>
      <c r="D1046" s="8" t="n">
        <v>17.44</v>
      </c>
      <c r="E1046" s="8" t="n">
        <v>16.77</v>
      </c>
      <c r="F1046" s="8" t="n">
        <v>16.46</v>
      </c>
      <c r="G1046" s="8" t="n">
        <v>18.72</v>
      </c>
      <c r="H1046" s="8" t="n">
        <v>17.75</v>
      </c>
      <c r="I1046" s="8" t="n">
        <v>14.85</v>
      </c>
      <c r="J1046" s="8" t="n">
        <v>14.23</v>
      </c>
      <c r="K1046" s="8" t="n">
        <v>15.61</v>
      </c>
      <c r="L1046" s="8" t="n">
        <v>14.59</v>
      </c>
      <c r="M1046" s="8" t="n">
        <v>17.36</v>
      </c>
      <c r="N1046" s="4" t="n">
        <v>15.98</v>
      </c>
    </row>
    <row r="1047">
      <c r="A1047" s="2" t="inlineStr">
        <is>
          <t>BRY0661</t>
        </is>
      </c>
      <c r="B1047" s="8" t="inlineStr">
        <is>
          <t>2030-05-01 00:00:00</t>
        </is>
      </c>
      <c r="C1047" s="8" t="n">
        <v>15.34</v>
      </c>
      <c r="D1047" s="8" t="n">
        <v>18.14</v>
      </c>
      <c r="E1047" s="8" t="n">
        <v>19.03</v>
      </c>
      <c r="F1047" s="8" t="n">
        <v>16.12</v>
      </c>
      <c r="G1047" s="8" t="n">
        <v>20.95</v>
      </c>
      <c r="H1047" s="8" t="n">
        <v>16.62</v>
      </c>
      <c r="I1047" s="8" t="n">
        <v>15.16</v>
      </c>
      <c r="J1047" s="8" t="n">
        <v>15.11</v>
      </c>
      <c r="K1047" s="8" t="n">
        <v>15.4</v>
      </c>
      <c r="L1047" s="8" t="n">
        <v>14.74</v>
      </c>
      <c r="M1047" s="8" t="n">
        <v>16.09</v>
      </c>
      <c r="N1047" s="4" t="n">
        <v>15.39</v>
      </c>
    </row>
    <row r="1048">
      <c r="A1048" s="2" t="inlineStr">
        <is>
          <t>BRY0661</t>
        </is>
      </c>
      <c r="B1048" s="8" t="inlineStr">
        <is>
          <t>2030-06-01 00:00:00</t>
        </is>
      </c>
      <c r="C1048" s="8" t="n">
        <v>15.61</v>
      </c>
      <c r="D1048" s="8" t="n">
        <v>18.39</v>
      </c>
      <c r="E1048" s="8" t="n">
        <v>24.95</v>
      </c>
      <c r="F1048" s="8" t="n">
        <v>16.67</v>
      </c>
      <c r="G1048" s="8" t="n">
        <v>25.66</v>
      </c>
      <c r="H1048" s="8" t="n">
        <v>17.29</v>
      </c>
      <c r="I1048" s="8" t="n">
        <v>15.04</v>
      </c>
      <c r="J1048" s="8" t="n">
        <v>14.05</v>
      </c>
      <c r="K1048" s="8" t="n">
        <v>15.99</v>
      </c>
      <c r="L1048" s="8" t="n">
        <v>15.08</v>
      </c>
      <c r="M1048" s="8" t="n">
        <v>17.78</v>
      </c>
      <c r="N1048" s="4" t="n">
        <v>17.52</v>
      </c>
    </row>
    <row r="1049">
      <c r="A1049" s="2" t="inlineStr">
        <is>
          <t>BRY0661</t>
        </is>
      </c>
      <c r="B1049" s="8" t="inlineStr">
        <is>
          <t>2030-07-01 00:00:00</t>
        </is>
      </c>
      <c r="C1049" s="8" t="n">
        <v>15.17</v>
      </c>
      <c r="D1049" s="8" t="n">
        <v>17.25</v>
      </c>
      <c r="E1049" s="8" t="n">
        <v>24.04</v>
      </c>
      <c r="F1049" s="8" t="n">
        <v>17.87</v>
      </c>
      <c r="G1049" s="8" t="n">
        <v>25.5</v>
      </c>
      <c r="H1049" s="8" t="n">
        <v>17.78</v>
      </c>
      <c r="I1049" s="8" t="n">
        <v>15.06</v>
      </c>
      <c r="J1049" s="8" t="n">
        <v>14.2</v>
      </c>
      <c r="K1049" s="8" t="n">
        <v>16.95</v>
      </c>
      <c r="L1049" s="8" t="n">
        <v>14.81</v>
      </c>
      <c r="M1049" s="8" t="n">
        <v>18.68</v>
      </c>
      <c r="N1049" s="4" t="n">
        <v>16.81</v>
      </c>
    </row>
    <row r="1050">
      <c r="A1050" s="2" t="inlineStr">
        <is>
          <t>BRY0661</t>
        </is>
      </c>
      <c r="B1050" s="8" t="inlineStr">
        <is>
          <t>2030-08-01 00:00:00</t>
        </is>
      </c>
      <c r="C1050" s="8" t="n">
        <v>15.05</v>
      </c>
      <c r="D1050" s="8" t="n">
        <v>17.31</v>
      </c>
      <c r="E1050" s="8" t="n">
        <v>17.26</v>
      </c>
      <c r="F1050" s="8" t="n">
        <v>16.15</v>
      </c>
      <c r="G1050" s="8" t="n">
        <v>18.01</v>
      </c>
      <c r="H1050" s="8" t="n">
        <v>17.5</v>
      </c>
      <c r="I1050" s="8" t="n">
        <v>16.97</v>
      </c>
      <c r="J1050" s="8" t="n">
        <v>16.25</v>
      </c>
      <c r="K1050" s="8" t="n">
        <v>18.2</v>
      </c>
      <c r="L1050" s="8" t="n">
        <v>16.94</v>
      </c>
      <c r="M1050" s="8" t="n">
        <v>19.17</v>
      </c>
      <c r="N1050" s="4" t="n">
        <v>17.69</v>
      </c>
    </row>
    <row r="1051">
      <c r="A1051" s="2" t="inlineStr">
        <is>
          <t>BRY0661</t>
        </is>
      </c>
      <c r="B1051" s="8" t="inlineStr">
        <is>
          <t>2030-09-01 00:00:00</t>
        </is>
      </c>
      <c r="C1051" s="8" t="n">
        <v>11.24</v>
      </c>
      <c r="D1051" s="8" t="n">
        <v>17.93</v>
      </c>
      <c r="E1051" s="8" t="n">
        <v>20.78</v>
      </c>
      <c r="F1051" s="8" t="n">
        <v>17.35</v>
      </c>
      <c r="G1051" s="8" t="n">
        <v>23.44</v>
      </c>
      <c r="H1051" s="8" t="n">
        <v>18.91</v>
      </c>
      <c r="I1051" s="8" t="n">
        <v>9.890000000000001</v>
      </c>
      <c r="J1051" s="8" t="n">
        <v>10.06</v>
      </c>
      <c r="K1051" s="8" t="n">
        <v>13.95</v>
      </c>
      <c r="L1051" s="8" t="n">
        <v>12.37</v>
      </c>
      <c r="M1051" s="8" t="n">
        <v>18.21</v>
      </c>
      <c r="N1051" s="4" t="n">
        <v>14.59</v>
      </c>
    </row>
    <row r="1052">
      <c r="A1052" s="2" t="inlineStr">
        <is>
          <t>BRY0661</t>
        </is>
      </c>
      <c r="B1052" s="8" t="inlineStr">
        <is>
          <t>2030-10-01 00:00:00</t>
        </is>
      </c>
      <c r="C1052" s="8" t="n">
        <v>6.02</v>
      </c>
      <c r="D1052" s="8" t="n">
        <v>7.24</v>
      </c>
      <c r="E1052" s="8" t="n">
        <v>8.17</v>
      </c>
      <c r="F1052" s="8" t="n">
        <v>7.08</v>
      </c>
      <c r="G1052" s="8" t="n">
        <v>8.539999999999999</v>
      </c>
      <c r="H1052" s="8" t="n">
        <v>9</v>
      </c>
      <c r="I1052" s="8" t="n">
        <v>6.8</v>
      </c>
      <c r="J1052" s="8" t="n">
        <v>6.48</v>
      </c>
      <c r="K1052" s="8" t="n">
        <v>7.07</v>
      </c>
      <c r="L1052" s="8" t="n">
        <v>5.93</v>
      </c>
      <c r="M1052" s="8" t="n">
        <v>7.6</v>
      </c>
      <c r="N1052" s="4" t="n">
        <v>7.6</v>
      </c>
    </row>
    <row r="1053">
      <c r="A1053" s="2" t="inlineStr">
        <is>
          <t>BRY0661</t>
        </is>
      </c>
      <c r="B1053" s="8" t="inlineStr">
        <is>
          <t>2030-11-01 00:00:00</t>
        </is>
      </c>
      <c r="C1053" s="8" t="n">
        <v>5.26</v>
      </c>
      <c r="D1053" s="8" t="n">
        <v>7.25</v>
      </c>
      <c r="E1053" s="8" t="n">
        <v>8.9</v>
      </c>
      <c r="F1053" s="8" t="n">
        <v>8.23</v>
      </c>
      <c r="G1053" s="8" t="n">
        <v>9.539999999999999</v>
      </c>
      <c r="H1053" s="8" t="n">
        <v>8.51</v>
      </c>
      <c r="I1053" s="8" t="n">
        <v>5.28</v>
      </c>
      <c r="J1053" s="8" t="n">
        <v>4.64</v>
      </c>
      <c r="K1053" s="8" t="n">
        <v>7.03</v>
      </c>
      <c r="L1053" s="8" t="n">
        <v>6.06</v>
      </c>
      <c r="M1053" s="8" t="n">
        <v>7.03</v>
      </c>
      <c r="N1053" s="4" t="n">
        <v>6.91</v>
      </c>
    </row>
    <row r="1054">
      <c r="A1054" s="2" t="inlineStr">
        <is>
          <t>BRY0661</t>
        </is>
      </c>
      <c r="B1054" s="8" t="inlineStr">
        <is>
          <t>2030-12-01 00:00:00</t>
        </is>
      </c>
      <c r="C1054" s="8" t="n">
        <v>6.61</v>
      </c>
      <c r="D1054" s="8" t="n">
        <v>6.51</v>
      </c>
      <c r="E1054" s="8" t="n">
        <v>8.630000000000001</v>
      </c>
      <c r="F1054" s="8" t="n">
        <v>8.710000000000001</v>
      </c>
      <c r="G1054" s="8" t="n">
        <v>8.26</v>
      </c>
      <c r="H1054" s="8" t="n">
        <v>7.7</v>
      </c>
      <c r="I1054" s="8" t="n">
        <v>6.4</v>
      </c>
      <c r="J1054" s="8" t="n">
        <v>5.88</v>
      </c>
      <c r="K1054" s="8" t="n">
        <v>7.62</v>
      </c>
      <c r="L1054" s="8" t="n">
        <v>7.49</v>
      </c>
      <c r="M1054" s="8" t="n">
        <v>7.82</v>
      </c>
      <c r="N1054" s="4" t="n">
        <v>7.29</v>
      </c>
    </row>
    <row r="1055">
      <c r="A1055" s="2" t="inlineStr">
        <is>
          <t>BRY0661</t>
        </is>
      </c>
      <c r="B1055" s="8" t="inlineStr">
        <is>
          <t>2031-01-01 00:00:00</t>
        </is>
      </c>
      <c r="C1055" s="8" t="n">
        <v>11.08</v>
      </c>
      <c r="D1055" s="8" t="n">
        <v>11.11</v>
      </c>
      <c r="E1055" s="8" t="n">
        <v>13.16</v>
      </c>
      <c r="F1055" s="8" t="n">
        <v>13.72</v>
      </c>
      <c r="G1055" s="8" t="n">
        <v>14.42</v>
      </c>
      <c r="H1055" s="8" t="n">
        <v>13.7</v>
      </c>
      <c r="I1055" s="8" t="n">
        <v>8.51</v>
      </c>
      <c r="J1055" s="8" t="n">
        <v>7.33</v>
      </c>
      <c r="K1055" s="8" t="n">
        <v>8.91</v>
      </c>
      <c r="L1055" s="8" t="n">
        <v>9.25</v>
      </c>
      <c r="M1055" s="8" t="n">
        <v>10.81</v>
      </c>
      <c r="N1055" s="4" t="n">
        <v>10.24</v>
      </c>
    </row>
    <row r="1056">
      <c r="A1056" s="2" t="inlineStr">
        <is>
          <t>BRY0661</t>
        </is>
      </c>
      <c r="B1056" s="8" t="inlineStr">
        <is>
          <t>2031-02-01 00:00:00</t>
        </is>
      </c>
      <c r="C1056" s="8" t="n">
        <v>11.64</v>
      </c>
      <c r="D1056" s="8" t="n">
        <v>12.25</v>
      </c>
      <c r="E1056" s="8" t="n">
        <v>12.93</v>
      </c>
      <c r="F1056" s="8" t="n">
        <v>12.21</v>
      </c>
      <c r="G1056" s="8" t="n">
        <v>14.66</v>
      </c>
      <c r="H1056" s="8" t="n">
        <v>14.48</v>
      </c>
      <c r="I1056" s="8" t="n">
        <v>9.92</v>
      </c>
      <c r="J1056" s="8" t="n">
        <v>7.56</v>
      </c>
      <c r="K1056" s="8" t="n">
        <v>8.25</v>
      </c>
      <c r="L1056" s="8" t="n">
        <v>8.23</v>
      </c>
      <c r="M1056" s="8" t="n">
        <v>9.69</v>
      </c>
      <c r="N1056" s="4" t="n">
        <v>10.05</v>
      </c>
    </row>
    <row r="1057">
      <c r="A1057" s="2" t="inlineStr">
        <is>
          <t>BRY0661</t>
        </is>
      </c>
      <c r="B1057" s="8" t="inlineStr">
        <is>
          <t>2031-03-01 00:00:00</t>
        </is>
      </c>
      <c r="C1057" s="8" t="n">
        <v>10.84</v>
      </c>
      <c r="D1057" s="8" t="n">
        <v>11.86</v>
      </c>
      <c r="E1057" s="8" t="n">
        <v>11.9</v>
      </c>
      <c r="F1057" s="8" t="n">
        <v>11.05</v>
      </c>
      <c r="G1057" s="8" t="n">
        <v>12.4</v>
      </c>
      <c r="H1057" s="8" t="n">
        <v>12.42</v>
      </c>
      <c r="I1057" s="8" t="n">
        <v>11.04</v>
      </c>
      <c r="J1057" s="8" t="n">
        <v>10.67</v>
      </c>
      <c r="K1057" s="8" t="n">
        <v>11.84</v>
      </c>
      <c r="L1057" s="8" t="n">
        <v>11.12</v>
      </c>
      <c r="M1057" s="8" t="n">
        <v>12.34</v>
      </c>
      <c r="N1057" s="4" t="n">
        <v>12.17</v>
      </c>
    </row>
    <row r="1058">
      <c r="A1058" s="2" t="inlineStr">
        <is>
          <t>BRY0661</t>
        </is>
      </c>
      <c r="B1058" s="8" t="inlineStr">
        <is>
          <t>2031-04-01 00:00:00</t>
        </is>
      </c>
      <c r="C1058" s="8" t="n">
        <v>16.55</v>
      </c>
      <c r="D1058" s="8" t="n">
        <v>17.44</v>
      </c>
      <c r="E1058" s="8" t="n">
        <v>16.77</v>
      </c>
      <c r="F1058" s="8" t="n">
        <v>16.46</v>
      </c>
      <c r="G1058" s="8" t="n">
        <v>18.72</v>
      </c>
      <c r="H1058" s="8" t="n">
        <v>17.75</v>
      </c>
      <c r="I1058" s="8" t="n">
        <v>14.85</v>
      </c>
      <c r="J1058" s="8" t="n">
        <v>14.23</v>
      </c>
      <c r="K1058" s="8" t="n">
        <v>15.61</v>
      </c>
      <c r="L1058" s="8" t="n">
        <v>14.59</v>
      </c>
      <c r="M1058" s="8" t="n">
        <v>17.36</v>
      </c>
      <c r="N1058" s="4" t="n">
        <v>15.98</v>
      </c>
    </row>
    <row r="1059">
      <c r="A1059" s="2" t="inlineStr">
        <is>
          <t>BRY0661</t>
        </is>
      </c>
      <c r="B1059" s="8" t="inlineStr">
        <is>
          <t>2031-05-01 00:00:00</t>
        </is>
      </c>
      <c r="C1059" s="8" t="n">
        <v>15.34</v>
      </c>
      <c r="D1059" s="8" t="n">
        <v>18.14</v>
      </c>
      <c r="E1059" s="8" t="n">
        <v>19.03</v>
      </c>
      <c r="F1059" s="8" t="n">
        <v>16.12</v>
      </c>
      <c r="G1059" s="8" t="n">
        <v>20.95</v>
      </c>
      <c r="H1059" s="8" t="n">
        <v>16.62</v>
      </c>
      <c r="I1059" s="8" t="n">
        <v>15.16</v>
      </c>
      <c r="J1059" s="8" t="n">
        <v>15.11</v>
      </c>
      <c r="K1059" s="8" t="n">
        <v>15.4</v>
      </c>
      <c r="L1059" s="8" t="n">
        <v>14.74</v>
      </c>
      <c r="M1059" s="8" t="n">
        <v>16.09</v>
      </c>
      <c r="N1059" s="4" t="n">
        <v>15.39</v>
      </c>
    </row>
    <row r="1060">
      <c r="A1060" s="5" t="inlineStr">
        <is>
          <t>BRY0661</t>
        </is>
      </c>
      <c r="B1060" s="9" t="inlineStr">
        <is>
          <t>2031-06-01 00:00:00</t>
        </is>
      </c>
      <c r="C1060" s="9" t="n">
        <v>15.61</v>
      </c>
      <c r="D1060" s="9" t="n">
        <v>18.39</v>
      </c>
      <c r="E1060" s="9" t="n">
        <v>24.95</v>
      </c>
      <c r="F1060" s="9" t="n">
        <v>16.67</v>
      </c>
      <c r="G1060" s="9" t="n">
        <v>25.66</v>
      </c>
      <c r="H1060" s="9" t="n">
        <v>17.29</v>
      </c>
      <c r="I1060" s="9" t="n">
        <v>15.04</v>
      </c>
      <c r="J1060" s="9" t="n">
        <v>14.05</v>
      </c>
      <c r="K1060" s="9" t="n">
        <v>15.99</v>
      </c>
      <c r="L1060" s="9" t="n">
        <v>15.08</v>
      </c>
      <c r="M1060" s="9" t="n">
        <v>17.78</v>
      </c>
      <c r="N1060" s="7" t="n">
        <v>17.52</v>
      </c>
    </row>
    <row r="1063" ht="30.75" customHeight="1">
      <c r="A1063" s="38" t="inlineStr">
        <is>
          <t>NZ NTOU Electricity Rates raw source schedule</t>
        </is>
      </c>
      <c r="B1063" s="38" t="n"/>
      <c r="C1063" s="38" t="n"/>
      <c r="D1063" s="38" t="n"/>
      <c r="E1063" s="38" t="n"/>
      <c r="F1063" s="38" t="n"/>
      <c r="G1063" s="38" t="n"/>
      <c r="H1063" s="38" t="n"/>
      <c r="I1063" s="38" t="n"/>
      <c r="J1063" s="38" t="n"/>
      <c r="K1063" s="38" t="n"/>
      <c r="L1063" s="38" t="n"/>
    </row>
    <row r="1064" ht="65.25" customHeight="1">
      <c r="A1064" s="39" t="inlineStr">
        <is>
          <t>ICP</t>
        </is>
      </c>
      <c r="B1064" s="40" t="inlineStr">
        <is>
          <t>Term</t>
        </is>
      </c>
      <c r="C1064" s="40" t="inlineStr">
        <is>
          <t>Estimated Anytime Price</t>
        </is>
      </c>
      <c r="D1064" s="40" t="inlineStr">
        <is>
          <t>Daily Charges</t>
        </is>
      </c>
      <c r="E1064" s="40" t="inlineStr">
        <is>
          <t>ICP.1</t>
        </is>
      </c>
      <c r="F1064" s="40" t="inlineStr">
        <is>
          <t>Term.1</t>
        </is>
      </c>
      <c r="G1064" s="40" t="inlineStr">
        <is>
          <t>Estimated Anytime Price.1</t>
        </is>
      </c>
      <c r="H1064" s="40" t="inlineStr">
        <is>
          <t>Daily Charges.1</t>
        </is>
      </c>
      <c r="I1064" s="40" t="inlineStr">
        <is>
          <t>ICP.2</t>
        </is>
      </c>
      <c r="J1064" s="40" t="inlineStr">
        <is>
          <t>Term.2</t>
        </is>
      </c>
      <c r="K1064" s="40" t="inlineStr">
        <is>
          <t>Estimated Anytime Price.2</t>
        </is>
      </c>
      <c r="L1064" s="41" t="inlineStr">
        <is>
          <t>Daily Charges.2</t>
        </is>
      </c>
    </row>
    <row r="1065">
      <c r="A1065" s="2" t="inlineStr">
        <is>
          <t>0000004290DEF89</t>
        </is>
      </c>
      <c r="B1065" s="8" t="inlineStr">
        <is>
          <t>12 Months</t>
        </is>
      </c>
      <c r="C1065" s="8" t="n">
        <v>19.55</v>
      </c>
      <c r="D1065" s="8" t="n">
        <v>199.98</v>
      </c>
      <c r="E1065" s="8" t="inlineStr">
        <is>
          <t>0000004290DEF89</t>
        </is>
      </c>
      <c r="F1065" s="8" t="inlineStr">
        <is>
          <t>24 Months</t>
        </is>
      </c>
      <c r="G1065" s="8" t="n">
        <v>19.74</v>
      </c>
      <c r="H1065" s="8" t="n">
        <v>199.98</v>
      </c>
      <c r="I1065" s="8" t="inlineStr">
        <is>
          <t>0000004290DEF89</t>
        </is>
      </c>
      <c r="J1065" s="8" t="inlineStr">
        <is>
          <t>36 Months</t>
        </is>
      </c>
      <c r="K1065" s="8" t="n">
        <v>19.88</v>
      </c>
      <c r="L1065" s="4" t="n">
        <v>199.98</v>
      </c>
    </row>
    <row r="1066">
      <c r="A1066" s="2" t="inlineStr">
        <is>
          <t>0000017346CEE5A</t>
        </is>
      </c>
      <c r="B1066" s="8" t="inlineStr">
        <is>
          <t>12 Months</t>
        </is>
      </c>
      <c r="C1066" s="8" t="n">
        <v>19.55</v>
      </c>
      <c r="D1066" s="8" t="n">
        <v>75.27</v>
      </c>
      <c r="E1066" s="8" t="inlineStr">
        <is>
          <t>0000017346CEE5A</t>
        </is>
      </c>
      <c r="F1066" s="8" t="inlineStr">
        <is>
          <t>24 Months</t>
        </is>
      </c>
      <c r="G1066" s="8" t="n">
        <v>19.74</v>
      </c>
      <c r="H1066" s="8" t="n">
        <v>75.27</v>
      </c>
      <c r="I1066" s="8" t="inlineStr">
        <is>
          <t>0000017346CEE5A</t>
        </is>
      </c>
      <c r="J1066" s="8" t="inlineStr">
        <is>
          <t>36 Months</t>
        </is>
      </c>
      <c r="K1066" s="8" t="n">
        <v>19.88</v>
      </c>
      <c r="L1066" s="4" t="n">
        <v>75.27</v>
      </c>
    </row>
    <row r="1067">
      <c r="A1067" s="2" t="inlineStr">
        <is>
          <t>0000024744TR7DE</t>
        </is>
      </c>
      <c r="B1067" s="8" t="inlineStr">
        <is>
          <t>12 Months</t>
        </is>
      </c>
      <c r="C1067" s="8" t="n">
        <v>22.82</v>
      </c>
      <c r="D1067" s="8" t="n">
        <v>611.14</v>
      </c>
      <c r="E1067" s="8" t="inlineStr">
        <is>
          <t>0000024744TR7DE</t>
        </is>
      </c>
      <c r="F1067" s="8" t="inlineStr">
        <is>
          <t>24 Months</t>
        </is>
      </c>
      <c r="G1067" s="8" t="n">
        <v>23.01</v>
      </c>
      <c r="H1067" s="8" t="n">
        <v>611.14</v>
      </c>
      <c r="I1067" s="8" t="inlineStr">
        <is>
          <t>0000024744TR7DE</t>
        </is>
      </c>
      <c r="J1067" s="8" t="inlineStr">
        <is>
          <t>36 Months</t>
        </is>
      </c>
      <c r="K1067" s="8" t="n">
        <v>23.15</v>
      </c>
      <c r="L1067" s="4" t="n">
        <v>611.14</v>
      </c>
    </row>
    <row r="1068">
      <c r="A1068" s="2" t="inlineStr">
        <is>
          <t>0000025040UN2AE</t>
        </is>
      </c>
      <c r="B1068" s="8" t="inlineStr">
        <is>
          <t>12 Months</t>
        </is>
      </c>
      <c r="C1068" s="8" t="n">
        <v>28.824368</v>
      </c>
      <c r="D1068" s="8" t="n">
        <v>265</v>
      </c>
      <c r="E1068" s="8" t="inlineStr">
        <is>
          <t>0000025040UN2AE</t>
        </is>
      </c>
      <c r="F1068" s="8" t="inlineStr">
        <is>
          <t>24 Months</t>
        </is>
      </c>
      <c r="G1068" s="8" t="n">
        <v>29.014368</v>
      </c>
      <c r="H1068" s="8" t="n">
        <v>265</v>
      </c>
      <c r="I1068" s="8" t="inlineStr">
        <is>
          <t>0000025040UN2AE</t>
        </is>
      </c>
      <c r="J1068" s="8" t="inlineStr">
        <is>
          <t>36 Months</t>
        </is>
      </c>
      <c r="K1068" s="8" t="n">
        <v>29.154368</v>
      </c>
      <c r="L1068" s="4" t="n">
        <v>265</v>
      </c>
    </row>
    <row r="1069">
      <c r="A1069" s="2" t="inlineStr">
        <is>
          <t>0000028649TRA01</t>
        </is>
      </c>
      <c r="B1069" s="8" t="inlineStr">
        <is>
          <t>12 Months</t>
        </is>
      </c>
      <c r="C1069" s="8" t="n">
        <v>22.82</v>
      </c>
      <c r="D1069" s="8" t="n">
        <v>527.5699999999999</v>
      </c>
      <c r="E1069" s="8" t="inlineStr">
        <is>
          <t>0000028649TRA01</t>
        </is>
      </c>
      <c r="F1069" s="8" t="inlineStr">
        <is>
          <t>24 Months</t>
        </is>
      </c>
      <c r="G1069" s="8" t="n">
        <v>23.01</v>
      </c>
      <c r="H1069" s="8" t="n">
        <v>527.5699999999999</v>
      </c>
      <c r="I1069" s="8" t="inlineStr">
        <is>
          <t>0000028649TRA01</t>
        </is>
      </c>
      <c r="J1069" s="8" t="inlineStr">
        <is>
          <t>36 Months</t>
        </is>
      </c>
      <c r="K1069" s="8" t="n">
        <v>23.15</v>
      </c>
      <c r="L1069" s="4" t="n">
        <v>527.5699999999999</v>
      </c>
    </row>
    <row r="1070">
      <c r="A1070" s="2" t="inlineStr">
        <is>
          <t>0000029575HBC93</t>
        </is>
      </c>
      <c r="B1070" s="8" t="inlineStr">
        <is>
          <t>12 Months</t>
        </is>
      </c>
      <c r="C1070" s="8" t="n">
        <v>24.35</v>
      </c>
      <c r="D1070" s="8" t="n">
        <v>973</v>
      </c>
      <c r="E1070" s="8" t="inlineStr">
        <is>
          <t>0000029575HBC93</t>
        </is>
      </c>
      <c r="F1070" s="8" t="inlineStr">
        <is>
          <t>24 Months</t>
        </is>
      </c>
      <c r="G1070" s="8" t="n">
        <v>24.54</v>
      </c>
      <c r="H1070" s="8" t="n">
        <v>973</v>
      </c>
      <c r="I1070" s="8" t="inlineStr">
        <is>
          <t>0000029575HBC93</t>
        </is>
      </c>
      <c r="J1070" s="8" t="inlineStr">
        <is>
          <t>36 Months</t>
        </is>
      </c>
      <c r="K1070" s="8" t="n">
        <v>24.68</v>
      </c>
      <c r="L1070" s="4" t="n">
        <v>973</v>
      </c>
    </row>
    <row r="1071">
      <c r="A1071" s="2" t="inlineStr">
        <is>
          <t>0000029746CH3C0</t>
        </is>
      </c>
      <c r="B1071" s="8" t="inlineStr">
        <is>
          <t>12 Months</t>
        </is>
      </c>
      <c r="C1071" s="8" t="n">
        <v>30.536651</v>
      </c>
      <c r="D1071" s="8" t="n">
        <v>476.57</v>
      </c>
      <c r="E1071" s="8" t="inlineStr">
        <is>
          <t>0000029746CH3C0</t>
        </is>
      </c>
      <c r="F1071" s="8" t="inlineStr">
        <is>
          <t>24 Months</t>
        </is>
      </c>
      <c r="G1071" s="8" t="n">
        <v>30.726651</v>
      </c>
      <c r="H1071" s="8" t="n">
        <v>476.57</v>
      </c>
      <c r="I1071" s="8" t="inlineStr">
        <is>
          <t>0000029746CH3C0</t>
        </is>
      </c>
      <c r="J1071" s="8" t="inlineStr">
        <is>
          <t>36 Months</t>
        </is>
      </c>
      <c r="K1071" s="8" t="n">
        <v>30.866651</v>
      </c>
      <c r="L1071" s="4" t="n">
        <v>476.57</v>
      </c>
    </row>
    <row r="1072">
      <c r="A1072" s="2" t="inlineStr">
        <is>
          <t>0000030443TR776</t>
        </is>
      </c>
      <c r="B1072" s="8" t="inlineStr">
        <is>
          <t>12 Months</t>
        </is>
      </c>
      <c r="C1072" s="8" t="n">
        <v>25.3432</v>
      </c>
      <c r="D1072" s="8" t="n">
        <v>232.51</v>
      </c>
      <c r="E1072" s="8" t="inlineStr">
        <is>
          <t>0000030443TR776</t>
        </is>
      </c>
      <c r="F1072" s="8" t="inlineStr">
        <is>
          <t>24 Months</t>
        </is>
      </c>
      <c r="G1072" s="8" t="n">
        <v>25.5332</v>
      </c>
      <c r="H1072" s="8" t="n">
        <v>232.51</v>
      </c>
      <c r="I1072" s="8" t="inlineStr">
        <is>
          <t>0000030443TR776</t>
        </is>
      </c>
      <c r="J1072" s="8" t="inlineStr">
        <is>
          <t>36 Months</t>
        </is>
      </c>
      <c r="K1072" s="8" t="n">
        <v>25.6732</v>
      </c>
      <c r="L1072" s="4" t="n">
        <v>232.51</v>
      </c>
    </row>
    <row r="1073">
      <c r="A1073" s="2" t="inlineStr">
        <is>
          <t>0000030446TRA39</t>
        </is>
      </c>
      <c r="B1073" s="8" t="inlineStr">
        <is>
          <t>12 Months</t>
        </is>
      </c>
      <c r="C1073" s="8" t="n">
        <v>25.3432</v>
      </c>
      <c r="D1073" s="8" t="n">
        <v>232.51</v>
      </c>
      <c r="E1073" s="8" t="inlineStr">
        <is>
          <t>0000030446TRA39</t>
        </is>
      </c>
      <c r="F1073" s="8" t="inlineStr">
        <is>
          <t>24 Months</t>
        </is>
      </c>
      <c r="G1073" s="8" t="n">
        <v>25.5332</v>
      </c>
      <c r="H1073" s="8" t="n">
        <v>232.51</v>
      </c>
      <c r="I1073" s="8" t="inlineStr">
        <is>
          <t>0000030446TRA39</t>
        </is>
      </c>
      <c r="J1073" s="8" t="inlineStr">
        <is>
          <t>36 Months</t>
        </is>
      </c>
      <c r="K1073" s="8" t="n">
        <v>25.6732</v>
      </c>
      <c r="L1073" s="4" t="n">
        <v>232.51</v>
      </c>
    </row>
    <row r="1074">
      <c r="A1074" s="2" t="inlineStr">
        <is>
          <t>0000041352NT1D5</t>
        </is>
      </c>
      <c r="B1074" s="8" t="inlineStr">
        <is>
          <t>12 Months</t>
        </is>
      </c>
      <c r="C1074" s="8" t="n">
        <v>19.55</v>
      </c>
      <c r="D1074" s="8" t="n">
        <v>73</v>
      </c>
      <c r="E1074" s="8" t="inlineStr">
        <is>
          <t>0000041352NT1D5</t>
        </is>
      </c>
      <c r="F1074" s="8" t="inlineStr">
        <is>
          <t>24 Months</t>
        </is>
      </c>
      <c r="G1074" s="8" t="n">
        <v>19.74</v>
      </c>
      <c r="H1074" s="8" t="n">
        <v>73</v>
      </c>
      <c r="I1074" s="8" t="inlineStr">
        <is>
          <t>0000041352NT1D5</t>
        </is>
      </c>
      <c r="J1074" s="8" t="inlineStr">
        <is>
          <t>36 Months</t>
        </is>
      </c>
      <c r="K1074" s="8" t="n">
        <v>19.88</v>
      </c>
      <c r="L1074" s="4" t="n">
        <v>73</v>
      </c>
    </row>
    <row r="1075">
      <c r="A1075" s="2" t="inlineStr">
        <is>
          <t>0000044234WE347</t>
        </is>
      </c>
      <c r="B1075" s="8" t="inlineStr">
        <is>
          <t>12 Months</t>
        </is>
      </c>
      <c r="C1075" s="8" t="n">
        <v>27.236927</v>
      </c>
      <c r="D1075" s="8" t="n">
        <v>423</v>
      </c>
      <c r="E1075" s="8" t="inlineStr">
        <is>
          <t>0000044234WE347</t>
        </is>
      </c>
      <c r="F1075" s="8" t="inlineStr">
        <is>
          <t>24 Months</t>
        </is>
      </c>
      <c r="G1075" s="8" t="n">
        <v>27.426927</v>
      </c>
      <c r="H1075" s="8" t="n">
        <v>423</v>
      </c>
      <c r="I1075" s="8" t="inlineStr">
        <is>
          <t>0000044234WE347</t>
        </is>
      </c>
      <c r="J1075" s="8" t="inlineStr">
        <is>
          <t>36 Months</t>
        </is>
      </c>
      <c r="K1075" s="8" t="n">
        <v>27.566927</v>
      </c>
      <c r="L1075" s="4" t="n">
        <v>423</v>
      </c>
    </row>
    <row r="1076">
      <c r="A1076" s="2" t="inlineStr">
        <is>
          <t>0000045869HR155</t>
        </is>
      </c>
      <c r="B1076" s="8" t="inlineStr">
        <is>
          <t>12 Months</t>
        </is>
      </c>
      <c r="C1076" s="8" t="n">
        <v>24.15</v>
      </c>
      <c r="D1076" s="8" t="n">
        <v>913</v>
      </c>
      <c r="E1076" s="8" t="inlineStr">
        <is>
          <t>0000045869HR155</t>
        </is>
      </c>
      <c r="F1076" s="8" t="inlineStr">
        <is>
          <t>24 Months</t>
        </is>
      </c>
      <c r="G1076" s="8" t="n">
        <v>24.34</v>
      </c>
      <c r="H1076" s="8" t="n">
        <v>913</v>
      </c>
      <c r="I1076" s="8" t="inlineStr">
        <is>
          <t>0000045869HR155</t>
        </is>
      </c>
      <c r="J1076" s="8" t="inlineStr">
        <is>
          <t>36 Months</t>
        </is>
      </c>
      <c r="K1076" s="8" t="n">
        <v>24.48</v>
      </c>
      <c r="L1076" s="4" t="n">
        <v>913</v>
      </c>
    </row>
    <row r="1077">
      <c r="A1077" s="2" t="inlineStr">
        <is>
          <t>0000048678UN93C</t>
        </is>
      </c>
      <c r="B1077" s="8" t="inlineStr">
        <is>
          <t>12 Months</t>
        </is>
      </c>
      <c r="C1077" s="8" t="n">
        <v>29.056816</v>
      </c>
      <c r="D1077" s="8" t="n">
        <v>252</v>
      </c>
      <c r="E1077" s="8" t="inlineStr">
        <is>
          <t>0000048678UN93C</t>
        </is>
      </c>
      <c r="F1077" s="8" t="inlineStr">
        <is>
          <t>24 Months</t>
        </is>
      </c>
      <c r="G1077" s="8" t="n">
        <v>29.246816</v>
      </c>
      <c r="H1077" s="8" t="n">
        <v>252</v>
      </c>
      <c r="I1077" s="8" t="inlineStr">
        <is>
          <t>0000048678UN93C</t>
        </is>
      </c>
      <c r="J1077" s="8" t="inlineStr">
        <is>
          <t>36 Months</t>
        </is>
      </c>
      <c r="K1077" s="8" t="n">
        <v>29.386816</v>
      </c>
      <c r="L1077" s="4" t="n">
        <v>252</v>
      </c>
    </row>
    <row r="1078">
      <c r="A1078" s="2" t="inlineStr">
        <is>
          <t>0000050496WT310</t>
        </is>
      </c>
      <c r="B1078" s="8" t="inlineStr">
        <is>
          <t>12 Months</t>
        </is>
      </c>
      <c r="C1078" s="8" t="n">
        <v>22.2600808</v>
      </c>
      <c r="D1078" s="8" t="n">
        <v>470.3</v>
      </c>
      <c r="E1078" s="8" t="inlineStr">
        <is>
          <t>0000050496WT310</t>
        </is>
      </c>
      <c r="F1078" s="8" t="inlineStr">
        <is>
          <t>24 Months</t>
        </is>
      </c>
      <c r="G1078" s="8" t="n">
        <v>22.4500808</v>
      </c>
      <c r="H1078" s="8" t="n">
        <v>470.3</v>
      </c>
      <c r="I1078" s="8" t="inlineStr">
        <is>
          <t>0000050496WT310</t>
        </is>
      </c>
      <c r="J1078" s="8" t="inlineStr">
        <is>
          <t>36 Months</t>
        </is>
      </c>
      <c r="K1078" s="8" t="n">
        <v>22.5900808</v>
      </c>
      <c r="L1078" s="4" t="n">
        <v>470.3</v>
      </c>
    </row>
    <row r="1079">
      <c r="A1079" s="2" t="inlineStr">
        <is>
          <t>0000052765HB960</t>
        </is>
      </c>
      <c r="B1079" s="8" t="inlineStr">
        <is>
          <t>12 Months</t>
        </is>
      </c>
      <c r="C1079" s="8" t="n">
        <v>29.8106</v>
      </c>
      <c r="D1079" s="8" t="n">
        <v>223</v>
      </c>
      <c r="E1079" s="8" t="inlineStr">
        <is>
          <t>0000052765HB960</t>
        </is>
      </c>
      <c r="F1079" s="8" t="inlineStr">
        <is>
          <t>24 Months</t>
        </is>
      </c>
      <c r="G1079" s="8" t="n">
        <v>30.0006</v>
      </c>
      <c r="H1079" s="8" t="n">
        <v>223</v>
      </c>
      <c r="I1079" s="8" t="inlineStr">
        <is>
          <t>0000052765HB960</t>
        </is>
      </c>
      <c r="J1079" s="8" t="inlineStr">
        <is>
          <t>36 Months</t>
        </is>
      </c>
      <c r="K1079" s="8" t="n">
        <v>30.1406</v>
      </c>
      <c r="L1079" s="4" t="n">
        <v>223</v>
      </c>
    </row>
    <row r="1080">
      <c r="A1080" s="2" t="inlineStr">
        <is>
          <t>0000055490UN954</t>
        </is>
      </c>
      <c r="B1080" s="8" t="inlineStr">
        <is>
          <t>12 Months</t>
        </is>
      </c>
      <c r="C1080" s="8" t="n">
        <v>29.056816</v>
      </c>
      <c r="D1080" s="8" t="n">
        <v>252</v>
      </c>
      <c r="E1080" s="8" t="inlineStr">
        <is>
          <t>0000055490UN954</t>
        </is>
      </c>
      <c r="F1080" s="8" t="inlineStr">
        <is>
          <t>24 Months</t>
        </is>
      </c>
      <c r="G1080" s="8" t="n">
        <v>29.246816</v>
      </c>
      <c r="H1080" s="8" t="n">
        <v>252</v>
      </c>
      <c r="I1080" s="8" t="inlineStr">
        <is>
          <t>0000055490UN954</t>
        </is>
      </c>
      <c r="J1080" s="8" t="inlineStr">
        <is>
          <t>36 Months</t>
        </is>
      </c>
      <c r="K1080" s="8" t="n">
        <v>29.386816</v>
      </c>
      <c r="L1080" s="4" t="n">
        <v>252</v>
      </c>
    </row>
    <row r="1081">
      <c r="A1081" s="2" t="inlineStr">
        <is>
          <t>0000055906UN234</t>
        </is>
      </c>
      <c r="B1081" s="8" t="inlineStr">
        <is>
          <t>12 Months</t>
        </is>
      </c>
      <c r="C1081" s="8" t="n">
        <v>29.056816</v>
      </c>
      <c r="D1081" s="8" t="n">
        <v>252</v>
      </c>
      <c r="E1081" s="8" t="inlineStr">
        <is>
          <t>0000055906UN234</t>
        </is>
      </c>
      <c r="F1081" s="8" t="inlineStr">
        <is>
          <t>24 Months</t>
        </is>
      </c>
      <c r="G1081" s="8" t="n">
        <v>29.246816</v>
      </c>
      <c r="H1081" s="8" t="n">
        <v>252</v>
      </c>
      <c r="I1081" s="8" t="inlineStr">
        <is>
          <t>0000055906UN234</t>
        </is>
      </c>
      <c r="J1081" s="8" t="inlineStr">
        <is>
          <t>36 Months</t>
        </is>
      </c>
      <c r="K1081" s="8" t="n">
        <v>29.386816</v>
      </c>
      <c r="L1081" s="4" t="n">
        <v>252</v>
      </c>
    </row>
    <row r="1082">
      <c r="A1082" s="2" t="inlineStr">
        <is>
          <t>0000055908UN1AF</t>
        </is>
      </c>
      <c r="B1082" s="8" t="inlineStr">
        <is>
          <t>12 Months</t>
        </is>
      </c>
      <c r="C1082" s="8" t="n">
        <v>29.056816</v>
      </c>
      <c r="D1082" s="8" t="n">
        <v>252</v>
      </c>
      <c r="E1082" s="8" t="inlineStr">
        <is>
          <t>0000055908UN1AF</t>
        </is>
      </c>
      <c r="F1082" s="8" t="inlineStr">
        <is>
          <t>24 Months</t>
        </is>
      </c>
      <c r="G1082" s="8" t="n">
        <v>29.246816</v>
      </c>
      <c r="H1082" s="8" t="n">
        <v>252</v>
      </c>
      <c r="I1082" s="8" t="inlineStr">
        <is>
          <t>0000055908UN1AF</t>
        </is>
      </c>
      <c r="J1082" s="8" t="inlineStr">
        <is>
          <t>36 Months</t>
        </is>
      </c>
      <c r="K1082" s="8" t="n">
        <v>29.386816</v>
      </c>
      <c r="L1082" s="4" t="n">
        <v>252</v>
      </c>
    </row>
    <row r="1083">
      <c r="A1083" s="2" t="inlineStr">
        <is>
          <t>0000058140WE772</t>
        </is>
      </c>
      <c r="B1083" s="8" t="inlineStr">
        <is>
          <t>12 Months</t>
        </is>
      </c>
      <c r="C1083" s="8" t="n">
        <v>27.236927</v>
      </c>
      <c r="D1083" s="8" t="n">
        <v>423</v>
      </c>
      <c r="E1083" s="8" t="inlineStr">
        <is>
          <t>0000058140WE772</t>
        </is>
      </c>
      <c r="F1083" s="8" t="inlineStr">
        <is>
          <t>24 Months</t>
        </is>
      </c>
      <c r="G1083" s="8" t="n">
        <v>27.426927</v>
      </c>
      <c r="H1083" s="8" t="n">
        <v>423</v>
      </c>
      <c r="I1083" s="8" t="inlineStr">
        <is>
          <t>0000058140WE772</t>
        </is>
      </c>
      <c r="J1083" s="8" t="inlineStr">
        <is>
          <t>36 Months</t>
        </is>
      </c>
      <c r="K1083" s="8" t="n">
        <v>27.566927</v>
      </c>
      <c r="L1083" s="4" t="n">
        <v>423</v>
      </c>
    </row>
    <row r="1084">
      <c r="A1084" s="2" t="inlineStr">
        <is>
          <t>0000058309TR718</t>
        </is>
      </c>
      <c r="B1084" s="8" t="inlineStr">
        <is>
          <t>12 Months</t>
        </is>
      </c>
      <c r="C1084" s="8" t="n">
        <v>25.3432</v>
      </c>
      <c r="D1084" s="8" t="n">
        <v>232.51</v>
      </c>
      <c r="E1084" s="8" t="inlineStr">
        <is>
          <t>0000058309TR718</t>
        </is>
      </c>
      <c r="F1084" s="8" t="inlineStr">
        <is>
          <t>24 Months</t>
        </is>
      </c>
      <c r="G1084" s="8" t="n">
        <v>25.5332</v>
      </c>
      <c r="H1084" s="8" t="n">
        <v>232.51</v>
      </c>
      <c r="I1084" s="8" t="inlineStr">
        <is>
          <t>0000058309TR718</t>
        </is>
      </c>
      <c r="J1084" s="8" t="inlineStr">
        <is>
          <t>36 Months</t>
        </is>
      </c>
      <c r="K1084" s="8" t="n">
        <v>25.6732</v>
      </c>
      <c r="L1084" s="4" t="n">
        <v>232.51</v>
      </c>
    </row>
    <row r="1085">
      <c r="A1085" s="2" t="inlineStr">
        <is>
          <t>0000064350CP5A6</t>
        </is>
      </c>
      <c r="B1085" s="8" t="inlineStr">
        <is>
          <t>12 Months</t>
        </is>
      </c>
      <c r="C1085" s="8" t="n">
        <v>29.427872</v>
      </c>
      <c r="D1085" s="8" t="n">
        <v>221</v>
      </c>
      <c r="E1085" s="8" t="inlineStr">
        <is>
          <t>0000064350CP5A6</t>
        </is>
      </c>
      <c r="F1085" s="8" t="inlineStr">
        <is>
          <t>24 Months</t>
        </is>
      </c>
      <c r="G1085" s="8" t="n">
        <v>29.617872</v>
      </c>
      <c r="H1085" s="8" t="n">
        <v>221</v>
      </c>
      <c r="I1085" s="8" t="inlineStr">
        <is>
          <t>0000064350CP5A6</t>
        </is>
      </c>
      <c r="J1085" s="8" t="inlineStr">
        <is>
          <t>36 Months</t>
        </is>
      </c>
      <c r="K1085" s="8" t="n">
        <v>29.757872</v>
      </c>
      <c r="L1085" s="4" t="n">
        <v>221</v>
      </c>
    </row>
    <row r="1086">
      <c r="A1086" s="2" t="inlineStr">
        <is>
          <t>0000166865CKBDD</t>
        </is>
      </c>
      <c r="B1086" s="8" t="inlineStr">
        <is>
          <t>12 Months</t>
        </is>
      </c>
      <c r="C1086" s="8" t="n">
        <v>22.82</v>
      </c>
      <c r="D1086" s="8" t="n">
        <v>527.5699999999999</v>
      </c>
      <c r="E1086" s="8" t="inlineStr">
        <is>
          <t>0000166865CKBDD</t>
        </is>
      </c>
      <c r="F1086" s="8" t="inlineStr">
        <is>
          <t>24 Months</t>
        </is>
      </c>
      <c r="G1086" s="8" t="n">
        <v>23.01</v>
      </c>
      <c r="H1086" s="8" t="n">
        <v>527.5699999999999</v>
      </c>
      <c r="I1086" s="8" t="inlineStr">
        <is>
          <t>0000166865CKBDD</t>
        </is>
      </c>
      <c r="J1086" s="8" t="inlineStr">
        <is>
          <t>36 Months</t>
        </is>
      </c>
      <c r="K1086" s="8" t="n">
        <v>23.15</v>
      </c>
      <c r="L1086" s="4" t="n">
        <v>527.5699999999999</v>
      </c>
    </row>
    <row r="1087">
      <c r="A1087" s="2" t="inlineStr">
        <is>
          <t>0000166949CKC92</t>
        </is>
      </c>
      <c r="B1087" s="8" t="inlineStr">
        <is>
          <t>12 Months</t>
        </is>
      </c>
      <c r="C1087" s="8" t="n">
        <v>22.82</v>
      </c>
      <c r="D1087" s="8" t="n">
        <v>527.5699999999999</v>
      </c>
      <c r="E1087" s="8" t="inlineStr">
        <is>
          <t>0000166949CKC92</t>
        </is>
      </c>
      <c r="F1087" s="8" t="inlineStr">
        <is>
          <t>24 Months</t>
        </is>
      </c>
      <c r="G1087" s="8" t="n">
        <v>23.01</v>
      </c>
      <c r="H1087" s="8" t="n">
        <v>527.5699999999999</v>
      </c>
      <c r="I1087" s="8" t="inlineStr">
        <is>
          <t>0000166949CKC92</t>
        </is>
      </c>
      <c r="J1087" s="8" t="inlineStr">
        <is>
          <t>36 Months</t>
        </is>
      </c>
      <c r="K1087" s="8" t="n">
        <v>23.15</v>
      </c>
      <c r="L1087" s="4" t="n">
        <v>527.5699999999999</v>
      </c>
    </row>
    <row r="1088">
      <c r="A1088" s="2" t="inlineStr">
        <is>
          <t>0000170681CKB47</t>
        </is>
      </c>
      <c r="B1088" s="8" t="inlineStr">
        <is>
          <t>12 Months</t>
        </is>
      </c>
      <c r="C1088" s="8" t="n">
        <v>25.3432</v>
      </c>
      <c r="D1088" s="8" t="n">
        <v>232.51</v>
      </c>
      <c r="E1088" s="8" t="inlineStr">
        <is>
          <t>0000170681CKB47</t>
        </is>
      </c>
      <c r="F1088" s="8" t="inlineStr">
        <is>
          <t>24 Months</t>
        </is>
      </c>
      <c r="G1088" s="8" t="n">
        <v>25.5332</v>
      </c>
      <c r="H1088" s="8" t="n">
        <v>232.51</v>
      </c>
      <c r="I1088" s="8" t="inlineStr">
        <is>
          <t>0000170681CKB47</t>
        </is>
      </c>
      <c r="J1088" s="8" t="inlineStr">
        <is>
          <t>36 Months</t>
        </is>
      </c>
      <c r="K1088" s="8" t="n">
        <v>25.6732</v>
      </c>
      <c r="L1088" s="4" t="n">
        <v>232.51</v>
      </c>
    </row>
    <row r="1089">
      <c r="A1089" s="2" t="inlineStr">
        <is>
          <t>0000172164CK0F0</t>
        </is>
      </c>
      <c r="B1089" s="8" t="inlineStr">
        <is>
          <t>12 Months</t>
        </is>
      </c>
      <c r="C1089" s="8" t="n">
        <v>22.82</v>
      </c>
      <c r="D1089" s="8" t="n">
        <v>527.5699999999999</v>
      </c>
      <c r="E1089" s="8" t="inlineStr">
        <is>
          <t>0000172164CK0F0</t>
        </is>
      </c>
      <c r="F1089" s="8" t="inlineStr">
        <is>
          <t>24 Months</t>
        </is>
      </c>
      <c r="G1089" s="8" t="n">
        <v>23.01</v>
      </c>
      <c r="H1089" s="8" t="n">
        <v>527.5699999999999</v>
      </c>
      <c r="I1089" s="8" t="inlineStr">
        <is>
          <t>0000172164CK0F0</t>
        </is>
      </c>
      <c r="J1089" s="8" t="inlineStr">
        <is>
          <t>36 Months</t>
        </is>
      </c>
      <c r="K1089" s="8" t="n">
        <v>23.15</v>
      </c>
      <c r="L1089" s="4" t="n">
        <v>527.5699999999999</v>
      </c>
    </row>
    <row r="1090">
      <c r="A1090" s="2" t="inlineStr">
        <is>
          <t>0000172288CKA57</t>
        </is>
      </c>
      <c r="B1090" s="8" t="inlineStr">
        <is>
          <t>12 Months</t>
        </is>
      </c>
      <c r="C1090" s="8" t="n">
        <v>25.3432</v>
      </c>
      <c r="D1090" s="8" t="n">
        <v>232.51</v>
      </c>
      <c r="E1090" s="8" t="inlineStr">
        <is>
          <t>0000172288CKA57</t>
        </is>
      </c>
      <c r="F1090" s="8" t="inlineStr">
        <is>
          <t>24 Months</t>
        </is>
      </c>
      <c r="G1090" s="8" t="n">
        <v>25.5332</v>
      </c>
      <c r="H1090" s="8" t="n">
        <v>232.51</v>
      </c>
      <c r="I1090" s="8" t="inlineStr">
        <is>
          <t>0000172288CKA57</t>
        </is>
      </c>
      <c r="J1090" s="8" t="inlineStr">
        <is>
          <t>36 Months</t>
        </is>
      </c>
      <c r="K1090" s="8" t="n">
        <v>25.6732</v>
      </c>
      <c r="L1090" s="4" t="n">
        <v>232.51</v>
      </c>
    </row>
    <row r="1091">
      <c r="A1091" s="2" t="inlineStr">
        <is>
          <t>0000175917CKD00</t>
        </is>
      </c>
      <c r="B1091" s="8" t="inlineStr">
        <is>
          <t>12 Months</t>
        </is>
      </c>
      <c r="C1091" s="8" t="n">
        <v>22.82</v>
      </c>
      <c r="D1091" s="8" t="n">
        <v>527.5699999999999</v>
      </c>
      <c r="E1091" s="8" t="inlineStr">
        <is>
          <t>0000175917CKD00</t>
        </is>
      </c>
      <c r="F1091" s="8" t="inlineStr">
        <is>
          <t>24 Months</t>
        </is>
      </c>
      <c r="G1091" s="8" t="n">
        <v>23.01</v>
      </c>
      <c r="H1091" s="8" t="n">
        <v>527.5699999999999</v>
      </c>
      <c r="I1091" s="8" t="inlineStr">
        <is>
          <t>0000175917CKD00</t>
        </is>
      </c>
      <c r="J1091" s="8" t="inlineStr">
        <is>
          <t>36 Months</t>
        </is>
      </c>
      <c r="K1091" s="8" t="n">
        <v>23.15</v>
      </c>
      <c r="L1091" s="4" t="n">
        <v>527.5699999999999</v>
      </c>
    </row>
    <row r="1092">
      <c r="A1092" s="2" t="inlineStr">
        <is>
          <t>0000188682UNB66</t>
        </is>
      </c>
      <c r="B1092" s="8" t="inlineStr">
        <is>
          <t>12 Months</t>
        </is>
      </c>
      <c r="C1092" s="8" t="n">
        <v>19.55</v>
      </c>
      <c r="D1092" s="8" t="n">
        <v>312.28</v>
      </c>
      <c r="E1092" s="8" t="inlineStr">
        <is>
          <t>0000188682UNB66</t>
        </is>
      </c>
      <c r="F1092" s="8" t="inlineStr">
        <is>
          <t>24 Months</t>
        </is>
      </c>
      <c r="G1092" s="8" t="n">
        <v>19.74</v>
      </c>
      <c r="H1092" s="8" t="n">
        <v>312.28</v>
      </c>
      <c r="I1092" s="8" t="inlineStr">
        <is>
          <t>0000188682UNB66</t>
        </is>
      </c>
      <c r="J1092" s="8" t="inlineStr">
        <is>
          <t>36 Months</t>
        </is>
      </c>
      <c r="K1092" s="8" t="n">
        <v>19.88</v>
      </c>
      <c r="L1092" s="4" t="n">
        <v>312.28</v>
      </c>
    </row>
    <row r="1093">
      <c r="A1093" s="2" t="inlineStr">
        <is>
          <t>0000188684UNAE9</t>
        </is>
      </c>
      <c r="B1093" s="8" t="inlineStr">
        <is>
          <t>12 Months</t>
        </is>
      </c>
      <c r="C1093" s="8" t="n">
        <v>19.55</v>
      </c>
      <c r="D1093" s="8" t="n">
        <v>312.28</v>
      </c>
      <c r="E1093" s="8" t="inlineStr">
        <is>
          <t>0000188684UNAE9</t>
        </is>
      </c>
      <c r="F1093" s="8" t="inlineStr">
        <is>
          <t>24 Months</t>
        </is>
      </c>
      <c r="G1093" s="8" t="n">
        <v>19.74</v>
      </c>
      <c r="H1093" s="8" t="n">
        <v>312.28</v>
      </c>
      <c r="I1093" s="8" t="inlineStr">
        <is>
          <t>0000188684UNAE9</t>
        </is>
      </c>
      <c r="J1093" s="8" t="inlineStr">
        <is>
          <t>36 Months</t>
        </is>
      </c>
      <c r="K1093" s="8" t="n">
        <v>19.88</v>
      </c>
      <c r="L1093" s="4" t="n">
        <v>312.28</v>
      </c>
    </row>
    <row r="1094">
      <c r="A1094" s="2" t="inlineStr">
        <is>
          <t>0000207625DE64D</t>
        </is>
      </c>
      <c r="B1094" s="8" t="inlineStr">
        <is>
          <t>12 Months</t>
        </is>
      </c>
      <c r="C1094" s="8" t="n">
        <v>19.55</v>
      </c>
      <c r="D1094" s="8" t="n">
        <v>199.98</v>
      </c>
      <c r="E1094" s="8" t="inlineStr">
        <is>
          <t>0000207625DE64D</t>
        </is>
      </c>
      <c r="F1094" s="8" t="inlineStr">
        <is>
          <t>24 Months</t>
        </is>
      </c>
      <c r="G1094" s="8" t="n">
        <v>19.74</v>
      </c>
      <c r="H1094" s="8" t="n">
        <v>199.98</v>
      </c>
      <c r="I1094" s="8" t="inlineStr">
        <is>
          <t>0000207625DE64D</t>
        </is>
      </c>
      <c r="J1094" s="8" t="inlineStr">
        <is>
          <t>36 Months</t>
        </is>
      </c>
      <c r="K1094" s="8" t="n">
        <v>19.88</v>
      </c>
      <c r="L1094" s="4" t="n">
        <v>199.98</v>
      </c>
    </row>
    <row r="1095">
      <c r="A1095" s="2" t="inlineStr">
        <is>
          <t>0000212636WE1AF</t>
        </is>
      </c>
      <c r="B1095" s="8" t="inlineStr">
        <is>
          <t>12 Months</t>
        </is>
      </c>
      <c r="C1095" s="8" t="n">
        <v>27.236927</v>
      </c>
      <c r="D1095" s="8" t="n">
        <v>506.57</v>
      </c>
      <c r="E1095" s="8" t="inlineStr">
        <is>
          <t>0000212636WE1AF</t>
        </is>
      </c>
      <c r="F1095" s="8" t="inlineStr">
        <is>
          <t>24 Months</t>
        </is>
      </c>
      <c r="G1095" s="8" t="n">
        <v>27.426927</v>
      </c>
      <c r="H1095" s="8" t="n">
        <v>506.57</v>
      </c>
      <c r="I1095" s="8" t="inlineStr">
        <is>
          <t>0000212636WE1AF</t>
        </is>
      </c>
      <c r="J1095" s="8" t="inlineStr">
        <is>
          <t>36 Months</t>
        </is>
      </c>
      <c r="K1095" s="8" t="n">
        <v>27.566927</v>
      </c>
      <c r="L1095" s="4" t="n">
        <v>506.57</v>
      </c>
    </row>
    <row r="1096">
      <c r="A1096" s="2" t="inlineStr">
        <is>
          <t>0000260933MP6FD</t>
        </is>
      </c>
      <c r="B1096" s="8" t="inlineStr">
        <is>
          <t>12 Months</t>
        </is>
      </c>
      <c r="C1096" s="8" t="n">
        <v>24.007</v>
      </c>
      <c r="D1096" s="8" t="n">
        <v>582.337</v>
      </c>
      <c r="E1096" s="8" t="inlineStr">
        <is>
          <t>0000260933MP6FD</t>
        </is>
      </c>
      <c r="F1096" s="8" t="inlineStr">
        <is>
          <t>24 Months</t>
        </is>
      </c>
      <c r="G1096" s="8" t="n">
        <v>24.197</v>
      </c>
      <c r="H1096" s="8" t="n">
        <v>582.337</v>
      </c>
      <c r="I1096" s="8" t="inlineStr">
        <is>
          <t>0000260933MP6FD</t>
        </is>
      </c>
      <c r="J1096" s="8" t="inlineStr">
        <is>
          <t>36 Months</t>
        </is>
      </c>
      <c r="K1096" s="8" t="n">
        <v>24.337</v>
      </c>
      <c r="L1096" s="4" t="n">
        <v>582.337</v>
      </c>
    </row>
    <row r="1097">
      <c r="A1097" s="2" t="inlineStr">
        <is>
          <t>0000260936MPBB2</t>
        </is>
      </c>
      <c r="B1097" s="8" t="inlineStr">
        <is>
          <t>12 Months</t>
        </is>
      </c>
      <c r="C1097" s="8" t="n">
        <v>24.007</v>
      </c>
      <c r="D1097" s="8" t="n">
        <v>582.337</v>
      </c>
      <c r="E1097" s="8" t="inlineStr">
        <is>
          <t>0000260936MPBB2</t>
        </is>
      </c>
      <c r="F1097" s="8" t="inlineStr">
        <is>
          <t>24 Months</t>
        </is>
      </c>
      <c r="G1097" s="8" t="n">
        <v>24.197</v>
      </c>
      <c r="H1097" s="8" t="n">
        <v>582.337</v>
      </c>
      <c r="I1097" s="8" t="inlineStr">
        <is>
          <t>0000260936MPBB2</t>
        </is>
      </c>
      <c r="J1097" s="8" t="inlineStr">
        <is>
          <t>36 Months</t>
        </is>
      </c>
      <c r="K1097" s="8" t="n">
        <v>24.337</v>
      </c>
      <c r="L1097" s="4" t="n">
        <v>582.337</v>
      </c>
    </row>
    <row r="1098">
      <c r="A1098" s="2" t="inlineStr">
        <is>
          <t>0000312551WT450</t>
        </is>
      </c>
      <c r="B1098" s="8" t="inlineStr">
        <is>
          <t>12 Months</t>
        </is>
      </c>
      <c r="C1098" s="8" t="n">
        <v>22.2600808</v>
      </c>
      <c r="D1098" s="8" t="n">
        <v>470.3</v>
      </c>
      <c r="E1098" s="8" t="inlineStr">
        <is>
          <t>0000312551WT450</t>
        </is>
      </c>
      <c r="F1098" s="8" t="inlineStr">
        <is>
          <t>24 Months</t>
        </is>
      </c>
      <c r="G1098" s="8" t="n">
        <v>22.4500808</v>
      </c>
      <c r="H1098" s="8" t="n">
        <v>470.3</v>
      </c>
      <c r="I1098" s="8" t="inlineStr">
        <is>
          <t>0000312551WT450</t>
        </is>
      </c>
      <c r="J1098" s="8" t="inlineStr">
        <is>
          <t>36 Months</t>
        </is>
      </c>
      <c r="K1098" s="8" t="n">
        <v>22.5900808</v>
      </c>
      <c r="L1098" s="4" t="n">
        <v>470.3</v>
      </c>
    </row>
    <row r="1099">
      <c r="A1099" s="2" t="inlineStr">
        <is>
          <t>0000351696EN0A9</t>
        </is>
      </c>
      <c r="B1099" s="8" t="inlineStr">
        <is>
          <t>12 Months</t>
        </is>
      </c>
      <c r="C1099" s="8" t="n">
        <v>24.391152</v>
      </c>
      <c r="D1099" s="8" t="n">
        <v>403.71</v>
      </c>
      <c r="E1099" s="8" t="inlineStr">
        <is>
          <t>0000351696EN0A9</t>
        </is>
      </c>
      <c r="F1099" s="8" t="inlineStr">
        <is>
          <t>24 Months</t>
        </is>
      </c>
      <c r="G1099" s="8" t="n">
        <v>24.581152</v>
      </c>
      <c r="H1099" s="8" t="n">
        <v>403.71</v>
      </c>
      <c r="I1099" s="8" t="inlineStr">
        <is>
          <t>0000351696EN0A9</t>
        </is>
      </c>
      <c r="J1099" s="8" t="inlineStr">
        <is>
          <t>36 Months</t>
        </is>
      </c>
      <c r="K1099" s="8" t="n">
        <v>24.721152</v>
      </c>
      <c r="L1099" s="4" t="n">
        <v>403.71</v>
      </c>
    </row>
    <row r="1100">
      <c r="A1100" s="2" t="inlineStr">
        <is>
          <t>0000351698EN332</t>
        </is>
      </c>
      <c r="B1100" s="8" t="inlineStr">
        <is>
          <t>12 Months</t>
        </is>
      </c>
      <c r="C1100" s="8" t="n">
        <v>25.812496</v>
      </c>
      <c r="D1100" s="8" t="n">
        <v>1460.78</v>
      </c>
      <c r="E1100" s="8" t="inlineStr">
        <is>
          <t>0000351698EN332</t>
        </is>
      </c>
      <c r="F1100" s="8" t="inlineStr">
        <is>
          <t>24 Months</t>
        </is>
      </c>
      <c r="G1100" s="8" t="n">
        <v>26.002496</v>
      </c>
      <c r="H1100" s="8" t="n">
        <v>1460.78</v>
      </c>
      <c r="I1100" s="8" t="inlineStr">
        <is>
          <t>0000351698EN332</t>
        </is>
      </c>
      <c r="J1100" s="8" t="inlineStr">
        <is>
          <t>36 Months</t>
        </is>
      </c>
      <c r="K1100" s="8" t="n">
        <v>26.142496</v>
      </c>
      <c r="L1100" s="4" t="n">
        <v>1460.78</v>
      </c>
    </row>
    <row r="1101">
      <c r="A1101" s="2" t="inlineStr">
        <is>
          <t>0000382532TPE86</t>
        </is>
      </c>
      <c r="B1101" s="8" t="inlineStr">
        <is>
          <t>12 Months</t>
        </is>
      </c>
      <c r="C1101" s="8" t="n">
        <v>27.4738689</v>
      </c>
      <c r="D1101" s="8" t="n">
        <v>232.61</v>
      </c>
      <c r="E1101" s="8" t="inlineStr">
        <is>
          <t>0000382532TPE86</t>
        </is>
      </c>
      <c r="F1101" s="8" t="inlineStr">
        <is>
          <t>24 Months</t>
        </is>
      </c>
      <c r="G1101" s="8" t="n">
        <v>27.6638689</v>
      </c>
      <c r="H1101" s="8" t="n">
        <v>232.61</v>
      </c>
      <c r="I1101" s="8" t="inlineStr">
        <is>
          <t>0000382532TPE86</t>
        </is>
      </c>
      <c r="J1101" s="8" t="inlineStr">
        <is>
          <t>36 Months</t>
        </is>
      </c>
      <c r="K1101" s="8" t="n">
        <v>27.8038689</v>
      </c>
      <c r="L1101" s="4" t="n">
        <v>232.61</v>
      </c>
    </row>
    <row r="1102">
      <c r="A1102" s="2" t="inlineStr">
        <is>
          <t>0000386961TP0C2</t>
        </is>
      </c>
      <c r="B1102" s="8" t="inlineStr">
        <is>
          <t>12 Months</t>
        </is>
      </c>
      <c r="C1102" s="8" t="n">
        <v>27.4738689</v>
      </c>
      <c r="D1102" s="8" t="n">
        <v>232.61</v>
      </c>
      <c r="E1102" s="8" t="inlineStr">
        <is>
          <t>0000386961TP0C2</t>
        </is>
      </c>
      <c r="F1102" s="8" t="inlineStr">
        <is>
          <t>24 Months</t>
        </is>
      </c>
      <c r="G1102" s="8" t="n">
        <v>27.6638689</v>
      </c>
      <c r="H1102" s="8" t="n">
        <v>232.61</v>
      </c>
      <c r="I1102" s="8" t="inlineStr">
        <is>
          <t>0000386961TP0C2</t>
        </is>
      </c>
      <c r="J1102" s="8" t="inlineStr">
        <is>
          <t>36 Months</t>
        </is>
      </c>
      <c r="K1102" s="8" t="n">
        <v>27.8038689</v>
      </c>
      <c r="L1102" s="4" t="n">
        <v>232.61</v>
      </c>
    </row>
    <row r="1103">
      <c r="A1103" s="2" t="inlineStr">
        <is>
          <t>0000405525TP7AF</t>
        </is>
      </c>
      <c r="B1103" s="8" t="inlineStr">
        <is>
          <t>12 Months</t>
        </is>
      </c>
      <c r="C1103" s="8" t="n">
        <v>27.4738689</v>
      </c>
      <c r="D1103" s="8" t="n">
        <v>882.54</v>
      </c>
      <c r="E1103" s="8" t="inlineStr">
        <is>
          <t>0000405525TP7AF</t>
        </is>
      </c>
      <c r="F1103" s="8" t="inlineStr">
        <is>
          <t>24 Months</t>
        </is>
      </c>
      <c r="G1103" s="8" t="n">
        <v>27.6638689</v>
      </c>
      <c r="H1103" s="8" t="n">
        <v>882.54</v>
      </c>
      <c r="I1103" s="8" t="inlineStr">
        <is>
          <t>0000405525TP7AF</t>
        </is>
      </c>
      <c r="J1103" s="8" t="inlineStr">
        <is>
          <t>36 Months</t>
        </is>
      </c>
      <c r="K1103" s="8" t="n">
        <v>27.8038689</v>
      </c>
      <c r="L1103" s="4" t="n">
        <v>882.54</v>
      </c>
    </row>
    <row r="1104">
      <c r="A1104" s="2" t="inlineStr">
        <is>
          <t>0000408379TP09F</t>
        </is>
      </c>
      <c r="B1104" s="8" t="inlineStr">
        <is>
          <t>12 Months</t>
        </is>
      </c>
      <c r="C1104" s="8" t="n">
        <v>27.4738689</v>
      </c>
      <c r="D1104" s="8" t="n">
        <v>250.75</v>
      </c>
      <c r="E1104" s="8" t="inlineStr">
        <is>
          <t>0000408379TP09F</t>
        </is>
      </c>
      <c r="F1104" s="8" t="inlineStr">
        <is>
          <t>24 Months</t>
        </is>
      </c>
      <c r="G1104" s="8" t="n">
        <v>27.6638689</v>
      </c>
      <c r="H1104" s="8" t="n">
        <v>250.75</v>
      </c>
      <c r="I1104" s="8" t="inlineStr">
        <is>
          <t>0000408379TP09F</t>
        </is>
      </c>
      <c r="J1104" s="8" t="inlineStr">
        <is>
          <t>36 Months</t>
        </is>
      </c>
      <c r="K1104" s="8" t="n">
        <v>27.8038689</v>
      </c>
      <c r="L1104" s="4" t="n">
        <v>250.75</v>
      </c>
    </row>
    <row r="1105">
      <c r="A1105" s="2" t="inlineStr">
        <is>
          <t>0000485414CE4EE</t>
        </is>
      </c>
      <c r="B1105" s="8" t="inlineStr">
        <is>
          <t>12 Months</t>
        </is>
      </c>
      <c r="C1105" s="8" t="n">
        <v>19.55</v>
      </c>
      <c r="D1105" s="8" t="n">
        <v>89.34999999999999</v>
      </c>
      <c r="E1105" s="8" t="inlineStr">
        <is>
          <t>0000485414CE4EE</t>
        </is>
      </c>
      <c r="F1105" s="8" t="inlineStr">
        <is>
          <t>24 Months</t>
        </is>
      </c>
      <c r="G1105" s="8" t="n">
        <v>19.74</v>
      </c>
      <c r="H1105" s="8" t="n">
        <v>89.34999999999999</v>
      </c>
      <c r="I1105" s="8" t="inlineStr">
        <is>
          <t>0000485414CE4EE</t>
        </is>
      </c>
      <c r="J1105" s="8" t="inlineStr">
        <is>
          <t>36 Months</t>
        </is>
      </c>
      <c r="K1105" s="8" t="n">
        <v>19.88</v>
      </c>
      <c r="L1105" s="4" t="n">
        <v>89.34999999999999</v>
      </c>
    </row>
    <row r="1106">
      <c r="A1106" s="2" t="inlineStr">
        <is>
          <t>0000486901CE4E4</t>
        </is>
      </c>
      <c r="B1106" s="8" t="inlineStr">
        <is>
          <t>12 Months</t>
        </is>
      </c>
      <c r="C1106" s="8" t="n">
        <v>19.55</v>
      </c>
      <c r="D1106" s="8" t="n">
        <v>186.74</v>
      </c>
      <c r="E1106" s="8" t="inlineStr">
        <is>
          <t>0000486901CE4E4</t>
        </is>
      </c>
      <c r="F1106" s="8" t="inlineStr">
        <is>
          <t>24 Months</t>
        </is>
      </c>
      <c r="G1106" s="8" t="n">
        <v>19.74</v>
      </c>
      <c r="H1106" s="8" t="n">
        <v>186.74</v>
      </c>
      <c r="I1106" s="8" t="inlineStr">
        <is>
          <t>0000486901CE4E4</t>
        </is>
      </c>
      <c r="J1106" s="8" t="inlineStr">
        <is>
          <t>36 Months</t>
        </is>
      </c>
      <c r="K1106" s="8" t="n">
        <v>19.88</v>
      </c>
      <c r="L1106" s="4" t="n">
        <v>186.74</v>
      </c>
    </row>
    <row r="1107">
      <c r="A1107" s="2" t="inlineStr">
        <is>
          <t>0000517047DE2D4</t>
        </is>
      </c>
      <c r="B1107" s="8" t="inlineStr">
        <is>
          <t>12 Months</t>
        </is>
      </c>
      <c r="C1107" s="8" t="n">
        <v>36.1128</v>
      </c>
      <c r="D1107" s="8" t="n">
        <v>163</v>
      </c>
      <c r="E1107" s="8" t="inlineStr">
        <is>
          <t>0000517047DE2D4</t>
        </is>
      </c>
      <c r="F1107" s="8" t="inlineStr">
        <is>
          <t>24 Months</t>
        </is>
      </c>
      <c r="G1107" s="8" t="n">
        <v>36.3028</v>
      </c>
      <c r="H1107" s="8" t="n">
        <v>163</v>
      </c>
      <c r="I1107" s="8" t="inlineStr">
        <is>
          <t>0000517047DE2D4</t>
        </is>
      </c>
      <c r="J1107" s="8" t="inlineStr">
        <is>
          <t>36 Months</t>
        </is>
      </c>
      <c r="K1107" s="8" t="n">
        <v>36.4428</v>
      </c>
      <c r="L1107" s="4" t="n">
        <v>163</v>
      </c>
    </row>
    <row r="1108">
      <c r="A1108" s="2" t="inlineStr">
        <is>
          <t>0000526222NR65B</t>
        </is>
      </c>
      <c r="B1108" s="8" t="inlineStr">
        <is>
          <t>12 Months</t>
        </is>
      </c>
      <c r="C1108" s="8" t="n">
        <v>29.041628</v>
      </c>
      <c r="D1108" s="8" t="n">
        <v>426</v>
      </c>
      <c r="E1108" s="8" t="inlineStr">
        <is>
          <t>0000526222NR65B</t>
        </is>
      </c>
      <c r="F1108" s="8" t="inlineStr">
        <is>
          <t>24 Months</t>
        </is>
      </c>
      <c r="G1108" s="8" t="n">
        <v>29.231628</v>
      </c>
      <c r="H1108" s="8" t="n">
        <v>426</v>
      </c>
      <c r="I1108" s="8" t="inlineStr">
        <is>
          <t>0000526222NR65B</t>
        </is>
      </c>
      <c r="J1108" s="8" t="inlineStr">
        <is>
          <t>36 Months</t>
        </is>
      </c>
      <c r="K1108" s="8" t="n">
        <v>29.371628</v>
      </c>
      <c r="L1108" s="4" t="n">
        <v>426</v>
      </c>
    </row>
    <row r="1109">
      <c r="A1109" s="2" t="inlineStr">
        <is>
          <t>0000548841NR5F9</t>
        </is>
      </c>
      <c r="B1109" s="8" t="inlineStr">
        <is>
          <t>12 Months</t>
        </is>
      </c>
      <c r="C1109" s="8" t="n">
        <v>29.041628</v>
      </c>
      <c r="D1109" s="8" t="n">
        <v>426</v>
      </c>
      <c r="E1109" s="8" t="inlineStr">
        <is>
          <t>0000548841NR5F9</t>
        </is>
      </c>
      <c r="F1109" s="8" t="inlineStr">
        <is>
          <t>24 Months</t>
        </is>
      </c>
      <c r="G1109" s="8" t="n">
        <v>29.231628</v>
      </c>
      <c r="H1109" s="8" t="n">
        <v>426</v>
      </c>
      <c r="I1109" s="8" t="inlineStr">
        <is>
          <t>0000548841NR5F9</t>
        </is>
      </c>
      <c r="J1109" s="8" t="inlineStr">
        <is>
          <t>36 Months</t>
        </is>
      </c>
      <c r="K1109" s="8" t="n">
        <v>29.371628</v>
      </c>
      <c r="L1109" s="4" t="n">
        <v>426</v>
      </c>
    </row>
    <row r="1110">
      <c r="A1110" s="2" t="inlineStr">
        <is>
          <t>0000549182NR67F</t>
        </is>
      </c>
      <c r="B1110" s="8" t="inlineStr">
        <is>
          <t>12 Months</t>
        </is>
      </c>
      <c r="C1110" s="8" t="n">
        <v>29.041628</v>
      </c>
      <c r="D1110" s="8" t="n">
        <v>426</v>
      </c>
      <c r="E1110" s="8" t="inlineStr">
        <is>
          <t>0000549182NR67F</t>
        </is>
      </c>
      <c r="F1110" s="8" t="inlineStr">
        <is>
          <t>24 Months</t>
        </is>
      </c>
      <c r="G1110" s="8" t="n">
        <v>29.231628</v>
      </c>
      <c r="H1110" s="8" t="n">
        <v>426</v>
      </c>
      <c r="I1110" s="8" t="inlineStr">
        <is>
          <t>0000549182NR67F</t>
        </is>
      </c>
      <c r="J1110" s="8" t="inlineStr">
        <is>
          <t>36 Months</t>
        </is>
      </c>
      <c r="K1110" s="8" t="n">
        <v>29.371628</v>
      </c>
      <c r="L1110" s="4" t="n">
        <v>426</v>
      </c>
    </row>
    <row r="1111">
      <c r="A1111" s="2" t="inlineStr">
        <is>
          <t>0000560159NR084</t>
        </is>
      </c>
      <c r="B1111" s="8" t="inlineStr">
        <is>
          <t>12 Months</t>
        </is>
      </c>
      <c r="C1111" s="8" t="n">
        <v>29.84</v>
      </c>
      <c r="D1111" s="8" t="n">
        <v>426</v>
      </c>
      <c r="E1111" s="8" t="inlineStr">
        <is>
          <t>0000560159NR084</t>
        </is>
      </c>
      <c r="F1111" s="8" t="inlineStr">
        <is>
          <t>24 Months</t>
        </is>
      </c>
      <c r="G1111" s="8" t="n">
        <v>30.03</v>
      </c>
      <c r="H1111" s="8" t="n">
        <v>426</v>
      </c>
      <c r="I1111" s="8" t="inlineStr">
        <is>
          <t>0000560159NR084</t>
        </is>
      </c>
      <c r="J1111" s="8" t="inlineStr">
        <is>
          <t>36 Months</t>
        </is>
      </c>
      <c r="K1111" s="8" t="n">
        <v>30.17</v>
      </c>
      <c r="L1111" s="4" t="n">
        <v>426</v>
      </c>
    </row>
    <row r="1112">
      <c r="A1112" s="2" t="inlineStr">
        <is>
          <t>0000584375WTD6A</t>
        </is>
      </c>
      <c r="B1112" s="8" t="inlineStr">
        <is>
          <t>12 Months</t>
        </is>
      </c>
      <c r="C1112" s="8" t="n">
        <v>22.2600808</v>
      </c>
      <c r="D1112" s="8" t="n">
        <v>738.48</v>
      </c>
      <c r="E1112" s="8" t="inlineStr">
        <is>
          <t>0000584375WTD6A</t>
        </is>
      </c>
      <c r="F1112" s="8" t="inlineStr">
        <is>
          <t>24 Months</t>
        </is>
      </c>
      <c r="G1112" s="8" t="n">
        <v>22.4500808</v>
      </c>
      <c r="H1112" s="8" t="n">
        <v>738.48</v>
      </c>
      <c r="I1112" s="8" t="inlineStr">
        <is>
          <t>0000584375WTD6A</t>
        </is>
      </c>
      <c r="J1112" s="8" t="inlineStr">
        <is>
          <t>36 Months</t>
        </is>
      </c>
      <c r="K1112" s="8" t="n">
        <v>22.5900808</v>
      </c>
      <c r="L1112" s="4" t="n">
        <v>738.48</v>
      </c>
    </row>
    <row r="1113">
      <c r="A1113" s="2" t="inlineStr">
        <is>
          <t>0000624842MP24B</t>
        </is>
      </c>
      <c r="B1113" s="8" t="inlineStr">
        <is>
          <t>12 Months</t>
        </is>
      </c>
      <c r="C1113" s="8" t="n">
        <v>24.007</v>
      </c>
      <c r="D1113" s="8" t="n">
        <v>582.337</v>
      </c>
      <c r="E1113" s="8" t="inlineStr">
        <is>
          <t>0000624842MP24B</t>
        </is>
      </c>
      <c r="F1113" s="8" t="inlineStr">
        <is>
          <t>24 Months</t>
        </is>
      </c>
      <c r="G1113" s="8" t="n">
        <v>24.197</v>
      </c>
      <c r="H1113" s="8" t="n">
        <v>582.337</v>
      </c>
      <c r="I1113" s="8" t="inlineStr">
        <is>
          <t>0000624842MP24B</t>
        </is>
      </c>
      <c r="J1113" s="8" t="inlineStr">
        <is>
          <t>36 Months</t>
        </is>
      </c>
      <c r="K1113" s="8" t="n">
        <v>24.337</v>
      </c>
      <c r="L1113" s="4" t="n">
        <v>582.337</v>
      </c>
    </row>
    <row r="1114">
      <c r="A1114" s="2" t="inlineStr">
        <is>
          <t>0000660398UN329</t>
        </is>
      </c>
      <c r="B1114" s="8" t="inlineStr">
        <is>
          <t>12 Months</t>
        </is>
      </c>
      <c r="C1114" s="8" t="n">
        <v>19.55</v>
      </c>
      <c r="D1114" s="8" t="n">
        <v>312.28</v>
      </c>
      <c r="E1114" s="8" t="inlineStr">
        <is>
          <t>0000660398UN329</t>
        </is>
      </c>
      <c r="F1114" s="8" t="inlineStr">
        <is>
          <t>24 Months</t>
        </is>
      </c>
      <c r="G1114" s="8" t="n">
        <v>19.74</v>
      </c>
      <c r="H1114" s="8" t="n">
        <v>312.28</v>
      </c>
      <c r="I1114" s="8" t="inlineStr">
        <is>
          <t>0000660398UN329</t>
        </is>
      </c>
      <c r="J1114" s="8" t="inlineStr">
        <is>
          <t>36 Months</t>
        </is>
      </c>
      <c r="K1114" s="8" t="n">
        <v>19.88</v>
      </c>
      <c r="L1114" s="4" t="n">
        <v>312.28</v>
      </c>
    </row>
    <row r="1115">
      <c r="A1115" s="2" t="inlineStr">
        <is>
          <t>0000700385MP041</t>
        </is>
      </c>
      <c r="B1115" s="8" t="inlineStr">
        <is>
          <t>12 Months</t>
        </is>
      </c>
      <c r="C1115" s="8" t="n">
        <v>24.007</v>
      </c>
      <c r="D1115" s="8" t="n">
        <v>582.337</v>
      </c>
      <c r="E1115" s="8" t="inlineStr">
        <is>
          <t>0000700385MP041</t>
        </is>
      </c>
      <c r="F1115" s="8" t="inlineStr">
        <is>
          <t>24 Months</t>
        </is>
      </c>
      <c r="G1115" s="8" t="n">
        <v>24.197</v>
      </c>
      <c r="H1115" s="8" t="n">
        <v>582.337</v>
      </c>
      <c r="I1115" s="8" t="inlineStr">
        <is>
          <t>0000700385MP041</t>
        </is>
      </c>
      <c r="J1115" s="8" t="inlineStr">
        <is>
          <t>36 Months</t>
        </is>
      </c>
      <c r="K1115" s="8" t="n">
        <v>24.337</v>
      </c>
      <c r="L1115" s="4" t="n">
        <v>582.337</v>
      </c>
    </row>
    <row r="1116">
      <c r="A1116" s="2" t="inlineStr">
        <is>
          <t>0000700787MPCC5</t>
        </is>
      </c>
      <c r="B1116" s="8" t="inlineStr">
        <is>
          <t>12 Months</t>
        </is>
      </c>
      <c r="C1116" s="8" t="n">
        <v>24.007</v>
      </c>
      <c r="D1116" s="8" t="n">
        <v>582.337</v>
      </c>
      <c r="E1116" s="8" t="inlineStr">
        <is>
          <t>0000700787MPCC5</t>
        </is>
      </c>
      <c r="F1116" s="8" t="inlineStr">
        <is>
          <t>24 Months</t>
        </is>
      </c>
      <c r="G1116" s="8" t="n">
        <v>24.197</v>
      </c>
      <c r="H1116" s="8" t="n">
        <v>582.337</v>
      </c>
      <c r="I1116" s="8" t="inlineStr">
        <is>
          <t>0000700787MPCC5</t>
        </is>
      </c>
      <c r="J1116" s="8" t="inlineStr">
        <is>
          <t>36 Months</t>
        </is>
      </c>
      <c r="K1116" s="8" t="n">
        <v>24.337</v>
      </c>
      <c r="L1116" s="4" t="n">
        <v>582.337</v>
      </c>
    </row>
    <row r="1117">
      <c r="A1117" s="2" t="inlineStr">
        <is>
          <t>0000721777NV28C</t>
        </is>
      </c>
      <c r="B1117" s="8" t="inlineStr">
        <is>
          <t>12 Months</t>
        </is>
      </c>
      <c r="C1117" s="8" t="n">
        <v>24.833809</v>
      </c>
      <c r="D1117" s="8" t="n">
        <v>349.84</v>
      </c>
      <c r="E1117" s="8" t="inlineStr">
        <is>
          <t>0000721777NV28C</t>
        </is>
      </c>
      <c r="F1117" s="8" t="inlineStr">
        <is>
          <t>24 Months</t>
        </is>
      </c>
      <c r="G1117" s="8" t="n">
        <v>25.023809</v>
      </c>
      <c r="H1117" s="8" t="n">
        <v>349.84</v>
      </c>
      <c r="I1117" s="8" t="inlineStr">
        <is>
          <t>0000721777NV28C</t>
        </is>
      </c>
      <c r="J1117" s="8" t="inlineStr">
        <is>
          <t>36 Months</t>
        </is>
      </c>
      <c r="K1117" s="8" t="n">
        <v>25.163809</v>
      </c>
      <c r="L1117" s="4" t="n">
        <v>349.84</v>
      </c>
    </row>
    <row r="1118">
      <c r="A1118" s="2" t="inlineStr">
        <is>
          <t>0000922160TUF69</t>
        </is>
      </c>
      <c r="B1118" s="8" t="inlineStr">
        <is>
          <t>12 Months</t>
        </is>
      </c>
      <c r="C1118" s="8" t="n">
        <v>26.933952</v>
      </c>
      <c r="D1118" s="8" t="n">
        <v>237</v>
      </c>
      <c r="E1118" s="8" t="inlineStr">
        <is>
          <t>0000922160TUF69</t>
        </is>
      </c>
      <c r="F1118" s="8" t="inlineStr">
        <is>
          <t>24 Months</t>
        </is>
      </c>
      <c r="G1118" s="8" t="n">
        <v>27.123952</v>
      </c>
      <c r="H1118" s="8" t="n">
        <v>237</v>
      </c>
      <c r="I1118" s="8" t="inlineStr">
        <is>
          <t>0000922160TUF69</t>
        </is>
      </c>
      <c r="J1118" s="8" t="inlineStr">
        <is>
          <t>36 Months</t>
        </is>
      </c>
      <c r="K1118" s="8" t="n">
        <v>27.263952</v>
      </c>
      <c r="L1118" s="4" t="n">
        <v>237</v>
      </c>
    </row>
    <row r="1119">
      <c r="A1119" s="2" t="inlineStr">
        <is>
          <t>0000933506TU456</t>
        </is>
      </c>
      <c r="B1119" s="8" t="inlineStr">
        <is>
          <t>12 Months</t>
        </is>
      </c>
      <c r="C1119" s="8" t="n">
        <v>26.933952</v>
      </c>
      <c r="D1119" s="8" t="n">
        <v>237</v>
      </c>
      <c r="E1119" s="8" t="inlineStr">
        <is>
          <t>0000933506TU456</t>
        </is>
      </c>
      <c r="F1119" s="8" t="inlineStr">
        <is>
          <t>24 Months</t>
        </is>
      </c>
      <c r="G1119" s="8" t="n">
        <v>27.123952</v>
      </c>
      <c r="H1119" s="8" t="n">
        <v>237</v>
      </c>
      <c r="I1119" s="8" t="inlineStr">
        <is>
          <t>0000933506TU456</t>
        </is>
      </c>
      <c r="J1119" s="8" t="inlineStr">
        <is>
          <t>36 Months</t>
        </is>
      </c>
      <c r="K1119" s="8" t="n">
        <v>27.263952</v>
      </c>
      <c r="L1119" s="4" t="n">
        <v>237</v>
      </c>
    </row>
    <row r="1120">
      <c r="A1120" s="2" t="inlineStr">
        <is>
          <t>0000935815TU2F3</t>
        </is>
      </c>
      <c r="B1120" s="8" t="inlineStr">
        <is>
          <t>12 Months</t>
        </is>
      </c>
      <c r="C1120" s="8" t="n">
        <v>26.933952</v>
      </c>
      <c r="D1120" s="8" t="n">
        <v>237</v>
      </c>
      <c r="E1120" s="8" t="inlineStr">
        <is>
          <t>0000935815TU2F3</t>
        </is>
      </c>
      <c r="F1120" s="8" t="inlineStr">
        <is>
          <t>24 Months</t>
        </is>
      </c>
      <c r="G1120" s="8" t="n">
        <v>27.123952</v>
      </c>
      <c r="H1120" s="8" t="n">
        <v>237</v>
      </c>
      <c r="I1120" s="8" t="inlineStr">
        <is>
          <t>0000935815TU2F3</t>
        </is>
      </c>
      <c r="J1120" s="8" t="inlineStr">
        <is>
          <t>36 Months</t>
        </is>
      </c>
      <c r="K1120" s="8" t="n">
        <v>27.263952</v>
      </c>
      <c r="L1120" s="4" t="n">
        <v>237</v>
      </c>
    </row>
    <row r="1121">
      <c r="A1121" s="2" t="inlineStr">
        <is>
          <t>0000967277TU7B8</t>
        </is>
      </c>
      <c r="B1121" s="8" t="inlineStr">
        <is>
          <t>12 Months</t>
        </is>
      </c>
      <c r="C1121" s="8" t="n">
        <v>24.15</v>
      </c>
      <c r="D1121" s="8" t="n">
        <v>913</v>
      </c>
      <c r="E1121" s="8" t="inlineStr">
        <is>
          <t>0000967277TU7B8</t>
        </is>
      </c>
      <c r="F1121" s="8" t="inlineStr">
        <is>
          <t>24 Months</t>
        </is>
      </c>
      <c r="G1121" s="8" t="n">
        <v>24.34</v>
      </c>
      <c r="H1121" s="8" t="n">
        <v>913</v>
      </c>
      <c r="I1121" s="8" t="inlineStr">
        <is>
          <t>0000967277TU7B8</t>
        </is>
      </c>
      <c r="J1121" s="8" t="inlineStr">
        <is>
          <t>36 Months</t>
        </is>
      </c>
      <c r="K1121" s="8" t="n">
        <v>24.48</v>
      </c>
      <c r="L1121" s="4" t="n">
        <v>913</v>
      </c>
    </row>
    <row r="1122">
      <c r="A1122" s="2" t="inlineStr">
        <is>
          <t>0000968029TUF4C</t>
        </is>
      </c>
      <c r="B1122" s="8" t="inlineStr">
        <is>
          <t>12 Months</t>
        </is>
      </c>
      <c r="C1122" s="8" t="n">
        <v>24.15</v>
      </c>
      <c r="D1122" s="8" t="n">
        <v>913</v>
      </c>
      <c r="E1122" s="8" t="inlineStr">
        <is>
          <t>0000968029TUF4C</t>
        </is>
      </c>
      <c r="F1122" s="8" t="inlineStr">
        <is>
          <t>24 Months</t>
        </is>
      </c>
      <c r="G1122" s="8" t="n">
        <v>24.34</v>
      </c>
      <c r="H1122" s="8" t="n">
        <v>913</v>
      </c>
      <c r="I1122" s="8" t="inlineStr">
        <is>
          <t>0000968029TUF4C</t>
        </is>
      </c>
      <c r="J1122" s="8" t="inlineStr">
        <is>
          <t>36 Months</t>
        </is>
      </c>
      <c r="K1122" s="8" t="n">
        <v>24.48</v>
      </c>
      <c r="L1122" s="4" t="n">
        <v>913</v>
      </c>
    </row>
    <row r="1123">
      <c r="A1123" s="2" t="inlineStr">
        <is>
          <t>0001001775PCC89</t>
        </is>
      </c>
      <c r="B1123" s="8" t="inlineStr">
        <is>
          <t>12 Months</t>
        </is>
      </c>
      <c r="C1123" s="8" t="n">
        <v>29.427872</v>
      </c>
      <c r="D1123" s="8" t="n">
        <v>304.57</v>
      </c>
      <c r="E1123" s="8" t="inlineStr">
        <is>
          <t>0001001775PCC89</t>
        </is>
      </c>
      <c r="F1123" s="8" t="inlineStr">
        <is>
          <t>24 Months</t>
        </is>
      </c>
      <c r="G1123" s="8" t="n">
        <v>29.617872</v>
      </c>
      <c r="H1123" s="8" t="n">
        <v>304.57</v>
      </c>
      <c r="I1123" s="8" t="inlineStr">
        <is>
          <t>0001001775PCC89</t>
        </is>
      </c>
      <c r="J1123" s="8" t="inlineStr">
        <is>
          <t>36 Months</t>
        </is>
      </c>
      <c r="K1123" s="8" t="n">
        <v>29.757872</v>
      </c>
      <c r="L1123" s="4" t="n">
        <v>304.57</v>
      </c>
    </row>
    <row r="1124">
      <c r="A1124" s="2" t="inlineStr">
        <is>
          <t>0001129467MLF12</t>
        </is>
      </c>
      <c r="B1124" s="8" t="inlineStr">
        <is>
          <t>12 Months</t>
        </is>
      </c>
      <c r="C1124" s="8" t="n">
        <v>22.551392</v>
      </c>
      <c r="D1124" s="8" t="n">
        <v>468</v>
      </c>
      <c r="E1124" s="8" t="inlineStr">
        <is>
          <t>0001129467MLF12</t>
        </is>
      </c>
      <c r="F1124" s="8" t="inlineStr">
        <is>
          <t>24 Months</t>
        </is>
      </c>
      <c r="G1124" s="8" t="n">
        <v>22.741392</v>
      </c>
      <c r="H1124" s="8" t="n">
        <v>468</v>
      </c>
      <c r="I1124" s="8" t="inlineStr">
        <is>
          <t>0001129467MLF12</t>
        </is>
      </c>
      <c r="J1124" s="8" t="inlineStr">
        <is>
          <t>36 Months</t>
        </is>
      </c>
      <c r="K1124" s="8" t="n">
        <v>22.881392</v>
      </c>
      <c r="L1124" s="4" t="n">
        <v>468</v>
      </c>
    </row>
    <row r="1125">
      <c r="A1125" s="2" t="inlineStr">
        <is>
          <t>0001259077UN7C4</t>
        </is>
      </c>
      <c r="B1125" s="8" t="inlineStr">
        <is>
          <t>12 Months</t>
        </is>
      </c>
      <c r="C1125" s="8" t="n">
        <v>19.55</v>
      </c>
      <c r="D1125" s="8" t="n">
        <v>312.28</v>
      </c>
      <c r="E1125" s="8" t="inlineStr">
        <is>
          <t>0001259077UN7C4</t>
        </is>
      </c>
      <c r="F1125" s="8" t="inlineStr">
        <is>
          <t>24 Months</t>
        </is>
      </c>
      <c r="G1125" s="8" t="n">
        <v>19.74</v>
      </c>
      <c r="H1125" s="8" t="n">
        <v>312.28</v>
      </c>
      <c r="I1125" s="8" t="inlineStr">
        <is>
          <t>0001259077UN7C4</t>
        </is>
      </c>
      <c r="J1125" s="8" t="inlineStr">
        <is>
          <t>36 Months</t>
        </is>
      </c>
      <c r="K1125" s="8" t="n">
        <v>19.88</v>
      </c>
      <c r="L1125" s="4" t="n">
        <v>312.28</v>
      </c>
    </row>
    <row r="1126">
      <c r="A1126" s="2" t="inlineStr">
        <is>
          <t>0001302906EN76C</t>
        </is>
      </c>
      <c r="B1126" s="8" t="inlineStr">
        <is>
          <t>12 Months</t>
        </is>
      </c>
      <c r="C1126" s="8" t="n">
        <v>19.55</v>
      </c>
      <c r="D1126" s="8" t="n">
        <v>3214.18</v>
      </c>
      <c r="E1126" s="8" t="inlineStr">
        <is>
          <t>0001302906EN76C</t>
        </is>
      </c>
      <c r="F1126" s="8" t="inlineStr">
        <is>
          <t>24 Months</t>
        </is>
      </c>
      <c r="G1126" s="8" t="n">
        <v>19.74</v>
      </c>
      <c r="H1126" s="8" t="n">
        <v>3214.18</v>
      </c>
      <c r="I1126" s="8" t="inlineStr">
        <is>
          <t>0001302906EN76C</t>
        </is>
      </c>
      <c r="J1126" s="8" t="inlineStr">
        <is>
          <t>36 Months</t>
        </is>
      </c>
      <c r="K1126" s="8" t="n">
        <v>19.88</v>
      </c>
      <c r="L1126" s="4" t="n">
        <v>3214.18</v>
      </c>
    </row>
    <row r="1127">
      <c r="A1127" s="2" t="inlineStr">
        <is>
          <t>0001302909EN8B2</t>
        </is>
      </c>
      <c r="B1127" s="8" t="inlineStr">
        <is>
          <t>12 Months</t>
        </is>
      </c>
      <c r="C1127" s="8" t="n">
        <v>24.391152</v>
      </c>
      <c r="D1127" s="8" t="n">
        <v>403.71</v>
      </c>
      <c r="E1127" s="8" t="inlineStr">
        <is>
          <t>0001302909EN8B2</t>
        </is>
      </c>
      <c r="F1127" s="8" t="inlineStr">
        <is>
          <t>24 Months</t>
        </is>
      </c>
      <c r="G1127" s="8" t="n">
        <v>24.581152</v>
      </c>
      <c r="H1127" s="8" t="n">
        <v>403.71</v>
      </c>
      <c r="I1127" s="8" t="inlineStr">
        <is>
          <t>0001302909EN8B2</t>
        </is>
      </c>
      <c r="J1127" s="8" t="inlineStr">
        <is>
          <t>36 Months</t>
        </is>
      </c>
      <c r="K1127" s="8" t="n">
        <v>24.721152</v>
      </c>
      <c r="L1127" s="4" t="n">
        <v>403.71</v>
      </c>
    </row>
    <row r="1128">
      <c r="A1128" s="2" t="inlineStr">
        <is>
          <t>0001302912ENCCB</t>
        </is>
      </c>
      <c r="B1128" s="8" t="inlineStr">
        <is>
          <t>12 Months</t>
        </is>
      </c>
      <c r="C1128" s="8" t="n">
        <v>24.391152</v>
      </c>
      <c r="D1128" s="8" t="n">
        <v>403.71</v>
      </c>
      <c r="E1128" s="8" t="inlineStr">
        <is>
          <t>0001302912ENCCB</t>
        </is>
      </c>
      <c r="F1128" s="8" t="inlineStr">
        <is>
          <t>24 Months</t>
        </is>
      </c>
      <c r="G1128" s="8" t="n">
        <v>24.581152</v>
      </c>
      <c r="H1128" s="8" t="n">
        <v>403.71</v>
      </c>
      <c r="I1128" s="8" t="inlineStr">
        <is>
          <t>0001302912ENCCB</t>
        </is>
      </c>
      <c r="J1128" s="8" t="inlineStr">
        <is>
          <t>36 Months</t>
        </is>
      </c>
      <c r="K1128" s="8" t="n">
        <v>24.721152</v>
      </c>
      <c r="L1128" s="4" t="n">
        <v>403.71</v>
      </c>
    </row>
    <row r="1129">
      <c r="A1129" s="2" t="inlineStr">
        <is>
          <t>0001428711HRE6D</t>
        </is>
      </c>
      <c r="B1129" s="8" t="inlineStr">
        <is>
          <t>12 Months</t>
        </is>
      </c>
      <c r="C1129" s="8" t="n">
        <v>28.48616</v>
      </c>
      <c r="D1129" s="8" t="n">
        <v>283</v>
      </c>
      <c r="E1129" s="8" t="inlineStr">
        <is>
          <t>0001428711HRE6D</t>
        </is>
      </c>
      <c r="F1129" s="8" t="inlineStr">
        <is>
          <t>24 Months</t>
        </is>
      </c>
      <c r="G1129" s="8" t="n">
        <v>28.67616</v>
      </c>
      <c r="H1129" s="8" t="n">
        <v>283</v>
      </c>
      <c r="I1129" s="8" t="inlineStr">
        <is>
          <t>0001428711HRE6D</t>
        </is>
      </c>
      <c r="J1129" s="8" t="inlineStr">
        <is>
          <t>36 Months</t>
        </is>
      </c>
      <c r="K1129" s="8" t="n">
        <v>28.81616</v>
      </c>
      <c r="L1129" s="4" t="n">
        <v>283</v>
      </c>
    </row>
    <row r="1130">
      <c r="A1130" s="2" t="inlineStr">
        <is>
          <t>0001429135HR594</t>
        </is>
      </c>
      <c r="B1130" s="8" t="inlineStr">
        <is>
          <t>12 Months</t>
        </is>
      </c>
      <c r="C1130" s="8" t="n">
        <v>28.48616</v>
      </c>
      <c r="D1130" s="8" t="n">
        <v>283</v>
      </c>
      <c r="E1130" s="8" t="inlineStr">
        <is>
          <t>0001429135HR594</t>
        </is>
      </c>
      <c r="F1130" s="8" t="inlineStr">
        <is>
          <t>24 Months</t>
        </is>
      </c>
      <c r="G1130" s="8" t="n">
        <v>28.67616</v>
      </c>
      <c r="H1130" s="8" t="n">
        <v>283</v>
      </c>
      <c r="I1130" s="8" t="inlineStr">
        <is>
          <t>0001429135HR594</t>
        </is>
      </c>
      <c r="J1130" s="8" t="inlineStr">
        <is>
          <t>36 Months</t>
        </is>
      </c>
      <c r="K1130" s="8" t="n">
        <v>28.81616</v>
      </c>
      <c r="L1130" s="4" t="n">
        <v>283</v>
      </c>
    </row>
    <row r="1131">
      <c r="A1131" s="2" t="inlineStr">
        <is>
          <t>0001430880PC7ED</t>
        </is>
      </c>
      <c r="B1131" s="8" t="inlineStr">
        <is>
          <t>12 Months</t>
        </is>
      </c>
      <c r="C1131" s="8" t="n">
        <v>29.427872</v>
      </c>
      <c r="D1131" s="8" t="n">
        <v>221</v>
      </c>
      <c r="E1131" s="8" t="inlineStr">
        <is>
          <t>0001430880PC7ED</t>
        </is>
      </c>
      <c r="F1131" s="8" t="inlineStr">
        <is>
          <t>24 Months</t>
        </is>
      </c>
      <c r="G1131" s="8" t="n">
        <v>29.617872</v>
      </c>
      <c r="H1131" s="8" t="n">
        <v>221</v>
      </c>
      <c r="I1131" s="8" t="inlineStr">
        <is>
          <t>0001430880PC7ED</t>
        </is>
      </c>
      <c r="J1131" s="8" t="inlineStr">
        <is>
          <t>36 Months</t>
        </is>
      </c>
      <c r="K1131" s="8" t="n">
        <v>29.757872</v>
      </c>
      <c r="L1131" s="4" t="n">
        <v>221</v>
      </c>
    </row>
    <row r="1132">
      <c r="A1132" s="2" t="inlineStr">
        <is>
          <t>0001702030PCB8A</t>
        </is>
      </c>
      <c r="B1132" s="8" t="inlineStr">
        <is>
          <t>12 Months</t>
        </is>
      </c>
      <c r="C1132" s="8" t="n">
        <v>29.427872</v>
      </c>
      <c r="D1132" s="8" t="n">
        <v>221</v>
      </c>
      <c r="E1132" s="8" t="inlineStr">
        <is>
          <t>0001702030PCB8A</t>
        </is>
      </c>
      <c r="F1132" s="8" t="inlineStr">
        <is>
          <t>24 Months</t>
        </is>
      </c>
      <c r="G1132" s="8" t="n">
        <v>29.617872</v>
      </c>
      <c r="H1132" s="8" t="n">
        <v>221</v>
      </c>
      <c r="I1132" s="8" t="inlineStr">
        <is>
          <t>0001702030PCB8A</t>
        </is>
      </c>
      <c r="J1132" s="8" t="inlineStr">
        <is>
          <t>36 Months</t>
        </is>
      </c>
      <c r="K1132" s="8" t="n">
        <v>29.757872</v>
      </c>
      <c r="L1132" s="4" t="n">
        <v>221</v>
      </c>
    </row>
    <row r="1133">
      <c r="A1133" s="2" t="inlineStr">
        <is>
          <t>0001740830PC352</t>
        </is>
      </c>
      <c r="B1133" s="8" t="inlineStr">
        <is>
          <t>12 Months</t>
        </is>
      </c>
      <c r="C1133" s="8" t="n">
        <v>29.427872</v>
      </c>
      <c r="D1133" s="8" t="n">
        <v>221</v>
      </c>
      <c r="E1133" s="8" t="inlineStr">
        <is>
          <t>0001740830PC352</t>
        </is>
      </c>
      <c r="F1133" s="8" t="inlineStr">
        <is>
          <t>24 Months</t>
        </is>
      </c>
      <c r="G1133" s="8" t="n">
        <v>29.617872</v>
      </c>
      <c r="H1133" s="8" t="n">
        <v>221</v>
      </c>
      <c r="I1133" s="8" t="inlineStr">
        <is>
          <t>0001740830PC352</t>
        </is>
      </c>
      <c r="J1133" s="8" t="inlineStr">
        <is>
          <t>36 Months</t>
        </is>
      </c>
      <c r="K1133" s="8" t="n">
        <v>29.757872</v>
      </c>
      <c r="L1133" s="4" t="n">
        <v>221</v>
      </c>
    </row>
    <row r="1134">
      <c r="A1134" s="2" t="inlineStr">
        <is>
          <t>0001742361PC751</t>
        </is>
      </c>
      <c r="B1134" s="8" t="inlineStr">
        <is>
          <t>12 Months</t>
        </is>
      </c>
      <c r="C1134" s="8" t="n">
        <v>29.427872</v>
      </c>
      <c r="D1134" s="8" t="n">
        <v>304.57</v>
      </c>
      <c r="E1134" s="8" t="inlineStr">
        <is>
          <t>0001742361PC751</t>
        </is>
      </c>
      <c r="F1134" s="8" t="inlineStr">
        <is>
          <t>24 Months</t>
        </is>
      </c>
      <c r="G1134" s="8" t="n">
        <v>29.617872</v>
      </c>
      <c r="H1134" s="8" t="n">
        <v>304.57</v>
      </c>
      <c r="I1134" s="8" t="inlineStr">
        <is>
          <t>0001742361PC751</t>
        </is>
      </c>
      <c r="J1134" s="8" t="inlineStr">
        <is>
          <t>36 Months</t>
        </is>
      </c>
      <c r="K1134" s="8" t="n">
        <v>29.757872</v>
      </c>
      <c r="L1134" s="4" t="n">
        <v>304.57</v>
      </c>
    </row>
    <row r="1135">
      <c r="A1135" s="2" t="inlineStr">
        <is>
          <t>0001931780PCFE0</t>
        </is>
      </c>
      <c r="B1135" s="8" t="inlineStr">
        <is>
          <t>12 Months</t>
        </is>
      </c>
      <c r="C1135" s="8" t="n">
        <v>29.427872</v>
      </c>
      <c r="D1135" s="8" t="n">
        <v>221</v>
      </c>
      <c r="E1135" s="8" t="inlineStr">
        <is>
          <t>0001931780PCFE0</t>
        </is>
      </c>
      <c r="F1135" s="8" t="inlineStr">
        <is>
          <t>24 Months</t>
        </is>
      </c>
      <c r="G1135" s="8" t="n">
        <v>29.617872</v>
      </c>
      <c r="H1135" s="8" t="n">
        <v>221</v>
      </c>
      <c r="I1135" s="8" t="inlineStr">
        <is>
          <t>0001931780PCFE0</t>
        </is>
      </c>
      <c r="J1135" s="8" t="inlineStr">
        <is>
          <t>36 Months</t>
        </is>
      </c>
      <c r="K1135" s="8" t="n">
        <v>29.757872</v>
      </c>
      <c r="L1135" s="4" t="n">
        <v>221</v>
      </c>
    </row>
    <row r="1136">
      <c r="A1136" s="2" t="inlineStr">
        <is>
          <t>0002105740WM96B</t>
        </is>
      </c>
      <c r="B1136" s="8" t="inlineStr">
        <is>
          <t>12 Months</t>
        </is>
      </c>
      <c r="C1136" s="8" t="n">
        <v>28.150395</v>
      </c>
      <c r="D1136" s="8" t="n">
        <v>408</v>
      </c>
      <c r="E1136" s="8" t="inlineStr">
        <is>
          <t>0002105740WM96B</t>
        </is>
      </c>
      <c r="F1136" s="8" t="inlineStr">
        <is>
          <t>24 Months</t>
        </is>
      </c>
      <c r="G1136" s="8" t="n">
        <v>28.340395</v>
      </c>
      <c r="H1136" s="8" t="n">
        <v>408</v>
      </c>
      <c r="I1136" s="8" t="inlineStr">
        <is>
          <t>0002105740WM96B</t>
        </is>
      </c>
      <c r="J1136" s="8" t="inlineStr">
        <is>
          <t>36 Months</t>
        </is>
      </c>
      <c r="K1136" s="8" t="n">
        <v>28.480395</v>
      </c>
      <c r="L1136" s="4" t="n">
        <v>408</v>
      </c>
    </row>
    <row r="1137">
      <c r="A1137" s="2" t="inlineStr">
        <is>
          <t>0003140222AAD30</t>
        </is>
      </c>
      <c r="B1137" s="8" t="inlineStr">
        <is>
          <t>12 Months</t>
        </is>
      </c>
      <c r="C1137" s="8" t="n">
        <v>19.55</v>
      </c>
      <c r="D1137" s="8" t="n">
        <v>73</v>
      </c>
      <c r="E1137" s="8" t="inlineStr">
        <is>
          <t>0003140222AAD30</t>
        </is>
      </c>
      <c r="F1137" s="8" t="inlineStr">
        <is>
          <t>24 Months</t>
        </is>
      </c>
      <c r="G1137" s="8" t="n">
        <v>19.74</v>
      </c>
      <c r="H1137" s="8" t="n">
        <v>73</v>
      </c>
      <c r="I1137" s="8" t="inlineStr">
        <is>
          <t>0003140222AAD30</t>
        </is>
      </c>
      <c r="J1137" s="8" t="inlineStr">
        <is>
          <t>36 Months</t>
        </is>
      </c>
      <c r="K1137" s="8" t="n">
        <v>19.88</v>
      </c>
      <c r="L1137" s="4" t="n">
        <v>73</v>
      </c>
    </row>
    <row r="1138">
      <c r="A1138" s="2" t="inlineStr">
        <is>
          <t>0003860192TP8AB</t>
        </is>
      </c>
      <c r="B1138" s="8" t="inlineStr">
        <is>
          <t>12 Months</t>
        </is>
      </c>
      <c r="C1138" s="8" t="n">
        <v>27.4738689</v>
      </c>
      <c r="D1138" s="8" t="n">
        <v>232.61</v>
      </c>
      <c r="E1138" s="8" t="inlineStr">
        <is>
          <t>0003860192TP8AB</t>
        </is>
      </c>
      <c r="F1138" s="8" t="inlineStr">
        <is>
          <t>24 Months</t>
        </is>
      </c>
      <c r="G1138" s="8" t="n">
        <v>27.6638689</v>
      </c>
      <c r="H1138" s="8" t="n">
        <v>232.61</v>
      </c>
      <c r="I1138" s="8" t="inlineStr">
        <is>
          <t>0003860192TP8AB</t>
        </is>
      </c>
      <c r="J1138" s="8" t="inlineStr">
        <is>
          <t>36 Months</t>
        </is>
      </c>
      <c r="K1138" s="8" t="n">
        <v>27.8038689</v>
      </c>
      <c r="L1138" s="4" t="n">
        <v>232.61</v>
      </c>
    </row>
    <row r="1139">
      <c r="A1139" s="2" t="inlineStr">
        <is>
          <t>0004067806HB1B8</t>
        </is>
      </c>
      <c r="B1139" s="8" t="inlineStr">
        <is>
          <t>12 Months</t>
        </is>
      </c>
      <c r="C1139" s="8" t="n">
        <v>29.25</v>
      </c>
      <c r="D1139" s="8" t="n">
        <v>283</v>
      </c>
      <c r="E1139" s="8" t="inlineStr">
        <is>
          <t>0004067806HB1B8</t>
        </is>
      </c>
      <c r="F1139" s="8" t="inlineStr">
        <is>
          <t>24 Months</t>
        </is>
      </c>
      <c r="G1139" s="8" t="n">
        <v>29.44</v>
      </c>
      <c r="H1139" s="8" t="n">
        <v>283</v>
      </c>
      <c r="I1139" s="8" t="inlineStr">
        <is>
          <t>0004067806HB1B8</t>
        </is>
      </c>
      <c r="J1139" s="8" t="inlineStr">
        <is>
          <t>36 Months</t>
        </is>
      </c>
      <c r="K1139" s="8" t="n">
        <v>29.58</v>
      </c>
      <c r="L1139" s="4" t="n">
        <v>283</v>
      </c>
    </row>
    <row r="1140">
      <c r="A1140" s="2" t="inlineStr">
        <is>
          <t>0004620439TP3C6</t>
        </is>
      </c>
      <c r="B1140" s="8" t="inlineStr">
        <is>
          <t>12 Months</t>
        </is>
      </c>
      <c r="C1140" s="8" t="n">
        <v>27.4738689</v>
      </c>
      <c r="D1140" s="8" t="n">
        <v>250.75</v>
      </c>
      <c r="E1140" s="8" t="inlineStr">
        <is>
          <t>0004620439TP3C6</t>
        </is>
      </c>
      <c r="F1140" s="8" t="inlineStr">
        <is>
          <t>24 Months</t>
        </is>
      </c>
      <c r="G1140" s="8" t="n">
        <v>27.6638689</v>
      </c>
      <c r="H1140" s="8" t="n">
        <v>250.75</v>
      </c>
      <c r="I1140" s="8" t="inlineStr">
        <is>
          <t>0004620439TP3C6</t>
        </is>
      </c>
      <c r="J1140" s="8" t="inlineStr">
        <is>
          <t>36 Months</t>
        </is>
      </c>
      <c r="K1140" s="8" t="n">
        <v>27.8038689</v>
      </c>
      <c r="L1140" s="4" t="n">
        <v>250.75</v>
      </c>
    </row>
    <row r="1141">
      <c r="A1141" s="2" t="inlineStr">
        <is>
          <t>0004670663ALAA1</t>
        </is>
      </c>
      <c r="B1141" s="8" t="inlineStr">
        <is>
          <t>12 Months</t>
        </is>
      </c>
      <c r="C1141" s="8" t="n">
        <v>21.252943</v>
      </c>
      <c r="D1141" s="8" t="n">
        <v>1202.81</v>
      </c>
      <c r="E1141" s="8" t="inlineStr">
        <is>
          <t>0004670663ALAA1</t>
        </is>
      </c>
      <c r="F1141" s="8" t="inlineStr">
        <is>
          <t>24 Months</t>
        </is>
      </c>
      <c r="G1141" s="8" t="n">
        <v>21.442943</v>
      </c>
      <c r="H1141" s="8" t="n">
        <v>1202.81</v>
      </c>
      <c r="I1141" s="8" t="inlineStr">
        <is>
          <t>0004670663ALAA1</t>
        </is>
      </c>
      <c r="J1141" s="8" t="inlineStr">
        <is>
          <t>36 Months</t>
        </is>
      </c>
      <c r="K1141" s="8" t="n">
        <v>21.582943</v>
      </c>
      <c r="L1141" s="4" t="n">
        <v>1202.81</v>
      </c>
    </row>
    <row r="1142">
      <c r="A1142" s="2" t="inlineStr">
        <is>
          <t>0005302990ENBEF</t>
        </is>
      </c>
      <c r="B1142" s="8" t="inlineStr">
        <is>
          <t>12 Months</t>
        </is>
      </c>
      <c r="C1142" s="8" t="n">
        <v>24.391152</v>
      </c>
      <c r="D1142" s="8" t="n">
        <v>403.71</v>
      </c>
      <c r="E1142" s="8" t="inlineStr">
        <is>
          <t>0005302990ENBEF</t>
        </is>
      </c>
      <c r="F1142" s="8" t="inlineStr">
        <is>
          <t>24 Months</t>
        </is>
      </c>
      <c r="G1142" s="8" t="n">
        <v>24.581152</v>
      </c>
      <c r="H1142" s="8" t="n">
        <v>403.71</v>
      </c>
      <c r="I1142" s="8" t="inlineStr">
        <is>
          <t>0005302990ENBEF</t>
        </is>
      </c>
      <c r="J1142" s="8" t="inlineStr">
        <is>
          <t>36 Months</t>
        </is>
      </c>
      <c r="K1142" s="8" t="n">
        <v>24.721152</v>
      </c>
      <c r="L1142" s="4" t="n">
        <v>403.71</v>
      </c>
    </row>
    <row r="1143">
      <c r="A1143" s="2" t="inlineStr">
        <is>
          <t>0006725275TUA67</t>
        </is>
      </c>
      <c r="B1143" s="8" t="inlineStr">
        <is>
          <t>12 Months</t>
        </is>
      </c>
      <c r="C1143" s="8" t="n">
        <v>24.15</v>
      </c>
      <c r="D1143" s="8" t="n">
        <v>913</v>
      </c>
      <c r="E1143" s="8" t="inlineStr">
        <is>
          <t>0006725275TUA67</t>
        </is>
      </c>
      <c r="F1143" s="8" t="inlineStr">
        <is>
          <t>24 Months</t>
        </is>
      </c>
      <c r="G1143" s="8" t="n">
        <v>24.34</v>
      </c>
      <c r="H1143" s="8" t="n">
        <v>913</v>
      </c>
      <c r="I1143" s="8" t="inlineStr">
        <is>
          <t>0006725275TUA67</t>
        </is>
      </c>
      <c r="J1143" s="8" t="inlineStr">
        <is>
          <t>36 Months</t>
        </is>
      </c>
      <c r="K1143" s="8" t="n">
        <v>24.48</v>
      </c>
      <c r="L1143" s="4" t="n">
        <v>913</v>
      </c>
    </row>
    <row r="1144">
      <c r="A1144" s="2" t="inlineStr">
        <is>
          <t>0007109860WM4E3</t>
        </is>
      </c>
      <c r="B1144" s="8" t="inlineStr">
        <is>
          <t>12 Months</t>
        </is>
      </c>
      <c r="C1144" s="8" t="n">
        <v>26.86063</v>
      </c>
      <c r="D1144" s="8" t="n">
        <v>783</v>
      </c>
      <c r="E1144" s="8" t="inlineStr">
        <is>
          <t>0007109860WM4E3</t>
        </is>
      </c>
      <c r="F1144" s="8" t="inlineStr">
        <is>
          <t>24 Months</t>
        </is>
      </c>
      <c r="G1144" s="8" t="n">
        <v>27.05063</v>
      </c>
      <c r="H1144" s="8" t="n">
        <v>783</v>
      </c>
      <c r="I1144" s="8" t="inlineStr">
        <is>
          <t>0007109860WM4E3</t>
        </is>
      </c>
      <c r="J1144" s="8" t="inlineStr">
        <is>
          <t>36 Months</t>
        </is>
      </c>
      <c r="K1144" s="8" t="n">
        <v>27.19063</v>
      </c>
      <c r="L1144" s="4" t="n">
        <v>783</v>
      </c>
    </row>
    <row r="1145">
      <c r="A1145" s="2" t="inlineStr">
        <is>
          <t>0007114916TUD0B</t>
        </is>
      </c>
      <c r="B1145" s="8" t="inlineStr">
        <is>
          <t>12 Months</t>
        </is>
      </c>
      <c r="C1145" s="8" t="n">
        <v>28.48616</v>
      </c>
      <c r="D1145" s="8" t="n">
        <v>283</v>
      </c>
      <c r="E1145" s="8" t="inlineStr">
        <is>
          <t>0007114916TUD0B</t>
        </is>
      </c>
      <c r="F1145" s="8" t="inlineStr">
        <is>
          <t>24 Months</t>
        </is>
      </c>
      <c r="G1145" s="8" t="n">
        <v>28.67616</v>
      </c>
      <c r="H1145" s="8" t="n">
        <v>283</v>
      </c>
      <c r="I1145" s="8" t="inlineStr">
        <is>
          <t>0007114916TUD0B</t>
        </is>
      </c>
      <c r="J1145" s="8" t="inlineStr">
        <is>
          <t>36 Months</t>
        </is>
      </c>
      <c r="K1145" s="8" t="n">
        <v>28.81616</v>
      </c>
      <c r="L1145" s="4" t="n">
        <v>283</v>
      </c>
    </row>
    <row r="1146">
      <c r="A1146" s="2" t="inlineStr">
        <is>
          <t>0007118408RN645</t>
        </is>
      </c>
      <c r="B1146" s="8" t="inlineStr">
        <is>
          <t>12 Months</t>
        </is>
      </c>
      <c r="C1146" s="8" t="n">
        <v>23.813688</v>
      </c>
      <c r="D1146" s="8" t="n">
        <v>1369.41</v>
      </c>
      <c r="E1146" s="8" t="inlineStr">
        <is>
          <t>0007118408RN645</t>
        </is>
      </c>
      <c r="F1146" s="8" t="inlineStr">
        <is>
          <t>24 Months</t>
        </is>
      </c>
      <c r="G1146" s="8" t="n">
        <v>24.003688</v>
      </c>
      <c r="H1146" s="8" t="n">
        <v>1369.41</v>
      </c>
      <c r="I1146" s="8" t="inlineStr">
        <is>
          <t>0007118408RN645</t>
        </is>
      </c>
      <c r="J1146" s="8" t="inlineStr">
        <is>
          <t>36 Months</t>
        </is>
      </c>
      <c r="K1146" s="8" t="n">
        <v>24.143688</v>
      </c>
      <c r="L1146" s="4" t="n">
        <v>1369.41</v>
      </c>
    </row>
    <row r="1147">
      <c r="A1147" s="2" t="inlineStr">
        <is>
          <t>0007131142RN619</t>
        </is>
      </c>
      <c r="B1147" s="8" t="inlineStr">
        <is>
          <t>12 Months</t>
        </is>
      </c>
      <c r="C1147" s="8" t="n">
        <v>24.3842131</v>
      </c>
      <c r="D1147" s="8" t="n">
        <v>377.14</v>
      </c>
      <c r="E1147" s="8" t="inlineStr">
        <is>
          <t>0007131142RN619</t>
        </is>
      </c>
      <c r="F1147" s="8" t="inlineStr">
        <is>
          <t>24 Months</t>
        </is>
      </c>
      <c r="G1147" s="8" t="n">
        <v>24.5742131</v>
      </c>
      <c r="H1147" s="8" t="n">
        <v>377.14</v>
      </c>
      <c r="I1147" s="8" t="inlineStr">
        <is>
          <t>0007131142RN619</t>
        </is>
      </c>
      <c r="J1147" s="8" t="inlineStr">
        <is>
          <t>36 Months</t>
        </is>
      </c>
      <c r="K1147" s="8" t="n">
        <v>24.7142131</v>
      </c>
      <c r="L1147" s="4" t="n">
        <v>377.14</v>
      </c>
    </row>
    <row r="1148">
      <c r="A1148" s="2" t="inlineStr">
        <is>
          <t>0007143106RNC4F</t>
        </is>
      </c>
      <c r="B1148" s="8" t="inlineStr">
        <is>
          <t>12 Months</t>
        </is>
      </c>
      <c r="C1148" s="8" t="n">
        <v>23.813688</v>
      </c>
      <c r="D1148" s="8" t="n">
        <v>1369.41</v>
      </c>
      <c r="E1148" s="8" t="inlineStr">
        <is>
          <t>0007143106RNC4F</t>
        </is>
      </c>
      <c r="F1148" s="8" t="inlineStr">
        <is>
          <t>24 Months</t>
        </is>
      </c>
      <c r="G1148" s="8" t="n">
        <v>24.003688</v>
      </c>
      <c r="H1148" s="8" t="n">
        <v>1369.41</v>
      </c>
      <c r="I1148" s="8" t="inlineStr">
        <is>
          <t>0007143106RNC4F</t>
        </is>
      </c>
      <c r="J1148" s="8" t="inlineStr">
        <is>
          <t>36 Months</t>
        </is>
      </c>
      <c r="K1148" s="8" t="n">
        <v>24.143688</v>
      </c>
      <c r="L1148" s="4" t="n">
        <v>1369.41</v>
      </c>
    </row>
    <row r="1149">
      <c r="A1149" s="2" t="inlineStr">
        <is>
          <t>0007194919RN100</t>
        </is>
      </c>
      <c r="B1149" s="8" t="inlineStr">
        <is>
          <t>12 Months</t>
        </is>
      </c>
      <c r="C1149" s="8" t="n">
        <v>27.6530588</v>
      </c>
      <c r="D1149" s="8" t="n">
        <v>148.72</v>
      </c>
      <c r="E1149" s="8" t="inlineStr">
        <is>
          <t>0007194919RN100</t>
        </is>
      </c>
      <c r="F1149" s="8" t="inlineStr">
        <is>
          <t>24 Months</t>
        </is>
      </c>
      <c r="G1149" s="8" t="n">
        <v>27.8430588</v>
      </c>
      <c r="H1149" s="8" t="n">
        <v>148.72</v>
      </c>
      <c r="I1149" s="8" t="inlineStr">
        <is>
          <t>0007194919RN100</t>
        </is>
      </c>
      <c r="J1149" s="8" t="inlineStr">
        <is>
          <t>36 Months</t>
        </is>
      </c>
      <c r="K1149" s="8" t="n">
        <v>27.9830588</v>
      </c>
      <c r="L1149" s="4" t="n">
        <v>148.72</v>
      </c>
    </row>
    <row r="1150">
      <c r="A1150" s="2" t="inlineStr">
        <is>
          <t>0007392206ALC3A</t>
        </is>
      </c>
      <c r="B1150" s="8" t="inlineStr">
        <is>
          <t>12 Months</t>
        </is>
      </c>
      <c r="C1150" s="8" t="n">
        <v>21.252943</v>
      </c>
      <c r="D1150" s="8" t="n">
        <v>1326.9</v>
      </c>
      <c r="E1150" s="8" t="inlineStr">
        <is>
          <t>0007392206ALC3A</t>
        </is>
      </c>
      <c r="F1150" s="8" t="inlineStr">
        <is>
          <t>24 Months</t>
        </is>
      </c>
      <c r="G1150" s="8" t="n">
        <v>21.442943</v>
      </c>
      <c r="H1150" s="8" t="n">
        <v>1326.9</v>
      </c>
      <c r="I1150" s="8" t="inlineStr">
        <is>
          <t>0007392206ALC3A</t>
        </is>
      </c>
      <c r="J1150" s="8" t="inlineStr">
        <is>
          <t>36 Months</t>
        </is>
      </c>
      <c r="K1150" s="8" t="n">
        <v>21.582943</v>
      </c>
      <c r="L1150" s="4" t="n">
        <v>1326.9</v>
      </c>
    </row>
    <row r="1151">
      <c r="A1151" s="2" t="inlineStr">
        <is>
          <t>0007731600WM053</t>
        </is>
      </c>
      <c r="B1151" s="8" t="inlineStr">
        <is>
          <t>12 Months</t>
        </is>
      </c>
      <c r="C1151" s="8" t="n">
        <v>27.593895</v>
      </c>
      <c r="D1151" s="8" t="n">
        <v>573</v>
      </c>
      <c r="E1151" s="8" t="inlineStr">
        <is>
          <t>0007731600WM053</t>
        </is>
      </c>
      <c r="F1151" s="8" t="inlineStr">
        <is>
          <t>24 Months</t>
        </is>
      </c>
      <c r="G1151" s="8" t="n">
        <v>27.783895</v>
      </c>
      <c r="H1151" s="8" t="n">
        <v>573</v>
      </c>
      <c r="I1151" s="8" t="inlineStr">
        <is>
          <t>0007731600WM053</t>
        </is>
      </c>
      <c r="J1151" s="8" t="inlineStr">
        <is>
          <t>36 Months</t>
        </is>
      </c>
      <c r="K1151" s="8" t="n">
        <v>27.923895</v>
      </c>
      <c r="L1151" s="4" t="n">
        <v>573</v>
      </c>
    </row>
    <row r="1152">
      <c r="A1152" s="2" t="inlineStr">
        <is>
          <t>0007821200WMAC9</t>
        </is>
      </c>
      <c r="B1152" s="8" t="inlineStr">
        <is>
          <t>12 Months</t>
        </is>
      </c>
      <c r="C1152" s="8" t="n">
        <v>27.189335</v>
      </c>
      <c r="D1152" s="8" t="n">
        <v>423</v>
      </c>
      <c r="E1152" s="8" t="inlineStr">
        <is>
          <t>0007821200WMAC9</t>
        </is>
      </c>
      <c r="F1152" s="8" t="inlineStr">
        <is>
          <t>24 Months</t>
        </is>
      </c>
      <c r="G1152" s="8" t="n">
        <v>27.379335</v>
      </c>
      <c r="H1152" s="8" t="n">
        <v>423</v>
      </c>
      <c r="I1152" s="8" t="inlineStr">
        <is>
          <t>0007821200WMAC9</t>
        </is>
      </c>
      <c r="J1152" s="8" t="inlineStr">
        <is>
          <t>36 Months</t>
        </is>
      </c>
      <c r="K1152" s="8" t="n">
        <v>27.519335</v>
      </c>
      <c r="L1152" s="4" t="n">
        <v>423</v>
      </c>
    </row>
    <row r="1153">
      <c r="A1153" s="2" t="inlineStr">
        <is>
          <t>0008803763NV80A</t>
        </is>
      </c>
      <c r="B1153" s="8" t="inlineStr">
        <is>
          <t>12 Months</t>
        </is>
      </c>
      <c r="C1153" s="8" t="n">
        <v>24.833809</v>
      </c>
      <c r="D1153" s="8" t="n">
        <v>646.17</v>
      </c>
      <c r="E1153" s="8" t="inlineStr">
        <is>
          <t>0008803763NV80A</t>
        </is>
      </c>
      <c r="F1153" s="8" t="inlineStr">
        <is>
          <t>24 Months</t>
        </is>
      </c>
      <c r="G1153" s="8" t="n">
        <v>25.023809</v>
      </c>
      <c r="H1153" s="8" t="n">
        <v>646.17</v>
      </c>
      <c r="I1153" s="8" t="inlineStr">
        <is>
          <t>0008803763NV80A</t>
        </is>
      </c>
      <c r="J1153" s="8" t="inlineStr">
        <is>
          <t>36 Months</t>
        </is>
      </c>
      <c r="K1153" s="8" t="n">
        <v>25.163809</v>
      </c>
      <c r="L1153" s="4" t="n">
        <v>646.17</v>
      </c>
    </row>
    <row r="1154">
      <c r="A1154" s="2" t="inlineStr">
        <is>
          <t>0011001339PC3B8</t>
        </is>
      </c>
      <c r="B1154" s="8" t="inlineStr">
        <is>
          <t>12 Months</t>
        </is>
      </c>
      <c r="C1154" s="8" t="n">
        <v>29.427872</v>
      </c>
      <c r="D1154" s="8" t="n">
        <v>221</v>
      </c>
      <c r="E1154" s="8" t="inlineStr">
        <is>
          <t>0011001339PC3B8</t>
        </is>
      </c>
      <c r="F1154" s="8" t="inlineStr">
        <is>
          <t>24 Months</t>
        </is>
      </c>
      <c r="G1154" s="8" t="n">
        <v>29.617872</v>
      </c>
      <c r="H1154" s="8" t="n">
        <v>221</v>
      </c>
      <c r="I1154" s="8" t="inlineStr">
        <is>
          <t>0011001339PC3B8</t>
        </is>
      </c>
      <c r="J1154" s="8" t="inlineStr">
        <is>
          <t>36 Months</t>
        </is>
      </c>
      <c r="K1154" s="8" t="n">
        <v>29.757872</v>
      </c>
      <c r="L1154" s="4" t="n">
        <v>221</v>
      </c>
    </row>
    <row r="1155">
      <c r="A1155" s="2" t="inlineStr">
        <is>
          <t>0011006140PC6D3</t>
        </is>
      </c>
      <c r="B1155" s="8" t="inlineStr">
        <is>
          <t>12 Months</t>
        </is>
      </c>
      <c r="C1155" s="8" t="n">
        <v>29.427872</v>
      </c>
      <c r="D1155" s="8" t="n">
        <v>221</v>
      </c>
      <c r="E1155" s="8" t="inlineStr">
        <is>
          <t>0011006140PC6D3</t>
        </is>
      </c>
      <c r="F1155" s="8" t="inlineStr">
        <is>
          <t>24 Months</t>
        </is>
      </c>
      <c r="G1155" s="8" t="n">
        <v>29.617872</v>
      </c>
      <c r="H1155" s="8" t="n">
        <v>221</v>
      </c>
      <c r="I1155" s="8" t="inlineStr">
        <is>
          <t>0011006140PC6D3</t>
        </is>
      </c>
      <c r="J1155" s="8" t="inlineStr">
        <is>
          <t>36 Months</t>
        </is>
      </c>
      <c r="K1155" s="8" t="n">
        <v>29.757872</v>
      </c>
      <c r="L1155" s="4" t="n">
        <v>221</v>
      </c>
    </row>
    <row r="1156">
      <c r="A1156" s="2" t="inlineStr">
        <is>
          <t>0011006852PC5F2</t>
        </is>
      </c>
      <c r="B1156" s="8" t="inlineStr">
        <is>
          <t>12 Months</t>
        </is>
      </c>
      <c r="C1156" s="8" t="n">
        <v>29.427872</v>
      </c>
      <c r="D1156" s="8" t="n">
        <v>221</v>
      </c>
      <c r="E1156" s="8" t="inlineStr">
        <is>
          <t>0011006852PC5F2</t>
        </is>
      </c>
      <c r="F1156" s="8" t="inlineStr">
        <is>
          <t>24 Months</t>
        </is>
      </c>
      <c r="G1156" s="8" t="n">
        <v>29.617872</v>
      </c>
      <c r="H1156" s="8" t="n">
        <v>221</v>
      </c>
      <c r="I1156" s="8" t="inlineStr">
        <is>
          <t>0011006852PC5F2</t>
        </is>
      </c>
      <c r="J1156" s="8" t="inlineStr">
        <is>
          <t>36 Months</t>
        </is>
      </c>
      <c r="K1156" s="8" t="n">
        <v>29.757872</v>
      </c>
      <c r="L1156" s="4" t="n">
        <v>221</v>
      </c>
    </row>
    <row r="1157">
      <c r="A1157" s="2" t="inlineStr">
        <is>
          <t>0011007482PC51C</t>
        </is>
      </c>
      <c r="B1157" s="8" t="inlineStr">
        <is>
          <t>12 Months</t>
        </is>
      </c>
      <c r="C1157" s="8" t="n">
        <v>29.427872</v>
      </c>
      <c r="D1157" s="8" t="n">
        <v>221</v>
      </c>
      <c r="E1157" s="8" t="inlineStr">
        <is>
          <t>0011007482PC51C</t>
        </is>
      </c>
      <c r="F1157" s="8" t="inlineStr">
        <is>
          <t>24 Months</t>
        </is>
      </c>
      <c r="G1157" s="8" t="n">
        <v>29.617872</v>
      </c>
      <c r="H1157" s="8" t="n">
        <v>221</v>
      </c>
      <c r="I1157" s="8" t="inlineStr">
        <is>
          <t>0011007482PC51C</t>
        </is>
      </c>
      <c r="J1157" s="8" t="inlineStr">
        <is>
          <t>36 Months</t>
        </is>
      </c>
      <c r="K1157" s="8" t="n">
        <v>29.757872</v>
      </c>
      <c r="L1157" s="4" t="n">
        <v>221</v>
      </c>
    </row>
    <row r="1158">
      <c r="A1158" s="2" t="inlineStr">
        <is>
          <t>0030306524PCB33</t>
        </is>
      </c>
      <c r="B1158" s="8" t="inlineStr">
        <is>
          <t>12 Months</t>
        </is>
      </c>
      <c r="C1158" s="8" t="n">
        <v>29.427872</v>
      </c>
      <c r="D1158" s="8" t="n">
        <v>304.57</v>
      </c>
      <c r="E1158" s="8" t="inlineStr">
        <is>
          <t>0030306524PCB33</t>
        </is>
      </c>
      <c r="F1158" s="8" t="inlineStr">
        <is>
          <t>24 Months</t>
        </is>
      </c>
      <c r="G1158" s="8" t="n">
        <v>29.617872</v>
      </c>
      <c r="H1158" s="8" t="n">
        <v>304.57</v>
      </c>
      <c r="I1158" s="8" t="inlineStr">
        <is>
          <t>0030306524PCB33</t>
        </is>
      </c>
      <c r="J1158" s="8" t="inlineStr">
        <is>
          <t>36 Months</t>
        </is>
      </c>
      <c r="K1158" s="8" t="n">
        <v>29.757872</v>
      </c>
      <c r="L1158" s="4" t="n">
        <v>304.57</v>
      </c>
    </row>
    <row r="1159">
      <c r="A1159" s="2" t="inlineStr">
        <is>
          <t>0030530098PCA11</t>
        </is>
      </c>
      <c r="B1159" s="8" t="inlineStr">
        <is>
          <t>12 Months</t>
        </is>
      </c>
      <c r="C1159" s="8" t="n">
        <v>29.427872</v>
      </c>
      <c r="D1159" s="8" t="n">
        <v>221</v>
      </c>
      <c r="E1159" s="8" t="inlineStr">
        <is>
          <t>0030530098PCA11</t>
        </is>
      </c>
      <c r="F1159" s="8" t="inlineStr">
        <is>
          <t>24 Months</t>
        </is>
      </c>
      <c r="G1159" s="8" t="n">
        <v>29.617872</v>
      </c>
      <c r="H1159" s="8" t="n">
        <v>221</v>
      </c>
      <c r="I1159" s="8" t="inlineStr">
        <is>
          <t>0030530098PCA11</t>
        </is>
      </c>
      <c r="J1159" s="8" t="inlineStr">
        <is>
          <t>36 Months</t>
        </is>
      </c>
      <c r="K1159" s="8" t="n">
        <v>29.757872</v>
      </c>
      <c r="L1159" s="4" t="n">
        <v>221</v>
      </c>
    </row>
    <row r="1160">
      <c r="A1160" s="2" t="inlineStr">
        <is>
          <t>0035529024PCBAE</t>
        </is>
      </c>
      <c r="B1160" s="8" t="inlineStr">
        <is>
          <t>12 Months</t>
        </is>
      </c>
      <c r="C1160" s="8" t="n">
        <v>32.346128</v>
      </c>
      <c r="D1160" s="8" t="n">
        <v>248</v>
      </c>
      <c r="E1160" s="8" t="inlineStr">
        <is>
          <t>0035529024PCBAE</t>
        </is>
      </c>
      <c r="F1160" s="8" t="inlineStr">
        <is>
          <t>24 Months</t>
        </is>
      </c>
      <c r="G1160" s="8" t="n">
        <v>32.53612800000001</v>
      </c>
      <c r="H1160" s="8" t="n">
        <v>248</v>
      </c>
      <c r="I1160" s="8" t="inlineStr">
        <is>
          <t>0035529024PCBAE</t>
        </is>
      </c>
      <c r="J1160" s="8" t="inlineStr">
        <is>
          <t>36 Months</t>
        </is>
      </c>
      <c r="K1160" s="8" t="n">
        <v>32.676128</v>
      </c>
      <c r="L1160" s="4" t="n">
        <v>248</v>
      </c>
    </row>
    <row r="1161">
      <c r="A1161" s="2" t="inlineStr">
        <is>
          <t>0035880213PC771</t>
        </is>
      </c>
      <c r="B1161" s="8" t="inlineStr">
        <is>
          <t>12 Months</t>
        </is>
      </c>
      <c r="C1161" s="8" t="n">
        <v>32.346128</v>
      </c>
      <c r="D1161" s="8" t="n">
        <v>248</v>
      </c>
      <c r="E1161" s="8" t="inlineStr">
        <is>
          <t>0035880213PC771</t>
        </is>
      </c>
      <c r="F1161" s="8" t="inlineStr">
        <is>
          <t>24 Months</t>
        </is>
      </c>
      <c r="G1161" s="8" t="n">
        <v>32.53612800000001</v>
      </c>
      <c r="H1161" s="8" t="n">
        <v>248</v>
      </c>
      <c r="I1161" s="8" t="inlineStr">
        <is>
          <t>0035880213PC771</t>
        </is>
      </c>
      <c r="J1161" s="8" t="inlineStr">
        <is>
          <t>36 Months</t>
        </is>
      </c>
      <c r="K1161" s="8" t="n">
        <v>32.676128</v>
      </c>
      <c r="L1161" s="4" t="n">
        <v>248</v>
      </c>
    </row>
    <row r="1162">
      <c r="A1162" s="2" t="inlineStr">
        <is>
          <t>0042251303PCE11</t>
        </is>
      </c>
      <c r="B1162" s="8" t="inlineStr">
        <is>
          <t>12 Months</t>
        </is>
      </c>
      <c r="C1162" s="8" t="n">
        <v>32.346128</v>
      </c>
      <c r="D1162" s="8" t="n">
        <v>248</v>
      </c>
      <c r="E1162" s="8" t="inlineStr">
        <is>
          <t>0042251303PCE11</t>
        </is>
      </c>
      <c r="F1162" s="8" t="inlineStr">
        <is>
          <t>24 Months</t>
        </is>
      </c>
      <c r="G1162" s="8" t="n">
        <v>32.53612800000001</v>
      </c>
      <c r="H1162" s="8" t="n">
        <v>248</v>
      </c>
      <c r="I1162" s="8" t="inlineStr">
        <is>
          <t>0042251303PCE11</t>
        </is>
      </c>
      <c r="J1162" s="8" t="inlineStr">
        <is>
          <t>36 Months</t>
        </is>
      </c>
      <c r="K1162" s="8" t="n">
        <v>32.676128</v>
      </c>
      <c r="L1162" s="4" t="n">
        <v>248</v>
      </c>
    </row>
    <row r="1163">
      <c r="A1163" s="2" t="inlineStr">
        <is>
          <t>0047123930PCE3C</t>
        </is>
      </c>
      <c r="B1163" s="8" t="inlineStr">
        <is>
          <t>12 Months</t>
        </is>
      </c>
      <c r="C1163" s="8" t="n">
        <v>32.346128</v>
      </c>
      <c r="D1163" s="8" t="n">
        <v>248</v>
      </c>
      <c r="E1163" s="8" t="inlineStr">
        <is>
          <t>0047123930PCE3C</t>
        </is>
      </c>
      <c r="F1163" s="8" t="inlineStr">
        <is>
          <t>24 Months</t>
        </is>
      </c>
      <c r="G1163" s="8" t="n">
        <v>32.53612800000001</v>
      </c>
      <c r="H1163" s="8" t="n">
        <v>248</v>
      </c>
      <c r="I1163" s="8" t="inlineStr">
        <is>
          <t>0047123930PCE3C</t>
        </is>
      </c>
      <c r="J1163" s="8" t="inlineStr">
        <is>
          <t>36 Months</t>
        </is>
      </c>
      <c r="K1163" s="8" t="n">
        <v>32.676128</v>
      </c>
      <c r="L1163" s="4" t="n">
        <v>248</v>
      </c>
    </row>
    <row r="1164">
      <c r="A1164" s="2" t="inlineStr">
        <is>
          <t>0071098630WMAC0</t>
        </is>
      </c>
      <c r="B1164" s="8" t="inlineStr">
        <is>
          <t>12 Months</t>
        </is>
      </c>
      <c r="C1164" s="8" t="n">
        <v>26.886145</v>
      </c>
      <c r="D1164" s="8" t="n">
        <v>2038.36</v>
      </c>
      <c r="E1164" s="8" t="inlineStr">
        <is>
          <t>0071098630WMAC0</t>
        </is>
      </c>
      <c r="F1164" s="8" t="inlineStr">
        <is>
          <t>24 Months</t>
        </is>
      </c>
      <c r="G1164" s="8" t="n">
        <v>27.076145</v>
      </c>
      <c r="H1164" s="8" t="n">
        <v>2038.36</v>
      </c>
      <c r="I1164" s="8" t="inlineStr">
        <is>
          <t>0071098630WMAC0</t>
        </is>
      </c>
      <c r="J1164" s="8" t="inlineStr">
        <is>
          <t>36 Months</t>
        </is>
      </c>
      <c r="K1164" s="8" t="n">
        <v>27.216145</v>
      </c>
      <c r="L1164" s="4" t="n">
        <v>2038.36</v>
      </c>
    </row>
    <row r="1165">
      <c r="A1165" s="2" t="inlineStr">
        <is>
          <t>0075241357WEF68</t>
        </is>
      </c>
      <c r="B1165" s="8" t="inlineStr">
        <is>
          <t>12 Months</t>
        </is>
      </c>
      <c r="C1165" s="8" t="n">
        <v>27.236927</v>
      </c>
      <c r="D1165" s="8" t="n">
        <v>423</v>
      </c>
      <c r="E1165" s="8" t="inlineStr">
        <is>
          <t>0075241357WEF68</t>
        </is>
      </c>
      <c r="F1165" s="8" t="inlineStr">
        <is>
          <t>24 Months</t>
        </is>
      </c>
      <c r="G1165" s="8" t="n">
        <v>27.426927</v>
      </c>
      <c r="H1165" s="8" t="n">
        <v>423</v>
      </c>
      <c r="I1165" s="8" t="inlineStr">
        <is>
          <t>0075241357WEF68</t>
        </is>
      </c>
      <c r="J1165" s="8" t="inlineStr">
        <is>
          <t>36 Months</t>
        </is>
      </c>
      <c r="K1165" s="8" t="n">
        <v>27.566927</v>
      </c>
      <c r="L1165" s="4" t="n">
        <v>423</v>
      </c>
    </row>
    <row r="1166">
      <c r="A1166" s="2" t="inlineStr">
        <is>
          <t>0080011664PC16A</t>
        </is>
      </c>
      <c r="B1166" s="8" t="inlineStr">
        <is>
          <t>12 Months</t>
        </is>
      </c>
      <c r="C1166" s="8" t="n">
        <v>29.427872</v>
      </c>
      <c r="D1166" s="8" t="n">
        <v>221</v>
      </c>
      <c r="E1166" s="8" t="inlineStr">
        <is>
          <t>0080011664PC16A</t>
        </is>
      </c>
      <c r="F1166" s="8" t="inlineStr">
        <is>
          <t>24 Months</t>
        </is>
      </c>
      <c r="G1166" s="8" t="n">
        <v>29.617872</v>
      </c>
      <c r="H1166" s="8" t="n">
        <v>221</v>
      </c>
      <c r="I1166" s="8" t="inlineStr">
        <is>
          <t>0080011664PC16A</t>
        </is>
      </c>
      <c r="J1166" s="8" t="inlineStr">
        <is>
          <t>36 Months</t>
        </is>
      </c>
      <c r="K1166" s="8" t="n">
        <v>29.757872</v>
      </c>
      <c r="L1166" s="4" t="n">
        <v>221</v>
      </c>
    </row>
    <row r="1167">
      <c r="A1167" s="2" t="inlineStr">
        <is>
          <t>0080012802PCBFE</t>
        </is>
      </c>
      <c r="B1167" s="8" t="inlineStr">
        <is>
          <t>12 Months</t>
        </is>
      </c>
      <c r="C1167" s="8" t="n">
        <v>29.427872</v>
      </c>
      <c r="D1167" s="8" t="n">
        <v>221</v>
      </c>
      <c r="E1167" s="8" t="inlineStr">
        <is>
          <t>0080012802PCBFE</t>
        </is>
      </c>
      <c r="F1167" s="8" t="inlineStr">
        <is>
          <t>24 Months</t>
        </is>
      </c>
      <c r="G1167" s="8" t="n">
        <v>29.617872</v>
      </c>
      <c r="H1167" s="8" t="n">
        <v>221</v>
      </c>
      <c r="I1167" s="8" t="inlineStr">
        <is>
          <t>0080012802PCBFE</t>
        </is>
      </c>
      <c r="J1167" s="8" t="inlineStr">
        <is>
          <t>36 Months</t>
        </is>
      </c>
      <c r="K1167" s="8" t="n">
        <v>29.757872</v>
      </c>
      <c r="L1167" s="4" t="n">
        <v>221</v>
      </c>
    </row>
    <row r="1168">
      <c r="A1168" s="2" t="inlineStr">
        <is>
          <t>0083634200PC7D0</t>
        </is>
      </c>
      <c r="B1168" s="8" t="inlineStr">
        <is>
          <t>12 Months</t>
        </is>
      </c>
      <c r="C1168" s="8" t="n">
        <v>29.427872</v>
      </c>
      <c r="D1168" s="8" t="n">
        <v>221</v>
      </c>
      <c r="E1168" s="8" t="inlineStr">
        <is>
          <t>0083634200PC7D0</t>
        </is>
      </c>
      <c r="F1168" s="8" t="inlineStr">
        <is>
          <t>24 Months</t>
        </is>
      </c>
      <c r="G1168" s="8" t="n">
        <v>29.617872</v>
      </c>
      <c r="H1168" s="8" t="n">
        <v>221</v>
      </c>
      <c r="I1168" s="8" t="inlineStr">
        <is>
          <t>0083634200PC7D0</t>
        </is>
      </c>
      <c r="J1168" s="8" t="inlineStr">
        <is>
          <t>36 Months</t>
        </is>
      </c>
      <c r="K1168" s="8" t="n">
        <v>29.757872</v>
      </c>
      <c r="L1168" s="4" t="n">
        <v>221</v>
      </c>
    </row>
    <row r="1169">
      <c r="A1169" s="2" t="inlineStr">
        <is>
          <t>0083973001PC01D</t>
        </is>
      </c>
      <c r="B1169" s="8" t="inlineStr">
        <is>
          <t>12 Months</t>
        </is>
      </c>
      <c r="C1169" s="8" t="n">
        <v>29.427872</v>
      </c>
      <c r="D1169" s="8" t="n">
        <v>221</v>
      </c>
      <c r="E1169" s="8" t="inlineStr">
        <is>
          <t>0083973001PC01D</t>
        </is>
      </c>
      <c r="F1169" s="8" t="inlineStr">
        <is>
          <t>24 Months</t>
        </is>
      </c>
      <c r="G1169" s="8" t="n">
        <v>29.617872</v>
      </c>
      <c r="H1169" s="8" t="n">
        <v>221</v>
      </c>
      <c r="I1169" s="8" t="inlineStr">
        <is>
          <t>0083973001PC01D</t>
        </is>
      </c>
      <c r="J1169" s="8" t="inlineStr">
        <is>
          <t>36 Months</t>
        </is>
      </c>
      <c r="K1169" s="8" t="n">
        <v>29.757872</v>
      </c>
      <c r="L1169" s="4" t="n">
        <v>221</v>
      </c>
    </row>
    <row r="1170">
      <c r="A1170" s="2" t="inlineStr">
        <is>
          <t>0088031221NVA65</t>
        </is>
      </c>
      <c r="B1170" s="8" t="inlineStr">
        <is>
          <t>12 Months</t>
        </is>
      </c>
      <c r="C1170" s="8" t="n">
        <v>24.833809</v>
      </c>
      <c r="D1170" s="8" t="n">
        <v>252.69</v>
      </c>
      <c r="E1170" s="8" t="inlineStr">
        <is>
          <t>0088031221NVA65</t>
        </is>
      </c>
      <c r="F1170" s="8" t="inlineStr">
        <is>
          <t>24 Months</t>
        </is>
      </c>
      <c r="G1170" s="8" t="n">
        <v>25.023809</v>
      </c>
      <c r="H1170" s="8" t="n">
        <v>252.69</v>
      </c>
      <c r="I1170" s="8" t="inlineStr">
        <is>
          <t>0088031221NVA65</t>
        </is>
      </c>
      <c r="J1170" s="8" t="inlineStr">
        <is>
          <t>36 Months</t>
        </is>
      </c>
      <c r="K1170" s="8" t="n">
        <v>25.163809</v>
      </c>
      <c r="L1170" s="4" t="n">
        <v>252.69</v>
      </c>
    </row>
    <row r="1171">
      <c r="A1171" s="2" t="inlineStr">
        <is>
          <t>0088910501PCBBD</t>
        </is>
      </c>
      <c r="B1171" s="8" t="inlineStr">
        <is>
          <t>12 Months</t>
        </is>
      </c>
      <c r="C1171" s="8" t="n">
        <v>29.427872</v>
      </c>
      <c r="D1171" s="8" t="n">
        <v>221</v>
      </c>
      <c r="E1171" s="8" t="inlineStr">
        <is>
          <t>0088910501PCBBD</t>
        </is>
      </c>
      <c r="F1171" s="8" t="inlineStr">
        <is>
          <t>24 Months</t>
        </is>
      </c>
      <c r="G1171" s="8" t="n">
        <v>29.617872</v>
      </c>
      <c r="H1171" s="8" t="n">
        <v>221</v>
      </c>
      <c r="I1171" s="8" t="inlineStr">
        <is>
          <t>0088910501PCBBD</t>
        </is>
      </c>
      <c r="J1171" s="8" t="inlineStr">
        <is>
          <t>36 Months</t>
        </is>
      </c>
      <c r="K1171" s="8" t="n">
        <v>29.757872</v>
      </c>
      <c r="L1171" s="4" t="n">
        <v>221</v>
      </c>
    </row>
    <row r="1172">
      <c r="A1172" s="2" t="inlineStr">
        <is>
          <t>0088934400PC1B1</t>
        </is>
      </c>
      <c r="B1172" s="8" t="inlineStr">
        <is>
          <t>12 Months</t>
        </is>
      </c>
      <c r="C1172" s="8" t="n">
        <v>32.067872</v>
      </c>
      <c r="D1172" s="8" t="n">
        <v>163</v>
      </c>
      <c r="E1172" s="8" t="inlineStr">
        <is>
          <t>0088934400PC1B1</t>
        </is>
      </c>
      <c r="F1172" s="8" t="inlineStr">
        <is>
          <t>24 Months</t>
        </is>
      </c>
      <c r="G1172" s="8" t="n">
        <v>32.25787200000001</v>
      </c>
      <c r="H1172" s="8" t="n">
        <v>163</v>
      </c>
      <c r="I1172" s="8" t="inlineStr">
        <is>
          <t>0088934400PC1B1</t>
        </is>
      </c>
      <c r="J1172" s="8" t="inlineStr">
        <is>
          <t>36 Months</t>
        </is>
      </c>
      <c r="K1172" s="8" t="n">
        <v>32.397872</v>
      </c>
      <c r="L1172" s="4" t="n">
        <v>163</v>
      </c>
    </row>
    <row r="1173">
      <c r="A1173" s="2" t="inlineStr">
        <is>
          <t>0088938701PC577</t>
        </is>
      </c>
      <c r="B1173" s="8" t="inlineStr">
        <is>
          <t>12 Months</t>
        </is>
      </c>
      <c r="C1173" s="8" t="n">
        <v>29.427872</v>
      </c>
      <c r="D1173" s="8" t="n">
        <v>221</v>
      </c>
      <c r="E1173" s="8" t="inlineStr">
        <is>
          <t>0088938701PC577</t>
        </is>
      </c>
      <c r="F1173" s="8" t="inlineStr">
        <is>
          <t>24 Months</t>
        </is>
      </c>
      <c r="G1173" s="8" t="n">
        <v>29.617872</v>
      </c>
      <c r="H1173" s="8" t="n">
        <v>221</v>
      </c>
      <c r="I1173" s="8" t="inlineStr">
        <is>
          <t>0088938701PC577</t>
        </is>
      </c>
      <c r="J1173" s="8" t="inlineStr">
        <is>
          <t>36 Months</t>
        </is>
      </c>
      <c r="K1173" s="8" t="n">
        <v>29.757872</v>
      </c>
      <c r="L1173" s="4" t="n">
        <v>221</v>
      </c>
    </row>
    <row r="1174">
      <c r="A1174" s="2" t="inlineStr">
        <is>
          <t>0088966150PCC88</t>
        </is>
      </c>
      <c r="B1174" s="8" t="inlineStr">
        <is>
          <t>12 Months</t>
        </is>
      </c>
      <c r="C1174" s="8" t="n">
        <v>32.067872</v>
      </c>
      <c r="D1174" s="8" t="n">
        <v>163</v>
      </c>
      <c r="E1174" s="8" t="inlineStr">
        <is>
          <t>0088966150PCC88</t>
        </is>
      </c>
      <c r="F1174" s="8" t="inlineStr">
        <is>
          <t>24 Months</t>
        </is>
      </c>
      <c r="G1174" s="8" t="n">
        <v>32.25787200000001</v>
      </c>
      <c r="H1174" s="8" t="n">
        <v>163</v>
      </c>
      <c r="I1174" s="8" t="inlineStr">
        <is>
          <t>0088966150PCC88</t>
        </is>
      </c>
      <c r="J1174" s="8" t="inlineStr">
        <is>
          <t>36 Months</t>
        </is>
      </c>
      <c r="K1174" s="8" t="n">
        <v>32.397872</v>
      </c>
      <c r="L1174" s="4" t="n">
        <v>163</v>
      </c>
    </row>
    <row r="1175">
      <c r="A1175" s="2" t="inlineStr">
        <is>
          <t>0300278047LC2C3</t>
        </is>
      </c>
      <c r="B1175" s="8" t="inlineStr">
        <is>
          <t>12 Months</t>
        </is>
      </c>
      <c r="C1175" s="8" t="n">
        <v>19.55</v>
      </c>
      <c r="D1175" s="8" t="n">
        <v>636.61</v>
      </c>
      <c r="E1175" s="8" t="inlineStr">
        <is>
          <t>0300278047LC2C3</t>
        </is>
      </c>
      <c r="F1175" s="8" t="inlineStr">
        <is>
          <t>24 Months</t>
        </is>
      </c>
      <c r="G1175" s="8" t="n">
        <v>19.74</v>
      </c>
      <c r="H1175" s="8" t="n">
        <v>636.61</v>
      </c>
      <c r="I1175" s="8" t="inlineStr">
        <is>
          <t>0300278047LC2C3</t>
        </is>
      </c>
      <c r="J1175" s="8" t="inlineStr">
        <is>
          <t>36 Months</t>
        </is>
      </c>
      <c r="K1175" s="8" t="n">
        <v>19.88</v>
      </c>
      <c r="L1175" s="4" t="n">
        <v>636.61</v>
      </c>
    </row>
    <row r="1176">
      <c r="A1176" s="2" t="inlineStr">
        <is>
          <t>0346100364LCEED</t>
        </is>
      </c>
      <c r="B1176" s="8" t="inlineStr">
        <is>
          <t>12 Months</t>
        </is>
      </c>
      <c r="C1176" s="8" t="n">
        <v>19.55</v>
      </c>
      <c r="D1176" s="8" t="n">
        <v>694.36</v>
      </c>
      <c r="E1176" s="8" t="inlineStr">
        <is>
          <t>0346100364LCEED</t>
        </is>
      </c>
      <c r="F1176" s="8" t="inlineStr">
        <is>
          <t>24 Months</t>
        </is>
      </c>
      <c r="G1176" s="8" t="n">
        <v>19.74</v>
      </c>
      <c r="H1176" s="8" t="n">
        <v>694.36</v>
      </c>
      <c r="I1176" s="8" t="inlineStr">
        <is>
          <t>0346100364LCEED</t>
        </is>
      </c>
      <c r="J1176" s="8" t="inlineStr">
        <is>
          <t>36 Months</t>
        </is>
      </c>
      <c r="K1176" s="8" t="n">
        <v>19.88</v>
      </c>
      <c r="L1176" s="4" t="n">
        <v>694.36</v>
      </c>
    </row>
    <row r="1177">
      <c r="A1177" s="2" t="inlineStr">
        <is>
          <t>0398095698LC2D6</t>
        </is>
      </c>
      <c r="B1177" s="8" t="inlineStr">
        <is>
          <t>12 Months</t>
        </is>
      </c>
      <c r="C1177" s="8" t="n">
        <v>19.55</v>
      </c>
      <c r="D1177" s="8" t="n">
        <v>312.28</v>
      </c>
      <c r="E1177" s="8" t="inlineStr">
        <is>
          <t>0398095698LC2D6</t>
        </is>
      </c>
      <c r="F1177" s="8" t="inlineStr">
        <is>
          <t>24 Months</t>
        </is>
      </c>
      <c r="G1177" s="8" t="n">
        <v>19.74</v>
      </c>
      <c r="H1177" s="8" t="n">
        <v>312.28</v>
      </c>
      <c r="I1177" s="8" t="inlineStr">
        <is>
          <t>0398095698LC2D6</t>
        </is>
      </c>
      <c r="J1177" s="8" t="inlineStr">
        <is>
          <t>36 Months</t>
        </is>
      </c>
      <c r="K1177" s="8" t="n">
        <v>19.88</v>
      </c>
      <c r="L1177" s="4" t="n">
        <v>312.28</v>
      </c>
    </row>
    <row r="1178">
      <c r="A1178" s="2" t="inlineStr">
        <is>
          <t>0415258065LC669</t>
        </is>
      </c>
      <c r="B1178" s="8" t="inlineStr">
        <is>
          <t>12 Months</t>
        </is>
      </c>
      <c r="C1178" s="8" t="n">
        <v>19.55</v>
      </c>
      <c r="D1178" s="8" t="n">
        <v>312.28</v>
      </c>
      <c r="E1178" s="8" t="inlineStr">
        <is>
          <t>0415258065LC669</t>
        </is>
      </c>
      <c r="F1178" s="8" t="inlineStr">
        <is>
          <t>24 Months</t>
        </is>
      </c>
      <c r="G1178" s="8" t="n">
        <v>19.74</v>
      </c>
      <c r="H1178" s="8" t="n">
        <v>312.28</v>
      </c>
      <c r="I1178" s="8" t="inlineStr">
        <is>
          <t>0415258065LC669</t>
        </is>
      </c>
      <c r="J1178" s="8" t="inlineStr">
        <is>
          <t>36 Months</t>
        </is>
      </c>
      <c r="K1178" s="8" t="n">
        <v>19.88</v>
      </c>
      <c r="L1178" s="4" t="n">
        <v>312.28</v>
      </c>
    </row>
    <row r="1179">
      <c r="A1179" s="2" t="inlineStr">
        <is>
          <t>0900090531PCF4E</t>
        </is>
      </c>
      <c r="B1179" s="8" t="inlineStr">
        <is>
          <t>12 Months</t>
        </is>
      </c>
      <c r="C1179" s="8" t="n">
        <v>28.918896</v>
      </c>
      <c r="D1179" s="8" t="n">
        <v>1054.57</v>
      </c>
      <c r="E1179" s="8" t="inlineStr">
        <is>
          <t>0900090531PCF4E</t>
        </is>
      </c>
      <c r="F1179" s="8" t="inlineStr">
        <is>
          <t>24 Months</t>
        </is>
      </c>
      <c r="G1179" s="8" t="n">
        <v>29.108896</v>
      </c>
      <c r="H1179" s="8" t="n">
        <v>1054.57</v>
      </c>
      <c r="I1179" s="8" t="inlineStr">
        <is>
          <t>0900090531PCF4E</t>
        </is>
      </c>
      <c r="J1179" s="8" t="inlineStr">
        <is>
          <t>36 Months</t>
        </is>
      </c>
      <c r="K1179" s="8" t="n">
        <v>29.248896</v>
      </c>
      <c r="L1179" s="4" t="n">
        <v>1054.57</v>
      </c>
    </row>
    <row r="1180">
      <c r="A1180" s="2" t="inlineStr">
        <is>
          <t>1000025462BP9A6</t>
        </is>
      </c>
      <c r="B1180" s="8" t="inlineStr">
        <is>
          <t>12 Months</t>
        </is>
      </c>
      <c r="C1180" s="8" t="n">
        <v>24.8848328</v>
      </c>
      <c r="D1180" s="8" t="n">
        <v>280.512</v>
      </c>
      <c r="E1180" s="8" t="inlineStr">
        <is>
          <t>1000025462BP9A6</t>
        </is>
      </c>
      <c r="F1180" s="8" t="inlineStr">
        <is>
          <t>24 Months</t>
        </is>
      </c>
      <c r="G1180" s="8" t="n">
        <v>25.0748328</v>
      </c>
      <c r="H1180" s="8" t="n">
        <v>280.512</v>
      </c>
      <c r="I1180" s="8" t="inlineStr">
        <is>
          <t>1000025462BP9A6</t>
        </is>
      </c>
      <c r="J1180" s="8" t="inlineStr">
        <is>
          <t>36 Months</t>
        </is>
      </c>
      <c r="K1180" s="8" t="n">
        <v>25.2148328</v>
      </c>
      <c r="L1180" s="4" t="n">
        <v>280.512</v>
      </c>
    </row>
    <row r="1181">
      <c r="A1181" s="2" t="inlineStr">
        <is>
          <t>1000524019PC6AD</t>
        </is>
      </c>
      <c r="B1181" s="8" t="inlineStr">
        <is>
          <t>12 Months</t>
        </is>
      </c>
      <c r="C1181" s="8" t="n">
        <v>29.056816</v>
      </c>
      <c r="D1181" s="8" t="n">
        <v>252</v>
      </c>
      <c r="E1181" s="8" t="inlineStr">
        <is>
          <t>1000524019PC6AD</t>
        </is>
      </c>
      <c r="F1181" s="8" t="inlineStr">
        <is>
          <t>24 Months</t>
        </is>
      </c>
      <c r="G1181" s="8" t="n">
        <v>29.246816</v>
      </c>
      <c r="H1181" s="8" t="n">
        <v>252</v>
      </c>
      <c r="I1181" s="8" t="inlineStr">
        <is>
          <t>1000524019PC6AD</t>
        </is>
      </c>
      <c r="J1181" s="8" t="inlineStr">
        <is>
          <t>36 Months</t>
        </is>
      </c>
      <c r="K1181" s="8" t="n">
        <v>29.386816</v>
      </c>
      <c r="L1181" s="4" t="n">
        <v>252</v>
      </c>
    </row>
    <row r="1182">
      <c r="A1182" s="2" t="inlineStr">
        <is>
          <t>1000524774PC904</t>
        </is>
      </c>
      <c r="B1182" s="8" t="inlineStr">
        <is>
          <t>12 Months</t>
        </is>
      </c>
      <c r="C1182" s="8" t="n">
        <v>25.698272</v>
      </c>
      <c r="D1182" s="8" t="n">
        <v>3338.36</v>
      </c>
      <c r="E1182" s="8" t="inlineStr">
        <is>
          <t>1000524774PC904</t>
        </is>
      </c>
      <c r="F1182" s="8" t="inlineStr">
        <is>
          <t>24 Months</t>
        </is>
      </c>
      <c r="G1182" s="8" t="n">
        <v>25.888272</v>
      </c>
      <c r="H1182" s="8" t="n">
        <v>3338.36</v>
      </c>
      <c r="I1182" s="8" t="inlineStr">
        <is>
          <t>1000524774PC904</t>
        </is>
      </c>
      <c r="J1182" s="8" t="inlineStr">
        <is>
          <t>36 Months</t>
        </is>
      </c>
      <c r="K1182" s="8" t="n">
        <v>26.028272</v>
      </c>
      <c r="L1182" s="4" t="n">
        <v>3338.36</v>
      </c>
    </row>
    <row r="1183">
      <c r="A1183" s="2" t="inlineStr">
        <is>
          <t>1000566966PCDF2</t>
        </is>
      </c>
      <c r="B1183" s="8" t="inlineStr">
        <is>
          <t>12 Months</t>
        </is>
      </c>
      <c r="C1183" s="8" t="n">
        <v>30.303952</v>
      </c>
      <c r="D1183" s="8" t="n">
        <v>163</v>
      </c>
      <c r="E1183" s="8" t="inlineStr">
        <is>
          <t>1000566966PCDF2</t>
        </is>
      </c>
      <c r="F1183" s="8" t="inlineStr">
        <is>
          <t>24 Months</t>
        </is>
      </c>
      <c r="G1183" s="8" t="n">
        <v>30.493952</v>
      </c>
      <c r="H1183" s="8" t="n">
        <v>163</v>
      </c>
      <c r="I1183" s="8" t="inlineStr">
        <is>
          <t>1000566966PCDF2</t>
        </is>
      </c>
      <c r="J1183" s="8" t="inlineStr">
        <is>
          <t>36 Months</t>
        </is>
      </c>
      <c r="K1183" s="8" t="n">
        <v>30.633952</v>
      </c>
      <c r="L1183" s="4" t="n">
        <v>163</v>
      </c>
    </row>
    <row r="1184">
      <c r="A1184" s="2" t="inlineStr">
        <is>
          <t>1000619535PCA5B</t>
        </is>
      </c>
      <c r="B1184" s="8" t="inlineStr">
        <is>
          <t>12 Months</t>
        </is>
      </c>
      <c r="C1184" s="8" t="n">
        <v>26.933952</v>
      </c>
      <c r="D1184" s="8" t="n">
        <v>237</v>
      </c>
      <c r="E1184" s="8" t="inlineStr">
        <is>
          <t>1000619535PCA5B</t>
        </is>
      </c>
      <c r="F1184" s="8" t="inlineStr">
        <is>
          <t>24 Months</t>
        </is>
      </c>
      <c r="G1184" s="8" t="n">
        <v>27.123952</v>
      </c>
      <c r="H1184" s="8" t="n">
        <v>237</v>
      </c>
      <c r="I1184" s="8" t="inlineStr">
        <is>
          <t>1000619535PCA5B</t>
        </is>
      </c>
      <c r="J1184" s="8" t="inlineStr">
        <is>
          <t>36 Months</t>
        </is>
      </c>
      <c r="K1184" s="8" t="n">
        <v>27.263952</v>
      </c>
      <c r="L1184" s="4" t="n">
        <v>237</v>
      </c>
    </row>
    <row r="1185">
      <c r="A1185" s="2" t="inlineStr">
        <is>
          <t>1000620792PC805</t>
        </is>
      </c>
      <c r="B1185" s="8" t="inlineStr">
        <is>
          <t>12 Months</t>
        </is>
      </c>
      <c r="C1185" s="8" t="n">
        <v>26.933952</v>
      </c>
      <c r="D1185" s="8" t="n">
        <v>237</v>
      </c>
      <c r="E1185" s="8" t="inlineStr">
        <is>
          <t>1000620792PC805</t>
        </is>
      </c>
      <c r="F1185" s="8" t="inlineStr">
        <is>
          <t>24 Months</t>
        </is>
      </c>
      <c r="G1185" s="8" t="n">
        <v>27.123952</v>
      </c>
      <c r="H1185" s="8" t="n">
        <v>237</v>
      </c>
      <c r="I1185" s="8" t="inlineStr">
        <is>
          <t>1000620792PC805</t>
        </is>
      </c>
      <c r="J1185" s="8" t="inlineStr">
        <is>
          <t>36 Months</t>
        </is>
      </c>
      <c r="K1185" s="8" t="n">
        <v>27.263952</v>
      </c>
      <c r="L1185" s="4" t="n">
        <v>237</v>
      </c>
    </row>
    <row r="1186">
      <c r="A1186" s="2" t="inlineStr">
        <is>
          <t>1001118772UNF47</t>
        </is>
      </c>
      <c r="B1186" s="8" t="inlineStr">
        <is>
          <t>12 Months</t>
        </is>
      </c>
      <c r="C1186" s="8" t="n">
        <v>19.55</v>
      </c>
      <c r="D1186" s="8" t="n">
        <v>312.28</v>
      </c>
      <c r="E1186" s="8" t="inlineStr">
        <is>
          <t>1001118772UNF47</t>
        </is>
      </c>
      <c r="F1186" s="8" t="inlineStr">
        <is>
          <t>24 Months</t>
        </is>
      </c>
      <c r="G1186" s="8" t="n">
        <v>19.74</v>
      </c>
      <c r="H1186" s="8" t="n">
        <v>312.28</v>
      </c>
      <c r="I1186" s="8" t="inlineStr">
        <is>
          <t>1001118772UNF47</t>
        </is>
      </c>
      <c r="J1186" s="8" t="inlineStr">
        <is>
          <t>36 Months</t>
        </is>
      </c>
      <c r="K1186" s="8" t="n">
        <v>19.88</v>
      </c>
      <c r="L1186" s="4" t="n">
        <v>312.28</v>
      </c>
    </row>
    <row r="1187">
      <c r="A1187" s="2" t="inlineStr">
        <is>
          <t>1001132596LC369</t>
        </is>
      </c>
      <c r="B1187" s="8" t="inlineStr">
        <is>
          <t>12 Months</t>
        </is>
      </c>
      <c r="C1187" s="8" t="n">
        <v>19.55</v>
      </c>
      <c r="D1187" s="8" t="n">
        <v>312.28</v>
      </c>
      <c r="E1187" s="8" t="inlineStr">
        <is>
          <t>1001132596LC369</t>
        </is>
      </c>
      <c r="F1187" s="8" t="inlineStr">
        <is>
          <t>24 Months</t>
        </is>
      </c>
      <c r="G1187" s="8" t="n">
        <v>19.74</v>
      </c>
      <c r="H1187" s="8" t="n">
        <v>312.28</v>
      </c>
      <c r="I1187" s="8" t="inlineStr">
        <is>
          <t>1001132596LC369</t>
        </is>
      </c>
      <c r="J1187" s="8" t="inlineStr">
        <is>
          <t>36 Months</t>
        </is>
      </c>
      <c r="K1187" s="8" t="n">
        <v>19.88</v>
      </c>
      <c r="L1187" s="4" t="n">
        <v>312.28</v>
      </c>
    </row>
    <row r="1188">
      <c r="A1188" s="2" t="inlineStr">
        <is>
          <t>1001151491CK976</t>
        </is>
      </c>
      <c r="B1188" s="8" t="inlineStr">
        <is>
          <t>12 Months</t>
        </is>
      </c>
      <c r="C1188" s="8" t="n">
        <v>23.44</v>
      </c>
      <c r="D1188" s="8" t="n">
        <v>1705.06</v>
      </c>
      <c r="E1188" s="8" t="inlineStr">
        <is>
          <t>1001151491CK976</t>
        </is>
      </c>
      <c r="F1188" s="8" t="inlineStr">
        <is>
          <t>24 Months</t>
        </is>
      </c>
      <c r="G1188" s="8" t="n">
        <v>23.63</v>
      </c>
      <c r="H1188" s="8" t="n">
        <v>1705.06</v>
      </c>
      <c r="I1188" s="8" t="inlineStr">
        <is>
          <t>1001151491CK976</t>
        </is>
      </c>
      <c r="J1188" s="8" t="inlineStr">
        <is>
          <t>36 Months</t>
        </is>
      </c>
      <c r="K1188" s="8" t="n">
        <v>23.77</v>
      </c>
      <c r="L1188" s="4" t="n">
        <v>1705.06</v>
      </c>
    </row>
    <row r="1189">
      <c r="A1189" s="2" t="inlineStr">
        <is>
          <t>1001245025LCA73</t>
        </is>
      </c>
      <c r="B1189" s="8" t="inlineStr">
        <is>
          <t>12 Months</t>
        </is>
      </c>
      <c r="C1189" s="8" t="n">
        <v>19.55</v>
      </c>
      <c r="D1189" s="8" t="n">
        <v>312.28</v>
      </c>
      <c r="E1189" s="8" t="inlineStr">
        <is>
          <t>1001245025LCA73</t>
        </is>
      </c>
      <c r="F1189" s="8" t="inlineStr">
        <is>
          <t>24 Months</t>
        </is>
      </c>
      <c r="G1189" s="8" t="n">
        <v>19.74</v>
      </c>
      <c r="H1189" s="8" t="n">
        <v>312.28</v>
      </c>
      <c r="I1189" s="8" t="inlineStr">
        <is>
          <t>1001245025LCA73</t>
        </is>
      </c>
      <c r="J1189" s="8" t="inlineStr">
        <is>
          <t>36 Months</t>
        </is>
      </c>
      <c r="K1189" s="8" t="n">
        <v>19.88</v>
      </c>
      <c r="L1189" s="4" t="n">
        <v>312.28</v>
      </c>
    </row>
    <row r="1190">
      <c r="A1190" s="2" t="inlineStr">
        <is>
          <t>1001280356UN969</t>
        </is>
      </c>
      <c r="B1190" s="8" t="inlineStr">
        <is>
          <t>12 Months</t>
        </is>
      </c>
      <c r="C1190" s="8" t="n">
        <v>19.55</v>
      </c>
      <c r="D1190" s="8" t="n">
        <v>312.28</v>
      </c>
      <c r="E1190" s="8" t="inlineStr">
        <is>
          <t>1001280356UN969</t>
        </is>
      </c>
      <c r="F1190" s="8" t="inlineStr">
        <is>
          <t>24 Months</t>
        </is>
      </c>
      <c r="G1190" s="8" t="n">
        <v>19.74</v>
      </c>
      <c r="H1190" s="8" t="n">
        <v>312.28</v>
      </c>
      <c r="I1190" s="8" t="inlineStr">
        <is>
          <t>1001280356UN969</t>
        </is>
      </c>
      <c r="J1190" s="8" t="inlineStr">
        <is>
          <t>36 Months</t>
        </is>
      </c>
      <c r="K1190" s="8" t="n">
        <v>19.88</v>
      </c>
      <c r="L1190" s="4" t="n">
        <v>312.28</v>
      </c>
    </row>
    <row r="1191">
      <c r="A1191" s="5" t="inlineStr">
        <is>
          <t>1001280900LC0F0</t>
        </is>
      </c>
      <c r="B1191" s="9" t="inlineStr">
        <is>
          <t>12 Months</t>
        </is>
      </c>
      <c r="C1191" s="9" t="n">
        <v>19.55</v>
      </c>
      <c r="D1191" s="9" t="n">
        <v>312.28</v>
      </c>
      <c r="E1191" s="9" t="inlineStr">
        <is>
          <t>1001280900LC0F0</t>
        </is>
      </c>
      <c r="F1191" s="9" t="inlineStr">
        <is>
          <t>24 Months</t>
        </is>
      </c>
      <c r="G1191" s="9" t="n">
        <v>19.74</v>
      </c>
      <c r="H1191" s="9" t="n">
        <v>312.28</v>
      </c>
      <c r="I1191" s="9" t="inlineStr">
        <is>
          <t>1001280900LC0F0</t>
        </is>
      </c>
      <c r="J1191" s="9" t="inlineStr">
        <is>
          <t>36 Months</t>
        </is>
      </c>
      <c r="K1191" s="9" t="n">
        <v>19.88</v>
      </c>
      <c r="L1191" s="7" t="n">
        <v>312.28</v>
      </c>
    </row>
    <row r="1194" ht="30.75" customHeight="1">
      <c r="A1194" s="38" t="inlineStr">
        <is>
          <t>NZ TOU Gas Rates raw source schedule</t>
        </is>
      </c>
      <c r="B1194" s="38" t="n"/>
      <c r="C1194" s="38" t="n"/>
      <c r="D1194" s="38" t="n"/>
      <c r="E1194" s="38" t="n"/>
      <c r="F1194" s="38" t="n"/>
      <c r="G1194" s="38" t="n"/>
      <c r="H1194" s="38" t="n"/>
      <c r="I1194" s="38" t="n"/>
      <c r="J1194" s="38" t="n"/>
      <c r="K1194" s="38" t="n"/>
      <c r="L1194" s="38" t="n"/>
      <c r="M1194" s="38" t="n"/>
      <c r="N1194" s="38" t="n"/>
      <c r="O1194" s="38" t="n"/>
      <c r="P1194" s="38" t="n"/>
      <c r="Q1194" s="38" t="n"/>
      <c r="R1194" s="38" t="n"/>
      <c r="S1194" s="38" t="n"/>
      <c r="T1194" s="38" t="n"/>
      <c r="U1194" s="38" t="n"/>
      <c r="V1194" s="38" t="n"/>
      <c r="W1194" s="38" t="n"/>
      <c r="X1194" s="38" t="n"/>
      <c r="Y1194" s="38" t="n"/>
    </row>
    <row r="1195" ht="87" customHeight="1">
      <c r="A1195" s="39" t="inlineStr">
        <is>
          <t>Unnamed: 0</t>
        </is>
      </c>
      <c r="B1195" s="40" t="inlineStr">
        <is>
          <t>ICP</t>
        </is>
      </c>
      <c r="C1195" s="40" t="inlineStr">
        <is>
          <t>Site</t>
        </is>
      </c>
      <c r="D1195" s="40" t="inlineStr">
        <is>
          <t>MDQ</t>
        </is>
      </c>
      <c r="E1195" s="40" t="inlineStr">
        <is>
          <t>EAQ</t>
        </is>
      </c>
      <c r="F1195" s="40" t="inlineStr">
        <is>
          <t>Energy</t>
        </is>
      </c>
      <c r="G1195" s="40" t="inlineStr">
        <is>
          <t>Comms</t>
        </is>
      </c>
      <c r="H1195" s="40" t="inlineStr">
        <is>
          <t>ERL</t>
        </is>
      </c>
      <c r="I1195" s="40" t="inlineStr">
        <is>
          <t>Transmission</t>
        </is>
      </c>
      <c r="J1195" s="40" t="inlineStr">
        <is>
          <t>Network</t>
        </is>
      </c>
      <c r="K1195" s="40" t="inlineStr">
        <is>
          <t>UFG</t>
        </is>
      </c>
      <c r="L1195" s="40" t="inlineStr">
        <is>
          <t>Network Variable</t>
        </is>
      </c>
      <c r="M1195" s="40" t="inlineStr">
        <is>
          <t>MPOC</t>
        </is>
      </c>
      <c r="N1195" s="40" t="inlineStr">
        <is>
          <t>Addition Variable ($/GJ)</t>
        </is>
      </c>
      <c r="O1195" s="40" t="inlineStr">
        <is>
          <t>Metering</t>
        </is>
      </c>
      <c r="P1195" s="40" t="inlineStr">
        <is>
          <t>Transmission.1</t>
        </is>
      </c>
      <c r="Q1195" s="40" t="inlineStr">
        <is>
          <t>Network.1</t>
        </is>
      </c>
      <c r="R1195" s="40" t="inlineStr">
        <is>
          <t>Metering.1</t>
        </is>
      </c>
      <c r="S1195" s="40" t="inlineStr">
        <is>
          <t>$/GJ</t>
        </is>
      </c>
      <c r="T1195" s="40" t="inlineStr">
        <is>
          <t>$/Day</t>
        </is>
      </c>
      <c r="U1195" s="40" t="inlineStr">
        <is>
          <t>Unnamed: 20</t>
        </is>
      </c>
      <c r="V1195" s="40" t="inlineStr">
        <is>
          <t>Formula Network Variable ($/GJ)</t>
        </is>
      </c>
      <c r="W1195" s="40" t="inlineStr">
        <is>
          <t>Formula All-in Variable ($/GJ)</t>
        </is>
      </c>
      <c r="X1195" s="40" t="inlineStr">
        <is>
          <t>Formula All-in Daily ($/day)</t>
        </is>
      </c>
      <c r="Y1195" s="41" t="inlineStr">
        <is>
          <t>Formula Annual Cost (Nova all-in incl. carbon)</t>
        </is>
      </c>
    </row>
    <row r="1196">
      <c r="A1196" s="2" t="n"/>
      <c r="B1196" s="8" t="inlineStr">
        <is>
          <t>1001126516QT2A3</t>
        </is>
      </c>
      <c r="C1196" s="8" t="inlineStr">
        <is>
          <t>645 GSR Penrose Auckland</t>
        </is>
      </c>
      <c r="D1196" s="8" t="n">
        <v>284</v>
      </c>
      <c r="E1196" s="8" t="n">
        <v>49433</v>
      </c>
      <c r="F1196" s="8" t="n">
        <v>20.71</v>
      </c>
      <c r="G1196" s="8" t="n"/>
      <c r="H1196" s="8" t="n">
        <v>0</v>
      </c>
      <c r="I1196" s="8" t="n">
        <v>1.22</v>
      </c>
      <c r="J1196" s="8" t="n">
        <v>1.0433</v>
      </c>
      <c r="K1196" s="8" t="n">
        <v>0.2522</v>
      </c>
      <c r="L1196" s="8" t="n">
        <v>2.5155</v>
      </c>
      <c r="M1196" s="8" t="n">
        <v>1.4542</v>
      </c>
      <c r="N1196" s="8" t="n">
        <v>1.4542</v>
      </c>
      <c r="O1196" s="8" t="n">
        <v>0</v>
      </c>
      <c r="P1196" s="8" t="n">
        <v>494.8603</v>
      </c>
      <c r="Q1196" s="8" t="n">
        <v>59.2</v>
      </c>
      <c r="R1196" s="8" t="n">
        <v>38.9597</v>
      </c>
      <c r="S1196" s="8" t="n">
        <v>24.6797</v>
      </c>
      <c r="T1196" s="8" t="n">
        <v>593.02</v>
      </c>
      <c r="U1196" s="8" t="n">
        <v>216963.416587</v>
      </c>
      <c r="V1196" s="8">
        <f>I1196+J1196+K1196</f>
        <v/>
      </c>
      <c r="W1196" s="8">
        <f>F1196+V1196+N1196</f>
        <v/>
      </c>
      <c r="X1196" s="8">
        <f>P1196+Q1196+R1196</f>
        <v/>
      </c>
      <c r="Y1196" s="4">
        <f>(W1196+2.71)*E1196+X1196*365</f>
        <v/>
      </c>
    </row>
    <row r="1197">
      <c r="A1197" s="2" t="n"/>
      <c r="B1197" s="8" t="inlineStr">
        <is>
          <t>0005591470PG214</t>
        </is>
      </c>
      <c r="C1197" s="8" t="inlineStr">
        <is>
          <t>106 Rifle Range Waiwhakaiho New Plymouth</t>
        </is>
      </c>
      <c r="D1197" s="8" t="n">
        <v>66</v>
      </c>
      <c r="E1197" s="8" t="n">
        <v>8624</v>
      </c>
      <c r="F1197" s="8" t="n">
        <v>20.71</v>
      </c>
      <c r="G1197" s="8" t="n"/>
      <c r="H1197" s="8" t="n">
        <v>0</v>
      </c>
      <c r="I1197" s="8" t="n">
        <v>1.22</v>
      </c>
      <c r="J1197" s="8" t="n">
        <v>3.8335</v>
      </c>
      <c r="K1197" s="8" t="n">
        <v>0.2464</v>
      </c>
      <c r="L1197" s="8" t="n">
        <v>5.2999</v>
      </c>
      <c r="M1197" s="8" t="n">
        <v>0.8946</v>
      </c>
      <c r="N1197" s="8" t="n">
        <v>0.8946</v>
      </c>
      <c r="O1197" s="8" t="n">
        <v>0</v>
      </c>
      <c r="P1197" s="8" t="n">
        <v>45.2055</v>
      </c>
      <c r="Q1197" s="8" t="n">
        <v>44.9979</v>
      </c>
      <c r="R1197" s="8" t="n">
        <v>27.6688</v>
      </c>
      <c r="S1197" s="8" t="n">
        <v>26.9045</v>
      </c>
      <c r="T1197" s="8" t="n">
        <v>117.8722</v>
      </c>
      <c r="U1197" s="8" t="n">
        <v>43580.54519500001</v>
      </c>
      <c r="V1197" s="8">
        <f>I1197+J1197+K1197</f>
        <v/>
      </c>
      <c r="W1197" s="8">
        <f>F1197+V1197+N1197</f>
        <v/>
      </c>
      <c r="X1197" s="8">
        <f>P1197+Q1197+R1197</f>
        <v/>
      </c>
      <c r="Y1197" s="4">
        <f>(W1197+2.71)*E1197+X1197*365</f>
        <v/>
      </c>
    </row>
    <row r="1198">
      <c r="A1198" s="2" t="n"/>
      <c r="B1198" s="8" t="inlineStr">
        <is>
          <t>0001022593NG2C3</t>
        </is>
      </c>
      <c r="C1198" s="8" t="inlineStr">
        <is>
          <t>16 Manchester Pl Te Rapa Hamilton</t>
        </is>
      </c>
      <c r="D1198" s="8" t="n">
        <v>123</v>
      </c>
      <c r="E1198" s="8" t="n">
        <v>18591</v>
      </c>
      <c r="F1198" s="8" t="n">
        <v>20.71</v>
      </c>
      <c r="G1198" s="8" t="n"/>
      <c r="H1198" s="8" t="n">
        <v>0</v>
      </c>
      <c r="I1198" s="8" t="n">
        <v>1.22</v>
      </c>
      <c r="J1198" s="8" t="n">
        <v>3.5417</v>
      </c>
      <c r="K1198" s="8" t="n">
        <v>0.2497</v>
      </c>
      <c r="L1198" s="8" t="n">
        <v>5.0114</v>
      </c>
      <c r="M1198" s="8" t="n">
        <v>1.4542</v>
      </c>
      <c r="N1198" s="8" t="n">
        <v>1.4542</v>
      </c>
      <c r="O1198" s="8" t="n">
        <v>0</v>
      </c>
      <c r="P1198" s="8" t="n">
        <v>219.3781</v>
      </c>
      <c r="Q1198" s="8" t="n">
        <v>27.9366</v>
      </c>
      <c r="R1198" s="8" t="n">
        <v>39.5555</v>
      </c>
      <c r="S1198" s="8" t="n">
        <v>27.1756</v>
      </c>
      <c r="T1198" s="8" t="n">
        <v>286.8702</v>
      </c>
      <c r="U1198" s="8" t="n">
        <v>105270.429676</v>
      </c>
      <c r="V1198" s="8">
        <f>I1198+J1198+K1198</f>
        <v/>
      </c>
      <c r="W1198" s="8">
        <f>F1198+V1198+N1198</f>
        <v/>
      </c>
      <c r="X1198" s="8">
        <f>P1198+Q1198+R1198</f>
        <v/>
      </c>
      <c r="Y1198" s="4">
        <f>(W1198+2.71)*E1198+X1198*365</f>
        <v/>
      </c>
    </row>
    <row r="1199">
      <c r="A1199" s="2" t="n"/>
      <c r="B1199" s="8" t="inlineStr">
        <is>
          <t>1000521442PG37D</t>
        </is>
      </c>
      <c r="C1199" s="8" t="inlineStr">
        <is>
          <t>195 Breakwater Rd, Moturoa New Plymouth</t>
        </is>
      </c>
      <c r="D1199" s="8" t="n">
        <v>117</v>
      </c>
      <c r="E1199" s="8" t="n">
        <v>10285</v>
      </c>
      <c r="F1199" s="8" t="n">
        <v>20.71</v>
      </c>
      <c r="G1199" s="8" t="n"/>
      <c r="H1199" s="8" t="n">
        <v>0</v>
      </c>
      <c r="I1199" s="8" t="n">
        <v>1.22</v>
      </c>
      <c r="J1199" s="8" t="n">
        <v>1.3854</v>
      </c>
      <c r="K1199" s="8" t="n">
        <v>0.2464</v>
      </c>
      <c r="L1199" s="8" t="n">
        <v>2.8518</v>
      </c>
      <c r="M1199" s="8" t="n">
        <v>0.8946</v>
      </c>
      <c r="N1199" s="8" t="n">
        <v>0.8946</v>
      </c>
      <c r="O1199" s="8" t="n">
        <v>0</v>
      </c>
      <c r="P1199" s="8" t="n">
        <v>80.137</v>
      </c>
      <c r="Q1199" s="8" t="n">
        <v>36.6139</v>
      </c>
      <c r="R1199" s="8" t="n">
        <v>53.3684</v>
      </c>
      <c r="S1199" s="8" t="n">
        <v>24.4564</v>
      </c>
      <c r="T1199" s="8" t="n">
        <v>170.1193</v>
      </c>
      <c r="U1199" s="8" t="n">
        <v>62600.036544</v>
      </c>
      <c r="V1199" s="8">
        <f>I1199+J1199+K1199</f>
        <v/>
      </c>
      <c r="W1199" s="8">
        <f>F1199+V1199+N1199</f>
        <v/>
      </c>
      <c r="X1199" s="8">
        <f>P1199+Q1199+R1199</f>
        <v/>
      </c>
      <c r="Y1199" s="4">
        <f>(W1199+2.71)*E1199+X1199*365</f>
        <v/>
      </c>
    </row>
    <row r="1200">
      <c r="A1200" s="2" t="n"/>
      <c r="B1200" s="8" t="inlineStr">
        <is>
          <t>0009000218NG904</t>
        </is>
      </c>
      <c r="C1200" s="8" t="inlineStr">
        <is>
          <t>198 Totara Street Maunganui Mt Maunganui</t>
        </is>
      </c>
      <c r="D1200" s="8" t="n">
        <v>78</v>
      </c>
      <c r="E1200" s="8" t="n">
        <v>13930</v>
      </c>
      <c r="F1200" s="8" t="n">
        <v>20.71</v>
      </c>
      <c r="G1200" s="8" t="n"/>
      <c r="H1200" s="8" t="n">
        <v>0</v>
      </c>
      <c r="I1200" s="8" t="n">
        <v>1.22</v>
      </c>
      <c r="J1200" s="8" t="n">
        <v>3.5417</v>
      </c>
      <c r="K1200" s="8" t="n">
        <v>0.2473</v>
      </c>
      <c r="L1200" s="8" t="n">
        <v>5.009</v>
      </c>
      <c r="M1200" s="8" t="n">
        <v>1.1973</v>
      </c>
      <c r="N1200" s="8" t="n">
        <v>1.1973</v>
      </c>
      <c r="O1200" s="8" t="n">
        <v>0</v>
      </c>
      <c r="P1200" s="8" t="n">
        <v>164.5479</v>
      </c>
      <c r="Q1200" s="8" t="n">
        <v>27.9366</v>
      </c>
      <c r="R1200" s="8" t="n">
        <v>51.8161</v>
      </c>
      <c r="S1200" s="8" t="n">
        <v>26.9163</v>
      </c>
      <c r="T1200" s="8" t="n">
        <v>244.3006</v>
      </c>
      <c r="U1200" s="8" t="n">
        <v>89727.155573</v>
      </c>
      <c r="V1200" s="8">
        <f>I1200+J1200+K1200</f>
        <v/>
      </c>
      <c r="W1200" s="8">
        <f>F1200+V1200+N1200</f>
        <v/>
      </c>
      <c r="X1200" s="8">
        <f>P1200+Q1200+R1200</f>
        <v/>
      </c>
      <c r="Y1200" s="4">
        <f>(W1200+2.71)*E1200+X1200*365</f>
        <v/>
      </c>
    </row>
    <row r="1201">
      <c r="A1201" s="2" t="n"/>
      <c r="B1201" s="8" t="inlineStr">
        <is>
          <t>0001510110PG48F</t>
        </is>
      </c>
      <c r="C1201" s="8" t="inlineStr">
        <is>
          <t>0 Breakwater Road Motorua</t>
        </is>
      </c>
      <c r="D1201" s="8" t="n">
        <v>33</v>
      </c>
      <c r="E1201" s="8" t="n">
        <v>8677</v>
      </c>
      <c r="F1201" s="8" t="n">
        <v>20.71</v>
      </c>
      <c r="G1201" s="8" t="n"/>
      <c r="H1201" s="8" t="n">
        <v>0</v>
      </c>
      <c r="I1201" s="8" t="n">
        <v>1.22</v>
      </c>
      <c r="J1201" s="8" t="n">
        <v>3.2134</v>
      </c>
      <c r="K1201" s="8" t="n">
        <v>0.2464</v>
      </c>
      <c r="L1201" s="8" t="n">
        <v>4.6798</v>
      </c>
      <c r="M1201" s="8" t="n">
        <v>0.8946</v>
      </c>
      <c r="N1201" s="8" t="n">
        <v>0.8946</v>
      </c>
      <c r="O1201" s="8" t="n">
        <v>0</v>
      </c>
      <c r="P1201" s="8" t="n">
        <v>22.6027</v>
      </c>
      <c r="Q1201" s="8" t="n">
        <v>17.9069</v>
      </c>
      <c r="R1201" s="8" t="n">
        <v>12.473</v>
      </c>
      <c r="S1201" s="8" t="n">
        <v>26.2844</v>
      </c>
      <c r="T1201" s="8" t="n">
        <v>52.9826</v>
      </c>
      <c r="U1201" s="8" t="n">
        <v>19882.998924</v>
      </c>
      <c r="V1201" s="8">
        <f>I1201+J1201+K1201</f>
        <v/>
      </c>
      <c r="W1201" s="8">
        <f>F1201+V1201+N1201</f>
        <v/>
      </c>
      <c r="X1201" s="8">
        <f>P1201+Q1201+R1201</f>
        <v/>
      </c>
      <c r="Y1201" s="4">
        <f>(W1201+2.71)*E1201+X1201*365</f>
        <v/>
      </c>
    </row>
    <row r="1202">
      <c r="A1202" s="2" t="n"/>
      <c r="B1202" s="8" t="inlineStr">
        <is>
          <t>0009000601NG1F9</t>
        </is>
      </c>
      <c r="C1202" s="8" t="inlineStr">
        <is>
          <t>187 Awapuni Rd Awapuni Gisborne</t>
        </is>
      </c>
      <c r="D1202" s="8" t="n">
        <v>7</v>
      </c>
      <c r="E1202" s="8" t="n">
        <v>1148</v>
      </c>
      <c r="F1202" s="8" t="n">
        <v>20.71</v>
      </c>
      <c r="G1202" s="8" t="n"/>
      <c r="H1202" s="8" t="n">
        <v>0</v>
      </c>
      <c r="I1202" s="8" t="n">
        <v>1.22</v>
      </c>
      <c r="J1202" s="8" t="n">
        <v>3.7389</v>
      </c>
      <c r="K1202" s="8" t="n">
        <v>0.2465</v>
      </c>
      <c r="L1202" s="8" t="n">
        <v>5.2054</v>
      </c>
      <c r="M1202" s="8" t="n">
        <v>1.1973</v>
      </c>
      <c r="N1202" s="8" t="n">
        <v>1.1973</v>
      </c>
      <c r="O1202" s="8" t="n">
        <v>0</v>
      </c>
      <c r="P1202" s="8" t="n">
        <v>17.011</v>
      </c>
      <c r="Q1202" s="8" t="n">
        <v>9.6427</v>
      </c>
      <c r="R1202" s="8" t="n">
        <v>5.9916</v>
      </c>
      <c r="S1202" s="8" t="n">
        <v>27.1127</v>
      </c>
      <c r="T1202" s="8" t="n">
        <v>32.6453</v>
      </c>
      <c r="U1202" s="8" t="n">
        <v>12477.038517</v>
      </c>
      <c r="V1202" s="8">
        <f>I1202+J1202+K1202</f>
        <v/>
      </c>
      <c r="W1202" s="8">
        <f>F1202+V1202+N1202</f>
        <v/>
      </c>
      <c r="X1202" s="8">
        <f>P1202+Q1202+R1202</f>
        <v/>
      </c>
      <c r="Y1202" s="4">
        <f>(W1202+2.71)*E1202+X1202*365</f>
        <v/>
      </c>
    </row>
    <row r="1203">
      <c r="A1203" s="2" t="n"/>
      <c r="B1203" s="8" t="n"/>
      <c r="C1203" s="8" t="n"/>
      <c r="D1203" s="8" t="n">
        <v>708</v>
      </c>
      <c r="E1203" s="8" t="n">
        <v>110688</v>
      </c>
      <c r="F1203" s="8" t="n"/>
      <c r="G1203" s="8" t="n"/>
      <c r="H1203" s="8" t="n"/>
      <c r="I1203" s="8" t="n"/>
      <c r="J1203" s="8" t="n"/>
      <c r="K1203" s="8" t="n"/>
      <c r="L1203" s="8" t="n"/>
      <c r="M1203" s="8" t="n"/>
      <c r="N1203" s="8" t="n"/>
      <c r="O1203" s="8" t="n"/>
      <c r="P1203" s="8" t="n"/>
      <c r="Q1203" s="8" t="n"/>
      <c r="R1203" s="8" t="n"/>
      <c r="S1203" s="8" t="n"/>
      <c r="T1203" s="8" t="n"/>
      <c r="U1203" s="8" t="n"/>
      <c r="V1203" s="8">
        <f>I1203+J1203+K1203</f>
        <v/>
      </c>
      <c r="W1203" s="8">
        <f>F1203+V1203+N1203</f>
        <v/>
      </c>
      <c r="X1203" s="8">
        <f>P1203+Q1203+R1203</f>
        <v/>
      </c>
      <c r="Y1203" s="4">
        <f>(W1203+2.71)*E1203+X1203*365</f>
        <v/>
      </c>
    </row>
    <row r="1204">
      <c r="A1204" s="2" t="n"/>
      <c r="B1204" s="8" t="inlineStr">
        <is>
          <t>The Gas Price does not include a Carbon Charge, Gas Levies (at the time of this agreement, being the GIC and GSMEE levies), Market Fees or GST.</t>
        </is>
      </c>
      <c r="C1204" s="8" t="n"/>
      <c r="D1204" s="8" t="n"/>
      <c r="E1204" s="8" t="n"/>
      <c r="F1204" s="8" t="n"/>
      <c r="G1204" s="8" t="n"/>
      <c r="H1204" s="8" t="n"/>
      <c r="I1204" s="8" t="n"/>
      <c r="J1204" s="8" t="n"/>
      <c r="K1204" s="8" t="n"/>
      <c r="L1204" s="8" t="n"/>
      <c r="M1204" s="8" t="n"/>
      <c r="N1204" s="8" t="n"/>
      <c r="O1204" s="8" t="n"/>
      <c r="P1204" s="8" t="n"/>
      <c r="Q1204" s="8" t="n"/>
      <c r="R1204" s="8" t="n"/>
      <c r="S1204" s="8" t="n">
        <v>25.68400232274501</v>
      </c>
      <c r="T1204" s="8" t="n">
        <v>1497.8102</v>
      </c>
      <c r="U1204" s="8" t="n"/>
      <c r="V1204" s="8">
        <f>I1204+J1204+K1204</f>
        <v/>
      </c>
      <c r="W1204" s="8">
        <f>F1204+V1204+N1204</f>
        <v/>
      </c>
      <c r="X1204" s="8">
        <f>P1204+Q1204+R1204</f>
        <v/>
      </c>
      <c r="Y1204" s="4">
        <f>(W1204+2.71)*E1204+X1204*365</f>
        <v/>
      </c>
    </row>
    <row r="1205">
      <c r="A1205" s="2" t="n"/>
      <c r="B1205" s="8" t="inlineStr">
        <is>
          <t>All rates highlighted in yellow are 3rd party charges and are valid until 30 September 2026. As a result,  the Gas Prices proposed are subject to change from 1 October 2026.</t>
        </is>
      </c>
      <c r="C1205" s="8" t="n"/>
      <c r="D1205" s="8" t="n"/>
      <c r="E1205" s="8" t="n"/>
      <c r="F1205" s="8" t="n"/>
      <c r="G1205" s="8" t="n"/>
      <c r="H1205" s="8" t="n"/>
      <c r="I1205" s="8" t="n"/>
      <c r="J1205" s="8" t="n"/>
      <c r="K1205" s="8" t="n"/>
      <c r="L1205" s="8" t="n"/>
      <c r="M1205" s="8" t="n"/>
      <c r="N1205" s="8" t="n"/>
      <c r="O1205" s="8" t="n"/>
      <c r="P1205" s="8" t="n"/>
      <c r="Q1205" s="8" t="n"/>
      <c r="R1205" s="8" t="n"/>
      <c r="S1205" s="8" t="n"/>
      <c r="T1205" s="8" t="n"/>
      <c r="U1205" s="8" t="n"/>
      <c r="V1205" s="8">
        <f>I1205+J1205+K1205</f>
        <v/>
      </c>
      <c r="W1205" s="8">
        <f>F1205+V1205+N1205</f>
        <v/>
      </c>
      <c r="X1205" s="8">
        <f>P1205+Q1205+R1205</f>
        <v/>
      </c>
      <c r="Y1205" s="4">
        <f>(W1205+2.71)*E1205+X1205*365</f>
        <v/>
      </c>
    </row>
    <row r="1206">
      <c r="A1206" s="2" t="n"/>
      <c r="B1206" s="8" t="n"/>
      <c r="C1206" s="8" t="n"/>
      <c r="D1206" s="8" t="n"/>
      <c r="E1206" s="8" t="n"/>
      <c r="F1206" s="8" t="n"/>
      <c r="G1206" s="8" t="n"/>
      <c r="H1206" s="8" t="n"/>
      <c r="I1206" s="8" t="n"/>
      <c r="J1206" s="8" t="n"/>
      <c r="K1206" s="8" t="n"/>
      <c r="L1206" s="8" t="n"/>
      <c r="M1206" s="8" t="n"/>
      <c r="N1206" s="8" t="n"/>
      <c r="O1206" s="8" t="n"/>
      <c r="P1206" s="8" t="n"/>
      <c r="Q1206" s="8" t="n"/>
      <c r="R1206" s="8" t="n"/>
      <c r="S1206" s="8" t="n"/>
      <c r="T1206" s="8" t="n"/>
      <c r="U1206" s="8" t="n"/>
      <c r="V1206" s="8">
        <f>I1206+J1206+K1206</f>
        <v/>
      </c>
      <c r="W1206" s="8">
        <f>F1206+V1206+N1206</f>
        <v/>
      </c>
      <c r="X1206" s="8">
        <f>P1206+Q1206+R1206</f>
        <v/>
      </c>
      <c r="Y1206" s="4">
        <f>(W1206+2.71)*E1206+X1206*365</f>
        <v/>
      </c>
    </row>
    <row r="1207">
      <c r="A1207" s="2" t="n"/>
      <c r="B1207" s="8" t="n"/>
      <c r="C1207" s="8" t="n"/>
      <c r="D1207" s="8" t="n"/>
      <c r="E1207" s="8" t="n"/>
      <c r="F1207" s="8" t="n"/>
      <c r="G1207" s="8" t="n"/>
      <c r="H1207" s="8" t="n"/>
      <c r="I1207" s="8" t="n"/>
      <c r="J1207" s="8" t="n"/>
      <c r="K1207" s="8" t="n"/>
      <c r="L1207" s="8" t="n"/>
      <c r="M1207" s="8" t="n"/>
      <c r="N1207" s="8" t="n"/>
      <c r="O1207" s="8" t="n"/>
      <c r="P1207" s="8" t="n"/>
      <c r="Q1207" s="8" t="n"/>
      <c r="R1207" s="8" t="n"/>
      <c r="S1207" s="8" t="n"/>
      <c r="T1207" s="8" t="n"/>
      <c r="U1207" s="8" t="n"/>
      <c r="V1207" s="8">
        <f>I1207+J1207+K1207</f>
        <v/>
      </c>
      <c r="W1207" s="8">
        <f>F1207+V1207+N1207</f>
        <v/>
      </c>
      <c r="X1207" s="8">
        <f>P1207+Q1207+R1207</f>
        <v/>
      </c>
      <c r="Y1207" s="4">
        <f>(W1207+2.71)*E1207+X1207*365</f>
        <v/>
      </c>
    </row>
    <row r="1208">
      <c r="A1208" s="2" t="n"/>
      <c r="B1208" s="8" t="n"/>
      <c r="C1208" s="8" t="n"/>
      <c r="D1208" s="8" t="n"/>
      <c r="E1208" s="8" t="n"/>
      <c r="F1208" s="8" t="n"/>
      <c r="G1208" s="8" t="n"/>
      <c r="H1208" s="8" t="n"/>
      <c r="I1208" s="8" t="n"/>
      <c r="J1208" s="8" t="n"/>
      <c r="K1208" s="8" t="n"/>
      <c r="L1208" s="8" t="n"/>
      <c r="M1208" s="8" t="n"/>
      <c r="N1208" s="8" t="n"/>
      <c r="O1208" s="8" t="n"/>
      <c r="P1208" s="8" t="n"/>
      <c r="Q1208" s="8" t="n"/>
      <c r="R1208" s="8" t="n"/>
      <c r="S1208" s="8" t="n"/>
      <c r="T1208" s="8" t="n"/>
      <c r="U1208" s="8" t="n"/>
      <c r="V1208" s="8">
        <f>I1208+J1208+K1208</f>
        <v/>
      </c>
      <c r="W1208" s="8">
        <f>F1208+V1208+N1208</f>
        <v/>
      </c>
      <c r="X1208" s="8">
        <f>P1208+Q1208+R1208</f>
        <v/>
      </c>
      <c r="Y1208" s="4">
        <f>(W1208+2.71)*E1208+X1208*365</f>
        <v/>
      </c>
    </row>
    <row r="1209">
      <c r="A1209" s="2" t="n"/>
      <c r="B1209" s="8" t="n"/>
      <c r="C1209" s="8" t="inlineStr">
        <is>
          <t>Gas Rate ($/GJ)</t>
        </is>
      </c>
      <c r="D1209" s="8" t="n"/>
      <c r="E1209" s="8" t="n"/>
      <c r="F1209" s="8" t="n"/>
      <c r="G1209" s="8" t="n"/>
      <c r="H1209" s="8" t="n"/>
      <c r="I1209" s="8" t="n"/>
      <c r="J1209" s="8" t="n"/>
      <c r="K1209" s="8" t="n"/>
      <c r="L1209" s="8" t="n"/>
      <c r="M1209" s="8" t="n"/>
      <c r="N1209" s="8" t="n"/>
      <c r="O1209" s="8" t="n"/>
      <c r="P1209" s="8" t="n"/>
      <c r="Q1209" s="8" t="n"/>
      <c r="R1209" s="8" t="n"/>
      <c r="S1209" s="8" t="n"/>
      <c r="T1209" s="8" t="n"/>
      <c r="U1209" s="8" t="n"/>
      <c r="V1209" s="8">
        <f>I1209+J1209+K1209</f>
        <v/>
      </c>
      <c r="W1209" s="8">
        <f>F1209+V1209+N1209</f>
        <v/>
      </c>
      <c r="X1209" s="8">
        <f>P1209+Q1209+R1209</f>
        <v/>
      </c>
      <c r="Y1209" s="4">
        <f>(W1209+2.71)*E1209+X1209*365</f>
        <v/>
      </c>
    </row>
    <row r="1210">
      <c r="A1210" s="2" t="n"/>
      <c r="B1210" s="8" t="n"/>
      <c r="C1210" s="8" t="inlineStr">
        <is>
          <t>Network Variable ($/GJ)</t>
        </is>
      </c>
      <c r="D1210" s="8" t="n">
        <v>3.694262641840127</v>
      </c>
      <c r="E1210" s="8" t="n"/>
      <c r="F1210" s="8" t="n"/>
      <c r="G1210" s="8" t="n"/>
      <c r="H1210" s="8" t="n"/>
      <c r="I1210" s="8" t="n"/>
      <c r="J1210" s="8" t="n"/>
      <c r="K1210" s="8" t="n"/>
      <c r="L1210" s="8" t="n"/>
      <c r="M1210" s="8" t="n"/>
      <c r="N1210" s="8" t="n"/>
      <c r="O1210" s="8" t="n"/>
      <c r="P1210" s="8" t="n"/>
      <c r="Q1210" s="8" t="n"/>
      <c r="R1210" s="8" t="n"/>
      <c r="S1210" s="8" t="n"/>
      <c r="T1210" s="8" t="n"/>
      <c r="U1210" s="8" t="n"/>
      <c r="V1210" s="8">
        <f>I1210+J1210+K1210</f>
        <v/>
      </c>
      <c r="W1210" s="8">
        <f>F1210+V1210+N1210</f>
        <v/>
      </c>
      <c r="X1210" s="8">
        <f>P1210+Q1210+R1210</f>
        <v/>
      </c>
      <c r="Y1210" s="4">
        <f>(W1210+2.71)*E1210+X1210*365</f>
        <v/>
      </c>
    </row>
    <row r="1211">
      <c r="A1211" s="2" t="n"/>
      <c r="B1211" s="8" t="n"/>
      <c r="C1211" s="8" t="inlineStr">
        <is>
          <t>Additional Variable ($/GJ)</t>
        </is>
      </c>
      <c r="D1211" s="8" t="n">
        <v>1.279739680904886</v>
      </c>
      <c r="E1211" s="8" t="n"/>
      <c r="F1211" s="8" t="n"/>
      <c r="G1211" s="8" t="n"/>
      <c r="H1211" s="8" t="n"/>
      <c r="I1211" s="8" t="n"/>
      <c r="J1211" s="8" t="n"/>
      <c r="K1211" s="8" t="n"/>
      <c r="L1211" s="8" t="n"/>
      <c r="M1211" s="8" t="n"/>
      <c r="N1211" s="8" t="n"/>
      <c r="O1211" s="8" t="n"/>
      <c r="P1211" s="8" t="n"/>
      <c r="Q1211" s="8" t="n"/>
      <c r="R1211" s="8" t="n"/>
      <c r="S1211" s="8" t="n"/>
      <c r="T1211" s="8" t="n"/>
      <c r="U1211" s="8" t="n"/>
      <c r="V1211" s="8">
        <f>I1211+J1211+K1211</f>
        <v/>
      </c>
      <c r="W1211" s="8">
        <f>F1211+V1211+N1211</f>
        <v/>
      </c>
      <c r="X1211" s="8">
        <f>P1211+Q1211+R1211</f>
        <v/>
      </c>
      <c r="Y1211" s="4">
        <f>(W1211+2.71)*E1211+X1211*365</f>
        <v/>
      </c>
    </row>
    <row r="1212">
      <c r="A1212" s="2" t="n"/>
      <c r="B1212" s="8" t="n"/>
      <c r="C1212" s="8" t="inlineStr">
        <is>
          <t>Carbon Tax ($/GJ)</t>
        </is>
      </c>
      <c r="D1212" s="8" t="n"/>
      <c r="E1212" s="8" t="n"/>
      <c r="F1212" s="8" t="n"/>
      <c r="G1212" s="8" t="n"/>
      <c r="H1212" s="8" t="n"/>
      <c r="I1212" s="8" t="n"/>
      <c r="J1212" s="8" t="n"/>
      <c r="K1212" s="8" t="n"/>
      <c r="L1212" s="8" t="n"/>
      <c r="M1212" s="8" t="n"/>
      <c r="N1212" s="8" t="n"/>
      <c r="O1212" s="8" t="n"/>
      <c r="P1212" s="8" t="n"/>
      <c r="Q1212" s="8" t="n"/>
      <c r="R1212" s="8" t="n"/>
      <c r="S1212" s="8" t="n"/>
      <c r="T1212" s="8" t="n"/>
      <c r="U1212" s="8" t="n"/>
      <c r="V1212" s="8">
        <f>I1212+J1212+K1212</f>
        <v/>
      </c>
      <c r="W1212" s="8">
        <f>F1212+V1212+N1212</f>
        <v/>
      </c>
      <c r="X1212" s="8">
        <f>P1212+Q1212+R1212</f>
        <v/>
      </c>
      <c r="Y1212" s="4">
        <f>(W1212+2.71)*E1212+X1212*365</f>
        <v/>
      </c>
    </row>
    <row r="1213">
      <c r="A1213" s="2" t="n"/>
      <c r="B1213" s="8" t="n"/>
      <c r="C1213" s="8" t="inlineStr">
        <is>
          <t>Transmission ($/day)</t>
        </is>
      </c>
      <c r="D1213" s="8" t="n">
        <v>1043.7425</v>
      </c>
      <c r="E1213" s="8" t="n"/>
      <c r="F1213" s="8" t="n"/>
      <c r="G1213" s="8" t="n"/>
      <c r="H1213" s="8" t="n"/>
      <c r="I1213" s="8" t="n"/>
      <c r="J1213" s="8" t="n"/>
      <c r="K1213" s="8" t="n"/>
      <c r="L1213" s="8" t="n"/>
      <c r="M1213" s="8" t="n"/>
      <c r="N1213" s="8" t="n"/>
      <c r="O1213" s="8" t="n"/>
      <c r="P1213" s="8" t="n"/>
      <c r="Q1213" s="8" t="n"/>
      <c r="R1213" s="8" t="n"/>
      <c r="S1213" s="8" t="n"/>
      <c r="T1213" s="8" t="n"/>
      <c r="U1213" s="8" t="n"/>
      <c r="V1213" s="8">
        <f>I1213+J1213+K1213</f>
        <v/>
      </c>
      <c r="W1213" s="8">
        <f>F1213+V1213+N1213</f>
        <v/>
      </c>
      <c r="X1213" s="8">
        <f>P1213+Q1213+R1213</f>
        <v/>
      </c>
      <c r="Y1213" s="4">
        <f>(W1213+2.71)*E1213+X1213*365</f>
        <v/>
      </c>
    </row>
    <row r="1214">
      <c r="A1214" s="2" t="n"/>
      <c r="B1214" s="8" t="n"/>
      <c r="C1214" s="8" t="inlineStr">
        <is>
          <t>Network ($/day)</t>
        </is>
      </c>
      <c r="D1214" s="8" t="n">
        <v>224.2346</v>
      </c>
      <c r="E1214" s="8" t="n"/>
      <c r="F1214" s="8" t="n"/>
      <c r="G1214" s="8" t="n"/>
      <c r="H1214" s="8" t="n"/>
      <c r="I1214" s="8" t="n"/>
      <c r="J1214" s="8" t="n"/>
      <c r="K1214" s="8" t="n"/>
      <c r="L1214" s="8" t="n"/>
      <c r="M1214" s="8" t="n"/>
      <c r="N1214" s="8" t="n"/>
      <c r="O1214" s="8" t="n"/>
      <c r="P1214" s="8" t="n"/>
      <c r="Q1214" s="8" t="n"/>
      <c r="R1214" s="8" t="n"/>
      <c r="S1214" s="8" t="n"/>
      <c r="T1214" s="8" t="n"/>
      <c r="U1214" s="8" t="n"/>
      <c r="V1214" s="8">
        <f>I1214+J1214+K1214</f>
        <v/>
      </c>
      <c r="W1214" s="8">
        <f>F1214+V1214+N1214</f>
        <v/>
      </c>
      <c r="X1214" s="8">
        <f>P1214+Q1214+R1214</f>
        <v/>
      </c>
      <c r="Y1214" s="4">
        <f>(W1214+2.71)*E1214+X1214*365</f>
        <v/>
      </c>
    </row>
    <row r="1215">
      <c r="A1215" s="2" t="n"/>
      <c r="B1215" s="8" t="n"/>
      <c r="C1215" s="8" t="inlineStr">
        <is>
          <t>Metering ($/day)</t>
        </is>
      </c>
      <c r="D1215" s="8" t="n">
        <v>229.8331</v>
      </c>
      <c r="E1215" s="8" t="n"/>
      <c r="F1215" s="8" t="n"/>
      <c r="G1215" s="8" t="n"/>
      <c r="H1215" s="8" t="n"/>
      <c r="I1215" s="8" t="n"/>
      <c r="J1215" s="8" t="n"/>
      <c r="K1215" s="8" t="n"/>
      <c r="L1215" s="8" t="n"/>
      <c r="M1215" s="8" t="n"/>
      <c r="N1215" s="8" t="n"/>
      <c r="O1215" s="8" t="n"/>
      <c r="P1215" s="8" t="n"/>
      <c r="Q1215" s="8" t="n"/>
      <c r="R1215" s="8" t="n"/>
      <c r="S1215" s="8" t="n"/>
      <c r="T1215" s="8" t="n"/>
      <c r="U1215" s="8" t="n"/>
      <c r="V1215" s="8">
        <f>I1215+J1215+K1215</f>
        <v/>
      </c>
      <c r="W1215" s="8">
        <f>F1215+V1215+N1215</f>
        <v/>
      </c>
      <c r="X1215" s="8">
        <f>P1215+Q1215+R1215</f>
        <v/>
      </c>
      <c r="Y1215" s="4">
        <f>(W1215+2.71)*E1215+X1215*365</f>
        <v/>
      </c>
    </row>
    <row r="1216">
      <c r="A1216" s="2" t="n"/>
      <c r="B1216" s="8" t="n"/>
      <c r="C1216" s="8" t="inlineStr">
        <is>
          <t>Levy ($/day)</t>
        </is>
      </c>
      <c r="D1216" s="8" t="n"/>
      <c r="E1216" s="8" t="n"/>
      <c r="F1216" s="8" t="n"/>
      <c r="G1216" s="8" t="n"/>
      <c r="H1216" s="8" t="n"/>
      <c r="I1216" s="8" t="n"/>
      <c r="J1216" s="8" t="n"/>
      <c r="K1216" s="8" t="n"/>
      <c r="L1216" s="8" t="n"/>
      <c r="M1216" s="8" t="n"/>
      <c r="N1216" s="8" t="n"/>
      <c r="O1216" s="8" t="n"/>
      <c r="P1216" s="8" t="n"/>
      <c r="Q1216" s="8" t="n"/>
      <c r="R1216" s="8" t="n"/>
      <c r="S1216" s="8" t="n"/>
      <c r="T1216" s="8" t="n"/>
      <c r="U1216" s="8" t="n"/>
      <c r="V1216" s="8">
        <f>I1216+J1216+K1216</f>
        <v/>
      </c>
      <c r="W1216" s="8">
        <f>F1216+V1216+N1216</f>
        <v/>
      </c>
      <c r="X1216" s="8">
        <f>P1216+Q1216+R1216</f>
        <v/>
      </c>
      <c r="Y1216" s="4">
        <f>(W1216+2.71)*E1216+X1216*365</f>
        <v/>
      </c>
    </row>
    <row r="1217">
      <c r="A1217" s="5" t="n"/>
      <c r="B1217" s="9" t="inlineStr">
        <is>
          <t>0000073603NAA76</t>
        </is>
      </c>
      <c r="C1217" s="9" t="inlineStr">
        <is>
          <t>139 Centennial Highway, Ngauranga, Wellington</t>
        </is>
      </c>
      <c r="D1217" s="9" t="n">
        <v>133</v>
      </c>
      <c r="E1217" s="9" t="n">
        <v>21169</v>
      </c>
      <c r="F1217" s="9" t="n">
        <v>20.71</v>
      </c>
      <c r="G1217" s="9" t="n"/>
      <c r="H1217" s="9" t="n">
        <v>0</v>
      </c>
      <c r="I1217" s="9" t="n">
        <v>1.22</v>
      </c>
      <c r="J1217" s="9" t="n">
        <v>1.7676</v>
      </c>
      <c r="K1217" s="9" t="n">
        <v>0.2452</v>
      </c>
      <c r="L1217" s="9" t="n">
        <v>3.2328</v>
      </c>
      <c r="M1217" s="9" t="n">
        <v>0.8946</v>
      </c>
      <c r="N1217" s="9" t="n">
        <v>0.8946</v>
      </c>
      <c r="O1217" s="9" t="n">
        <v>0</v>
      </c>
      <c r="P1217" s="9" t="n">
        <v>275.474</v>
      </c>
      <c r="Q1217" s="9" t="n">
        <v>13.5919</v>
      </c>
      <c r="R1217" s="9" t="n">
        <v>12.19</v>
      </c>
      <c r="S1217" s="9" t="n">
        <v>24.8374</v>
      </c>
      <c r="T1217" s="9" t="n">
        <v>301.2559</v>
      </c>
      <c r="U1217" s="9" t="n"/>
      <c r="V1217" s="9">
        <f>I1217+J1217+K1217</f>
        <v/>
      </c>
      <c r="W1217" s="9">
        <f>F1217+V1217+N1217</f>
        <v/>
      </c>
      <c r="X1217" s="9">
        <f>P1217+Q1217+R1217</f>
        <v/>
      </c>
      <c r="Y1217" s="7">
        <f>(W1217+2.71)*E1217+X1217*365</f>
        <v/>
      </c>
    </row>
    <row r="1220" ht="30.75" customHeight="1">
      <c r="A1220" s="38" t="inlineStr">
        <is>
          <t>NZ NTOU Gas Rates raw source schedule</t>
        </is>
      </c>
      <c r="B1220" s="38" t="n"/>
      <c r="C1220" s="38" t="n"/>
      <c r="D1220" s="38" t="n"/>
      <c r="E1220" s="38" t="n"/>
      <c r="F1220" s="38" t="n"/>
      <c r="G1220" s="38" t="n"/>
      <c r="H1220" s="38" t="n"/>
      <c r="I1220" s="38" t="n"/>
      <c r="J1220" s="38" t="n"/>
      <c r="K1220" s="38" t="n"/>
      <c r="L1220" s="38" t="n"/>
      <c r="M1220" s="38" t="n"/>
      <c r="N1220" s="38" t="n"/>
      <c r="O1220" s="38" t="n"/>
      <c r="P1220" s="38" t="n"/>
      <c r="Q1220" s="38" t="n"/>
      <c r="R1220" s="38" t="n"/>
      <c r="S1220" s="38" t="n"/>
      <c r="T1220" s="38" t="n"/>
      <c r="U1220" s="38" t="n"/>
      <c r="V1220" s="38" t="n"/>
    </row>
    <row r="1221" ht="43.5" customHeight="1">
      <c r="A1221" s="39" t="inlineStr">
        <is>
          <t>ICP</t>
        </is>
      </c>
      <c r="B1221" s="40" t="inlineStr">
        <is>
          <t>Retailer</t>
        </is>
      </c>
      <c r="C1221" s="40" t="inlineStr">
        <is>
          <t>Term</t>
        </is>
      </c>
      <c r="D1221" s="40" t="inlineStr">
        <is>
          <t>Usage</t>
        </is>
      </c>
      <c r="E1221" s="40" t="inlineStr">
        <is>
          <t>Variable</t>
        </is>
      </c>
      <c r="F1221" s="40" t="inlineStr">
        <is>
          <t>GIC Daily</t>
        </is>
      </c>
      <c r="G1221" s="40" t="inlineStr">
        <is>
          <t>Fixed</t>
        </is>
      </c>
      <c r="H1221" s="40" t="inlineStr">
        <is>
          <t>Discount</t>
        </is>
      </c>
      <c r="I1221" s="40" t="inlineStr">
        <is>
          <t>Total Variable</t>
        </is>
      </c>
      <c r="J1221" s="40" t="inlineStr">
        <is>
          <t>Total Fixed</t>
        </is>
      </c>
      <c r="K1221" s="40" t="inlineStr">
        <is>
          <t>Brokerage</t>
        </is>
      </c>
      <c r="L1221" s="40" t="inlineStr">
        <is>
          <t>Total Cost</t>
        </is>
      </c>
      <c r="M1221" s="40" t="inlineStr">
        <is>
          <t>Unnamed: 12</t>
        </is>
      </c>
      <c r="N1221" s="40" t="inlineStr">
        <is>
          <t>Unnamed: 13</t>
        </is>
      </c>
      <c r="O1221" s="40" t="inlineStr">
        <is>
          <t>Unnamed: 14</t>
        </is>
      </c>
      <c r="P1221" s="40" t="inlineStr">
        <is>
          <t>Unnamed: 15</t>
        </is>
      </c>
      <c r="Q1221" s="40" t="inlineStr">
        <is>
          <t>Unnamed: 16</t>
        </is>
      </c>
      <c r="R1221" s="40" t="inlineStr">
        <is>
          <t>Unnamed: 17</t>
        </is>
      </c>
      <c r="S1221" s="40" t="inlineStr">
        <is>
          <t>End Date</t>
        </is>
      </c>
      <c r="T1221" s="40" t="inlineStr">
        <is>
          <t>Unnamed: 19</t>
        </is>
      </c>
      <c r="U1221" s="40" t="inlineStr">
        <is>
          <t>2030-09-30 00:00:00</t>
        </is>
      </c>
      <c r="V1221" s="41" t="inlineStr">
        <is>
          <t>Formula Total Cost</t>
        </is>
      </c>
    </row>
    <row r="1222">
      <c r="A1222" s="2" t="inlineStr">
        <is>
          <t>0001002400PGD55</t>
        </is>
      </c>
      <c r="B1222" s="8" t="inlineStr">
        <is>
          <t>Nova</t>
        </is>
      </c>
      <c r="C1222" s="8" t="inlineStr">
        <is>
          <t>36 Month</t>
        </is>
      </c>
      <c r="D1222" s="8" t="n">
        <v>7212.400000000001</v>
      </c>
      <c r="E1222" s="8" t="n">
        <v>14.364</v>
      </c>
      <c r="F1222" s="8" t="n">
        <v>1.5</v>
      </c>
      <c r="G1222" s="8" t="n">
        <v>226.499</v>
      </c>
      <c r="H1222" s="8" t="n">
        <v>0</v>
      </c>
      <c r="I1222" s="8" t="n">
        <v>1144.175136</v>
      </c>
      <c r="J1222" s="8" t="n">
        <v>826.7213499999999</v>
      </c>
      <c r="K1222" s="8" t="n">
        <v>185</v>
      </c>
      <c r="L1222" s="8" t="n">
        <v>2155.896486</v>
      </c>
      <c r="M1222" s="8" t="n"/>
      <c r="N1222" s="8" t="n"/>
      <c r="O1222" s="8" t="n"/>
      <c r="P1222" s="8" t="n"/>
      <c r="Q1222" s="8" t="n"/>
      <c r="R1222" s="8" t="n"/>
      <c r="S1222" s="8" t="n"/>
      <c r="T1222" s="8" t="n"/>
      <c r="U1222" s="8" t="n"/>
      <c r="V1222" s="4">
        <f>I1222+J1222+K1222</f>
        <v/>
      </c>
    </row>
    <row r="1223">
      <c r="A1223" s="2" t="inlineStr">
        <is>
          <t>0001700321PG50C</t>
        </is>
      </c>
      <c r="B1223" s="8" t="inlineStr">
        <is>
          <t>Nova</t>
        </is>
      </c>
      <c r="C1223" s="8" t="inlineStr">
        <is>
          <t>36 Month</t>
        </is>
      </c>
      <c r="D1223" s="8" t="n">
        <v>3074.746543778802</v>
      </c>
      <c r="E1223" s="8" t="n">
        <v>21.993</v>
      </c>
      <c r="F1223" s="8" t="n">
        <v>1.5</v>
      </c>
      <c r="G1223" s="8" t="n">
        <v>113.153</v>
      </c>
      <c r="H1223" s="8" t="n">
        <v>0</v>
      </c>
      <c r="I1223" s="8" t="n">
        <v>722.3502055299538</v>
      </c>
      <c r="J1223" s="8" t="n">
        <v>413.00845</v>
      </c>
      <c r="K1223" s="8" t="n">
        <v>185</v>
      </c>
      <c r="L1223" s="8" t="n">
        <v>1320.358655529954</v>
      </c>
      <c r="M1223" s="8" t="n"/>
      <c r="N1223" s="8" t="n"/>
      <c r="O1223" s="8" t="n"/>
      <c r="P1223" s="8" t="n"/>
      <c r="Q1223" s="8" t="n"/>
      <c r="R1223" s="8" t="n"/>
      <c r="S1223" s="8" t="n"/>
      <c r="T1223" s="8" t="n"/>
      <c r="U1223" s="8" t="n"/>
      <c r="V1223" s="4">
        <f>I1223+J1223+K1223</f>
        <v/>
      </c>
    </row>
    <row r="1224">
      <c r="A1224" s="2" t="inlineStr">
        <is>
          <t>0001702030PG3A7</t>
        </is>
      </c>
      <c r="B1224" s="8" t="inlineStr">
        <is>
          <t>Nova</t>
        </is>
      </c>
      <c r="C1224" s="8" t="inlineStr">
        <is>
          <t>36 Month</t>
        </is>
      </c>
      <c r="D1224" s="8" t="n">
        <v>6968.718244803696</v>
      </c>
      <c r="E1224" s="8" t="n">
        <v>14.364</v>
      </c>
      <c r="F1224" s="8" t="n">
        <v>1.5</v>
      </c>
      <c r="G1224" s="8" t="n">
        <v>226.499</v>
      </c>
      <c r="H1224" s="8" t="n">
        <v>0</v>
      </c>
      <c r="I1224" s="8" t="n">
        <v>1105.517462355658</v>
      </c>
      <c r="J1224" s="8" t="n">
        <v>826.7213499999999</v>
      </c>
      <c r="K1224" s="8" t="n">
        <v>185</v>
      </c>
      <c r="L1224" s="8" t="n">
        <v>2117.238812355658</v>
      </c>
      <c r="M1224" s="8" t="n"/>
      <c r="N1224" s="8" t="n"/>
      <c r="O1224" s="8" t="n"/>
      <c r="P1224" s="8" t="n"/>
      <c r="Q1224" s="8" t="n"/>
      <c r="R1224" s="8" t="n"/>
      <c r="S1224" s="8" t="n"/>
      <c r="T1224" s="8" t="n"/>
      <c r="U1224" s="8" t="n"/>
      <c r="V1224" s="4">
        <f>I1224+J1224+K1224</f>
        <v/>
      </c>
    </row>
    <row r="1225">
      <c r="A1225" s="2" t="inlineStr">
        <is>
          <t>0004212495NG7EE</t>
        </is>
      </c>
      <c r="B1225" s="8" t="inlineStr">
        <is>
          <t>Nova</t>
        </is>
      </c>
      <c r="C1225" s="8" t="inlineStr">
        <is>
          <t>36 Month</t>
        </is>
      </c>
      <c r="D1225" s="8" t="n">
        <v>1930.126728110599</v>
      </c>
      <c r="E1225" s="8" t="n">
        <v>23.698</v>
      </c>
      <c r="F1225" s="8" t="n">
        <v>1.5</v>
      </c>
      <c r="G1225" s="8" t="n">
        <v>113.153</v>
      </c>
      <c r="H1225" s="8" t="n">
        <v>0</v>
      </c>
      <c r="I1225" s="8" t="n">
        <v>486.3533329493088</v>
      </c>
      <c r="J1225" s="8" t="n">
        <v>413.00845</v>
      </c>
      <c r="K1225" s="8" t="n">
        <v>185</v>
      </c>
      <c r="L1225" s="8" t="n">
        <v>1084.361782949309</v>
      </c>
      <c r="M1225" s="8" t="n"/>
      <c r="N1225" s="8" t="n"/>
      <c r="O1225" s="8" t="n"/>
      <c r="P1225" s="8" t="n"/>
      <c r="Q1225" s="8" t="n"/>
      <c r="R1225" s="8" t="n"/>
      <c r="S1225" s="8" t="n"/>
      <c r="T1225" s="8" t="n"/>
      <c r="U1225" s="8" t="n"/>
      <c r="V1225" s="4">
        <f>I1225+J1225+K1225</f>
        <v/>
      </c>
    </row>
    <row r="1226">
      <c r="A1226" s="2" t="inlineStr">
        <is>
          <t>0004212498NG8B5</t>
        </is>
      </c>
      <c r="B1226" s="8" t="inlineStr">
        <is>
          <t>Nova</t>
        </is>
      </c>
      <c r="C1226" s="8" t="inlineStr">
        <is>
          <t>36 Month</t>
        </is>
      </c>
      <c r="D1226" s="8" t="n">
        <v>2437.258064516129</v>
      </c>
      <c r="E1226" s="8" t="n">
        <v>23.698</v>
      </c>
      <c r="F1226" s="8" t="n">
        <v>1.5</v>
      </c>
      <c r="G1226" s="8" t="n">
        <v>113.153</v>
      </c>
      <c r="H1226" s="8" t="n">
        <v>0</v>
      </c>
      <c r="I1226" s="8" t="n">
        <v>614.1402870967743</v>
      </c>
      <c r="J1226" s="8" t="n">
        <v>413.00845</v>
      </c>
      <c r="K1226" s="8" t="n">
        <v>185</v>
      </c>
      <c r="L1226" s="8" t="n">
        <v>1212.148737096774</v>
      </c>
      <c r="M1226" s="8" t="n"/>
      <c r="N1226" s="8" t="n"/>
      <c r="O1226" s="8" t="n"/>
      <c r="P1226" s="8" t="n"/>
      <c r="Q1226" s="8" t="n"/>
      <c r="R1226" s="8" t="n"/>
      <c r="S1226" s="8" t="n"/>
      <c r="T1226" s="8" t="n"/>
      <c r="U1226" s="8" t="n"/>
      <c r="V1226" s="4">
        <f>I1226+J1226+K1226</f>
        <v/>
      </c>
    </row>
    <row r="1227">
      <c r="A1227" s="2" t="inlineStr">
        <is>
          <t>0011001339PGB95</t>
        </is>
      </c>
      <c r="B1227" s="8" t="inlineStr">
        <is>
          <t>Nova</t>
        </is>
      </c>
      <c r="C1227" s="8" t="inlineStr">
        <is>
          <t>36 Month</t>
        </is>
      </c>
      <c r="D1227" s="8" t="n">
        <v>5852.057057057056</v>
      </c>
      <c r="E1227" s="8" t="n">
        <v>14.364</v>
      </c>
      <c r="F1227" s="8" t="n">
        <v>1.5</v>
      </c>
      <c r="G1227" s="8" t="n">
        <v>226.499</v>
      </c>
      <c r="H1227" s="8" t="n">
        <v>0</v>
      </c>
      <c r="I1227" s="8" t="n">
        <v>928.3703315315314</v>
      </c>
      <c r="J1227" s="8" t="n">
        <v>826.7213499999999</v>
      </c>
      <c r="K1227" s="8" t="n">
        <v>185</v>
      </c>
      <c r="L1227" s="8" t="n">
        <v>1940.091681531531</v>
      </c>
      <c r="M1227" s="8" t="n"/>
      <c r="N1227" s="8" t="n"/>
      <c r="O1227" s="8" t="n"/>
      <c r="P1227" s="8" t="n"/>
      <c r="Q1227" s="8" t="n"/>
      <c r="R1227" s="8" t="n"/>
      <c r="S1227" s="8" t="n"/>
      <c r="T1227" s="8" t="n"/>
      <c r="U1227" s="8" t="n"/>
      <c r="V1227" s="4">
        <f>I1227+J1227+K1227</f>
        <v/>
      </c>
    </row>
    <row r="1228">
      <c r="A1228" s="2" t="inlineStr">
        <is>
          <t>0011002529PG5DE</t>
        </is>
      </c>
      <c r="B1228" s="8" t="inlineStr">
        <is>
          <t>Nova</t>
        </is>
      </c>
      <c r="C1228" s="8" t="inlineStr">
        <is>
          <t>36 Month</t>
        </is>
      </c>
      <c r="D1228" s="8" t="n">
        <v>4473.352534562212</v>
      </c>
      <c r="E1228" s="8" t="n">
        <v>14.364</v>
      </c>
      <c r="F1228" s="8" t="n">
        <v>1.5</v>
      </c>
      <c r="G1228" s="8" t="n">
        <v>226.499</v>
      </c>
      <c r="H1228" s="8" t="n">
        <v>0</v>
      </c>
      <c r="I1228" s="8" t="n">
        <v>709.6526460829493</v>
      </c>
      <c r="J1228" s="8" t="n">
        <v>826.7213499999999</v>
      </c>
      <c r="K1228" s="8" t="n">
        <v>185</v>
      </c>
      <c r="L1228" s="8" t="n">
        <v>1721.373996082949</v>
      </c>
      <c r="M1228" s="8" t="n"/>
      <c r="N1228" s="8" t="n"/>
      <c r="O1228" s="8" t="n"/>
      <c r="P1228" s="8" t="n"/>
      <c r="Q1228" s="8" t="n"/>
      <c r="R1228" s="8" t="n"/>
      <c r="S1228" s="8" t="n"/>
      <c r="T1228" s="8" t="n"/>
      <c r="U1228" s="8" t="n"/>
      <c r="V1228" s="4">
        <f>I1228+J1228+K1228</f>
        <v/>
      </c>
    </row>
    <row r="1229">
      <c r="A1229" s="2" t="inlineStr">
        <is>
          <t>0042250800PG852</t>
        </is>
      </c>
      <c r="B1229" s="8" t="inlineStr">
        <is>
          <t>Nova</t>
        </is>
      </c>
      <c r="C1229" s="8" t="inlineStr">
        <is>
          <t>36 Month</t>
        </is>
      </c>
      <c r="D1229" s="8" t="n">
        <v>278.8668224299065</v>
      </c>
      <c r="E1229" s="8" t="n">
        <v>21.993</v>
      </c>
      <c r="F1229" s="8" t="n">
        <v>1.5</v>
      </c>
      <c r="G1229" s="8" t="n">
        <v>113.153</v>
      </c>
      <c r="H1229" s="8" t="n">
        <v>0</v>
      </c>
      <c r="I1229" s="8" t="n">
        <v>65.51418259345793</v>
      </c>
      <c r="J1229" s="8" t="n">
        <v>413.00845</v>
      </c>
      <c r="K1229" s="8" t="n">
        <v>185</v>
      </c>
      <c r="L1229" s="8" t="n">
        <v>663.522632593458</v>
      </c>
      <c r="M1229" s="8" t="n"/>
      <c r="N1229" s="8" t="n"/>
      <c r="O1229" s="8" t="n"/>
      <c r="P1229" s="8" t="n"/>
      <c r="Q1229" s="8" t="n"/>
      <c r="R1229" s="8" t="n"/>
      <c r="S1229" s="8" t="n"/>
      <c r="T1229" s="8" t="n"/>
      <c r="U1229" s="8" t="n"/>
      <c r="V1229" s="4">
        <f>I1229+J1229+K1229</f>
        <v/>
      </c>
    </row>
    <row r="1230">
      <c r="A1230" s="2" t="inlineStr">
        <is>
          <t>1000516888PGF43</t>
        </is>
      </c>
      <c r="B1230" s="8" t="inlineStr">
        <is>
          <t>Nova</t>
        </is>
      </c>
      <c r="C1230" s="8" t="inlineStr">
        <is>
          <t>36 Month</t>
        </is>
      </c>
      <c r="D1230" s="8" t="n">
        <v>769.5276497695853</v>
      </c>
      <c r="E1230" s="8" t="n">
        <v>21.993</v>
      </c>
      <c r="F1230" s="8" t="n">
        <v>1.5</v>
      </c>
      <c r="G1230" s="8" t="n">
        <v>113.153</v>
      </c>
      <c r="H1230" s="8" t="n">
        <v>0</v>
      </c>
      <c r="I1230" s="8" t="n">
        <v>180.7851307603687</v>
      </c>
      <c r="J1230" s="8" t="n">
        <v>413.00845</v>
      </c>
      <c r="K1230" s="8" t="n">
        <v>185</v>
      </c>
      <c r="L1230" s="8" t="n">
        <v>778.7935807603687</v>
      </c>
      <c r="M1230" s="8" t="n"/>
      <c r="N1230" s="8" t="n"/>
      <c r="O1230" s="8" t="n"/>
      <c r="P1230" s="8" t="n"/>
      <c r="Q1230" s="8" t="n"/>
      <c r="R1230" s="8" t="n"/>
      <c r="S1230" s="8" t="n"/>
      <c r="T1230" s="8" t="n"/>
      <c r="U1230" s="8" t="n"/>
      <c r="V1230" s="4">
        <f>I1230+J1230+K1230</f>
        <v/>
      </c>
    </row>
    <row r="1231">
      <c r="A1231" s="2" t="inlineStr">
        <is>
          <t>1000581141PGC50</t>
        </is>
      </c>
      <c r="B1231" s="8" t="inlineStr">
        <is>
          <t>Nova</t>
        </is>
      </c>
      <c r="C1231" s="8" t="inlineStr">
        <is>
          <t>36 Month</t>
        </is>
      </c>
      <c r="D1231" s="8" t="n">
        <v>2510.538243626062</v>
      </c>
      <c r="E1231" s="8" t="n">
        <v>21.993</v>
      </c>
      <c r="F1231" s="8" t="n">
        <v>1.5</v>
      </c>
      <c r="G1231" s="8" t="n">
        <v>113.153</v>
      </c>
      <c r="H1231" s="8" t="n">
        <v>0</v>
      </c>
      <c r="I1231" s="8" t="n">
        <v>589.8007495750708</v>
      </c>
      <c r="J1231" s="8" t="n">
        <v>413.00845</v>
      </c>
      <c r="K1231" s="8" t="n">
        <v>185</v>
      </c>
      <c r="L1231" s="8" t="n">
        <v>1187.809199575071</v>
      </c>
      <c r="M1231" s="8" t="n"/>
      <c r="N1231" s="8" t="n"/>
      <c r="O1231" s="8" t="n"/>
      <c r="P1231" s="8" t="n"/>
      <c r="Q1231" s="8" t="n"/>
      <c r="R1231" s="8" t="n"/>
      <c r="S1231" s="8" t="n"/>
      <c r="T1231" s="8" t="n"/>
      <c r="U1231" s="8" t="n"/>
      <c r="V1231" s="4">
        <f>I1231+J1231+K1231</f>
        <v/>
      </c>
    </row>
    <row r="1232">
      <c r="A1232" s="2" t="inlineStr">
        <is>
          <t>1000590389PGAED</t>
        </is>
      </c>
      <c r="B1232" s="8" t="inlineStr">
        <is>
          <t>Nova</t>
        </is>
      </c>
      <c r="C1232" s="8" t="inlineStr">
        <is>
          <t>36 Month</t>
        </is>
      </c>
      <c r="D1232" s="8" t="n">
        <v>1678.789625360231</v>
      </c>
      <c r="E1232" s="8" t="n">
        <v>21.993</v>
      </c>
      <c r="F1232" s="8" t="n">
        <v>1.5</v>
      </c>
      <c r="G1232" s="8" t="n">
        <v>113.153</v>
      </c>
      <c r="H1232" s="8" t="n">
        <v>0</v>
      </c>
      <c r="I1232" s="8" t="n">
        <v>394.398046685879</v>
      </c>
      <c r="J1232" s="8" t="n">
        <v>413.00845</v>
      </c>
      <c r="K1232" s="8" t="n">
        <v>185</v>
      </c>
      <c r="L1232" s="8" t="n">
        <v>992.406496685879</v>
      </c>
      <c r="M1232" s="8" t="n"/>
      <c r="N1232" s="8" t="n"/>
      <c r="O1232" s="8" t="n"/>
      <c r="P1232" s="8" t="n"/>
      <c r="Q1232" s="8" t="n"/>
      <c r="R1232" s="8" t="n"/>
      <c r="S1232" s="8" t="n"/>
      <c r="T1232" s="8" t="n"/>
      <c r="U1232" s="8" t="n"/>
      <c r="V1232" s="4">
        <f>I1232+J1232+K1232</f>
        <v/>
      </c>
    </row>
    <row r="1233">
      <c r="A1233" s="5" t="inlineStr">
        <is>
          <t>1000605558PG1BC</t>
        </is>
      </c>
      <c r="B1233" s="9" t="inlineStr">
        <is>
          <t>Nova</t>
        </is>
      </c>
      <c r="C1233" s="9" t="inlineStr">
        <is>
          <t>36 Month</t>
        </is>
      </c>
      <c r="D1233" s="9" t="n">
        <v>656.3378684807255</v>
      </c>
      <c r="E1233" s="9" t="n">
        <v>21.993</v>
      </c>
      <c r="F1233" s="9" t="n">
        <v>1.5</v>
      </c>
      <c r="G1233" s="9" t="n">
        <v>113.153</v>
      </c>
      <c r="H1233" s="9" t="n">
        <v>0</v>
      </c>
      <c r="I1233" s="9" t="n">
        <v>154.1934554421768</v>
      </c>
      <c r="J1233" s="9" t="n">
        <v>413.00845</v>
      </c>
      <c r="K1233" s="9" t="n">
        <v>185</v>
      </c>
      <c r="L1233" s="9" t="n">
        <v>752.2019054421769</v>
      </c>
      <c r="M1233" s="9" t="n"/>
      <c r="N1233" s="9" t="n"/>
      <c r="O1233" s="9" t="n"/>
      <c r="P1233" s="9" t="n"/>
      <c r="Q1233" s="9" t="n"/>
      <c r="R1233" s="9" t="n"/>
      <c r="S1233" s="9" t="n"/>
      <c r="T1233" s="9" t="n"/>
      <c r="U1233" s="9" t="n"/>
      <c r="V1233" s="7">
        <f>I1233+J1233+K1233</f>
        <v/>
      </c>
    </row>
    <row r="1236" ht="30.75" customHeight="1">
      <c r="A1236" s="38" t="inlineStr">
        <is>
          <t>NZ TOU Electricity Analysis raw source schedule</t>
        </is>
      </c>
      <c r="B1236" s="38" t="n"/>
      <c r="C1236" s="38" t="n"/>
      <c r="D1236" s="38" t="n"/>
      <c r="E1236" s="38" t="n"/>
      <c r="F1236" s="38" t="n"/>
      <c r="G1236" s="38" t="n"/>
      <c r="H1236" s="38" t="n"/>
      <c r="I1236" s="38" t="n"/>
      <c r="J1236" s="38" t="n"/>
      <c r="K1236" s="38" t="n"/>
      <c r="L1236" s="38" t="n"/>
      <c r="M1236" s="38" t="n"/>
      <c r="N1236" s="38" t="n"/>
      <c r="O1236" s="38" t="n"/>
      <c r="P1236" s="38" t="n"/>
      <c r="Q1236" s="38" t="n"/>
      <c r="R1236" s="38" t="n"/>
      <c r="S1236" s="38" t="n"/>
      <c r="T1236" s="38" t="n"/>
      <c r="U1236" s="38" t="n"/>
      <c r="V1236" s="38" t="n"/>
      <c r="W1236" s="38" t="n"/>
      <c r="X1236" s="38" t="n"/>
    </row>
    <row r="1237" ht="108.75" customHeight="1">
      <c r="A1237" s="39" t="inlineStr">
        <is>
          <t>Region</t>
        </is>
      </c>
      <c r="B1237" s="40" t="inlineStr">
        <is>
          <t>Row Labels</t>
        </is>
      </c>
      <c r="C1237" s="40" t="inlineStr">
        <is>
          <t>Total Spend Average Year Ecotricity</t>
        </is>
      </c>
      <c r="D1237" s="40" t="inlineStr">
        <is>
          <t>Sum of Bill Days</t>
        </is>
      </c>
      <c r="E1237" s="40" t="inlineStr">
        <is>
          <t>Sum of kWh Usage</t>
        </is>
      </c>
      <c r="F1237" s="40" t="inlineStr">
        <is>
          <t>Ecotricity Year 1</t>
        </is>
      </c>
      <c r="G1237" s="40" t="inlineStr">
        <is>
          <t>Ecotricity Year 2</t>
        </is>
      </c>
      <c r="H1237" s="40" t="inlineStr">
        <is>
          <t>Ecotricity Year 3</t>
        </is>
      </c>
      <c r="I1237" s="40" t="inlineStr">
        <is>
          <t>Ecotricity Year 4</t>
        </is>
      </c>
      <c r="J1237" s="40" t="inlineStr">
        <is>
          <t>Annual Energy</t>
        </is>
      </c>
      <c r="K1237" s="40" t="inlineStr">
        <is>
          <t>Sum of Network ($)</t>
        </is>
      </c>
      <c r="L1237" s="40" t="inlineStr">
        <is>
          <t>Annual Network</t>
        </is>
      </c>
      <c r="M1237" s="40" t="inlineStr">
        <is>
          <t>Sum of Metering ($)</t>
        </is>
      </c>
      <c r="N1237" s="40" t="inlineStr">
        <is>
          <t>Admin &amp; climate positive certification</t>
        </is>
      </c>
      <c r="O1237" s="40" t="inlineStr">
        <is>
          <t>Metering Daily Charges</t>
        </is>
      </c>
      <c r="P1237" s="40" t="inlineStr">
        <is>
          <t>Annual Metering</t>
        </is>
      </c>
      <c r="Q1237" s="40" t="inlineStr">
        <is>
          <t>Sum of Admin Fee ($)</t>
        </is>
      </c>
      <c r="R1237" s="40" t="inlineStr">
        <is>
          <t>Annual Admin</t>
        </is>
      </c>
      <c r="S1237" s="40" t="inlineStr">
        <is>
          <t>Sum of EA Levy ($)</t>
        </is>
      </c>
      <c r="T1237" s="40" t="inlineStr">
        <is>
          <t>Annual EA Levy</t>
        </is>
      </c>
      <c r="U1237" s="40" t="inlineStr">
        <is>
          <t>Sum of Total ($) excl GST</t>
        </is>
      </c>
      <c r="V1237" s="40" t="inlineStr">
        <is>
          <t>Sum of kWh Energy Loss</t>
        </is>
      </c>
      <c r="W1237" s="40" t="inlineStr">
        <is>
          <t>Sum of kWh Daily</t>
        </is>
      </c>
      <c r="X1237" s="41" t="inlineStr">
        <is>
          <t>Formula Annual Cost (EA levy included in awarded rate)</t>
        </is>
      </c>
    </row>
    <row r="1238">
      <c r="A1238" s="2" t="inlineStr">
        <is>
          <t>North</t>
        </is>
      </c>
      <c r="B1238" s="8" t="inlineStr">
        <is>
          <t>0000015023HBABD</t>
        </is>
      </c>
      <c r="C1238" s="8" t="n">
        <v>24174.31508075</v>
      </c>
      <c r="D1238" s="8" t="n">
        <v>365</v>
      </c>
      <c r="E1238" s="8" t="n">
        <v>43948.43000000001</v>
      </c>
      <c r="F1238" s="8" t="n">
        <v>5165.355275</v>
      </c>
      <c r="G1238" s="8" t="n">
        <v>5365.185514</v>
      </c>
      <c r="H1238" s="8" t="n">
        <v>5266.156821</v>
      </c>
      <c r="I1238" s="8" t="n">
        <v>5202.492364999999</v>
      </c>
      <c r="J1238" s="8" t="n">
        <v>5289.35108075</v>
      </c>
      <c r="K1238" s="8" t="n">
        <v>16924.98</v>
      </c>
      <c r="L1238" s="8" t="n">
        <v>16924.98</v>
      </c>
      <c r="M1238" s="8" t="n">
        <v>1009.58</v>
      </c>
      <c r="N1238" s="8" t="n">
        <v>36</v>
      </c>
      <c r="O1238" s="8" t="n">
        <v>475.36</v>
      </c>
      <c r="P1238" s="8" t="n">
        <v>1866.464</v>
      </c>
      <c r="Q1238" s="8" t="n">
        <v>93.52000000000001</v>
      </c>
      <c r="R1238" s="8" t="n">
        <v>93.52000000000001</v>
      </c>
      <c r="S1238" s="8" t="n">
        <v>59.73</v>
      </c>
      <c r="T1238" s="8" t="n">
        <v>59.73</v>
      </c>
      <c r="U1238" s="8" t="n">
        <v>25704.55</v>
      </c>
      <c r="V1238" s="8" t="n">
        <v>2489.6916</v>
      </c>
      <c r="W1238" s="8" t="n">
        <v>1441.775126728111</v>
      </c>
      <c r="X1238" s="4">
        <f>J1238+L1238+P1238+R1238</f>
        <v/>
      </c>
    </row>
    <row r="1239">
      <c r="A1239" s="2" t="inlineStr">
        <is>
          <t>North</t>
        </is>
      </c>
      <c r="B1239" s="8" t="inlineStr">
        <is>
          <t>0000024050WE5E2</t>
        </is>
      </c>
      <c r="C1239" s="8" t="n">
        <v>137641.0001626</v>
      </c>
      <c r="D1239" s="8" t="n">
        <v>365</v>
      </c>
      <c r="E1239" s="8" t="n">
        <v>598544.088</v>
      </c>
      <c r="F1239" s="8" t="n">
        <v>81824.8881984</v>
      </c>
      <c r="G1239" s="8" t="n">
        <v>86996.7107424</v>
      </c>
      <c r="H1239" s="8" t="n">
        <v>85130.1602976</v>
      </c>
      <c r="I1239" s="8" t="n">
        <v>84222.7826952</v>
      </c>
      <c r="J1239" s="8" t="n">
        <v>85082.3251626</v>
      </c>
      <c r="K1239" s="8" t="n">
        <v>50307.71999999999</v>
      </c>
      <c r="L1239" s="8" t="n">
        <v>50307.71999999999</v>
      </c>
      <c r="M1239" s="8" t="n">
        <v>407.9599999999999</v>
      </c>
      <c r="N1239" s="8" t="n">
        <v>36</v>
      </c>
      <c r="O1239" s="8" t="n">
        <v>552.7</v>
      </c>
      <c r="P1239" s="8" t="n">
        <v>2148.755</v>
      </c>
      <c r="Q1239" s="8" t="n">
        <v>102.2</v>
      </c>
      <c r="R1239" s="8" t="n">
        <v>102.2</v>
      </c>
      <c r="S1239" s="8" t="n">
        <v>807.7099999999999</v>
      </c>
      <c r="T1239" s="8" t="n">
        <v>807.7099999999999</v>
      </c>
      <c r="U1239" s="8" t="n">
        <v>164524.44</v>
      </c>
      <c r="V1239" s="8" t="n">
        <v>19991.3725</v>
      </c>
      <c r="W1239" s="8" t="n">
        <v>19685.70733456221</v>
      </c>
      <c r="X1239" s="4">
        <f>J1239+L1239+P1239+R1239</f>
        <v/>
      </c>
    </row>
    <row r="1240">
      <c r="A1240" s="2" t="inlineStr">
        <is>
          <t>North</t>
        </is>
      </c>
      <c r="B1240" s="8" t="inlineStr">
        <is>
          <t>0000031643WEA48</t>
        </is>
      </c>
      <c r="C1240" s="8" t="n">
        <v>47161.112449</v>
      </c>
      <c r="D1240" s="8" t="n">
        <v>365</v>
      </c>
      <c r="E1240" s="8" t="n">
        <v>181231.47</v>
      </c>
      <c r="F1240" s="8" t="n">
        <v>26571.98847299999</v>
      </c>
      <c r="G1240" s="8" t="n">
        <v>28191.4562136</v>
      </c>
      <c r="H1240" s="8" t="n">
        <v>27593.419206</v>
      </c>
      <c r="I1240" s="8" t="n">
        <v>27301.7766114</v>
      </c>
      <c r="J1240" s="8" t="n">
        <v>27577.768449</v>
      </c>
      <c r="K1240" s="8" t="n">
        <v>17623.08</v>
      </c>
      <c r="L1240" s="8" t="n">
        <v>17623.08</v>
      </c>
      <c r="M1240" s="8" t="n">
        <v>342.65</v>
      </c>
      <c r="N1240" s="8" t="n">
        <v>36</v>
      </c>
      <c r="O1240" s="8" t="n">
        <v>475.36</v>
      </c>
      <c r="P1240" s="8" t="n">
        <v>1866.464</v>
      </c>
      <c r="Q1240" s="8" t="n">
        <v>93.80000000000001</v>
      </c>
      <c r="R1240" s="8" t="n">
        <v>93.80000000000001</v>
      </c>
      <c r="S1240" s="8" t="n">
        <v>242.14</v>
      </c>
      <c r="T1240" s="8" t="n">
        <v>242.14</v>
      </c>
      <c r="U1240" s="8" t="n">
        <v>56502.64</v>
      </c>
      <c r="V1240" s="8" t="n">
        <v>10293.9477</v>
      </c>
      <c r="W1240" s="8" t="n">
        <v>5970.602892165899</v>
      </c>
      <c r="X1240" s="4">
        <f>J1240+L1240+P1240+R1240</f>
        <v/>
      </c>
    </row>
    <row r="1241">
      <c r="A1241" s="2" t="inlineStr">
        <is>
          <t>North</t>
        </is>
      </c>
      <c r="B1241" s="8" t="inlineStr">
        <is>
          <t>0000519132NR7B9</t>
        </is>
      </c>
      <c r="C1241" s="8" t="n">
        <v>144900.0104836</v>
      </c>
      <c r="D1241" s="8" t="n">
        <v>365</v>
      </c>
      <c r="E1241" s="8" t="n">
        <v>511657.968</v>
      </c>
      <c r="F1241" s="8" t="n">
        <v>73317.44844960001</v>
      </c>
      <c r="G1241" s="8" t="n">
        <v>77942.0633424</v>
      </c>
      <c r="H1241" s="8" t="n">
        <v>76269.18871839999</v>
      </c>
      <c r="I1241" s="8" t="n">
        <v>75437.9927392</v>
      </c>
      <c r="J1241" s="8" t="n">
        <v>76202.16548360001</v>
      </c>
      <c r="K1241" s="8" t="n">
        <v>66446.89</v>
      </c>
      <c r="L1241" s="8" t="n">
        <v>66446.89</v>
      </c>
      <c r="M1241" s="8" t="n">
        <v>407.96</v>
      </c>
      <c r="N1241" s="8" t="n">
        <v>36</v>
      </c>
      <c r="O1241" s="8" t="n">
        <v>552.7</v>
      </c>
      <c r="P1241" s="8" t="n">
        <v>2148.755</v>
      </c>
      <c r="Q1241" s="8" t="n">
        <v>102.2</v>
      </c>
      <c r="R1241" s="8" t="n">
        <v>102.2</v>
      </c>
      <c r="S1241" s="8" t="n">
        <v>686.5700000000002</v>
      </c>
      <c r="T1241" s="8" t="n">
        <v>686.5700000000002</v>
      </c>
      <c r="U1241" s="8" t="n">
        <v>173769.47</v>
      </c>
      <c r="V1241" s="8" t="n">
        <v>31006.4727</v>
      </c>
      <c r="W1241" s="8" t="n">
        <v>16845.68140337942</v>
      </c>
      <c r="X1241" s="4">
        <f>J1241+L1241+P1241+R1241</f>
        <v/>
      </c>
    </row>
    <row r="1242">
      <c r="A1242" s="2" t="inlineStr">
        <is>
          <t>North</t>
        </is>
      </c>
      <c r="B1242" s="8" t="inlineStr">
        <is>
          <t>0000939570TUEC4</t>
        </is>
      </c>
      <c r="C1242" s="8" t="n">
        <v>296503.8496360001</v>
      </c>
      <c r="D1242" s="8" t="n">
        <v>365</v>
      </c>
      <c r="E1242" s="8" t="n">
        <v>1483122.656</v>
      </c>
      <c r="F1242" s="8" t="n">
        <v>196728.1536272</v>
      </c>
      <c r="G1242" s="8" t="n">
        <v>207927.6410112</v>
      </c>
      <c r="H1242" s="8" t="n">
        <v>203542.2020032</v>
      </c>
      <c r="I1242" s="8" t="n">
        <v>201448.3803408</v>
      </c>
      <c r="J1242" s="8" t="n">
        <v>203746.404636</v>
      </c>
      <c r="K1242" s="8" t="n">
        <v>90506.48999999999</v>
      </c>
      <c r="L1242" s="8" t="n">
        <v>90506.48999999999</v>
      </c>
      <c r="M1242" s="8" t="n">
        <v>407.9599999999999</v>
      </c>
      <c r="N1242" s="8" t="n">
        <v>36</v>
      </c>
      <c r="O1242" s="8" t="n">
        <v>552.7</v>
      </c>
      <c r="P1242" s="8" t="n">
        <v>2148.755</v>
      </c>
      <c r="Q1242" s="8" t="n">
        <v>102.2</v>
      </c>
      <c r="R1242" s="8" t="n">
        <v>102.2</v>
      </c>
      <c r="S1242" s="8" t="n">
        <v>1986.27</v>
      </c>
      <c r="T1242" s="8" t="n">
        <v>1986.27</v>
      </c>
      <c r="U1242" s="8" t="n">
        <v>366345.27</v>
      </c>
      <c r="V1242" s="8" t="n">
        <v>44493.67980000001</v>
      </c>
      <c r="W1242" s="8" t="n">
        <v>48824.66959631337</v>
      </c>
      <c r="X1242" s="4">
        <f>J1242+L1242+P1242+R1242</f>
        <v/>
      </c>
    </row>
    <row r="1243">
      <c r="A1243" s="2" t="inlineStr">
        <is>
          <t>North</t>
        </is>
      </c>
      <c r="B1243" s="8" t="inlineStr">
        <is>
          <t>0001510110PCCA2</t>
        </is>
      </c>
      <c r="C1243" s="8" t="n">
        <v>182674.11951895</v>
      </c>
      <c r="D1243" s="8" t="n">
        <v>365</v>
      </c>
      <c r="E1243" s="8" t="n">
        <v>822956.5259999998</v>
      </c>
      <c r="F1243" s="8" t="n">
        <v>107990.9966334</v>
      </c>
      <c r="G1243" s="8" t="n">
        <v>113726.78784</v>
      </c>
      <c r="H1243" s="8" t="n">
        <v>111365.7435678</v>
      </c>
      <c r="I1243" s="8" t="n">
        <v>110228.570541</v>
      </c>
      <c r="J1243" s="8" t="n">
        <v>111568.68551895</v>
      </c>
      <c r="K1243" s="8" t="n">
        <v>69136.76999999999</v>
      </c>
      <c r="L1243" s="8" t="n">
        <v>69136.76999999999</v>
      </c>
      <c r="M1243" s="8" t="n">
        <v>373.33</v>
      </c>
      <c r="N1243" s="8" t="n">
        <v>36</v>
      </c>
      <c r="O1243" s="8" t="n">
        <v>475.36</v>
      </c>
      <c r="P1243" s="8" t="n">
        <v>1866.464</v>
      </c>
      <c r="Q1243" s="8" t="n">
        <v>102.2</v>
      </c>
      <c r="R1243" s="8" t="n">
        <v>102.2</v>
      </c>
      <c r="S1243" s="8" t="n">
        <v>1102.3</v>
      </c>
      <c r="T1243" s="8" t="n">
        <v>1102.3</v>
      </c>
      <c r="U1243" s="8" t="n">
        <v>223546.18</v>
      </c>
      <c r="V1243" s="8" t="n">
        <v>50200.34810000001</v>
      </c>
      <c r="W1243" s="8" t="n">
        <v>27089.27710184332</v>
      </c>
      <c r="X1243" s="4">
        <f>J1243+L1243+P1243+R1243</f>
        <v/>
      </c>
    </row>
    <row r="1244">
      <c r="A1244" s="2" t="inlineStr">
        <is>
          <t>North</t>
        </is>
      </c>
      <c r="B1244" s="8" t="inlineStr">
        <is>
          <t>0005302992ENB6A</t>
        </is>
      </c>
      <c r="C1244" s="8" t="n">
        <v>26415.256073</v>
      </c>
      <c r="D1244" s="8" t="n">
        <v>365</v>
      </c>
      <c r="E1244" s="8" t="n">
        <v>75702.264</v>
      </c>
      <c r="F1244" s="8" t="n">
        <v>11141.5617312</v>
      </c>
      <c r="G1244" s="8" t="n">
        <v>12189.3959832</v>
      </c>
      <c r="H1244" s="8" t="n">
        <v>11917.4929464</v>
      </c>
      <c r="I1244" s="8" t="n">
        <v>11772.5054808</v>
      </c>
      <c r="J1244" s="8" t="n">
        <v>11823.371073</v>
      </c>
      <c r="K1244" s="8" t="n">
        <v>12340.93</v>
      </c>
      <c r="L1244" s="8" t="n">
        <v>12340.93</v>
      </c>
      <c r="M1244" s="8" t="n">
        <v>1755.98</v>
      </c>
      <c r="N1244" s="8" t="n">
        <v>36</v>
      </c>
      <c r="O1244" s="8" t="n">
        <v>552.7</v>
      </c>
      <c r="P1244" s="8" t="n">
        <v>2148.755</v>
      </c>
      <c r="Q1244" s="8" t="n">
        <v>102.2</v>
      </c>
      <c r="R1244" s="8" t="n">
        <v>102.2</v>
      </c>
      <c r="S1244" s="8" t="n">
        <v>103.83</v>
      </c>
      <c r="T1244" s="8" t="n">
        <v>103.83</v>
      </c>
      <c r="U1244" s="8" t="n">
        <v>31258.79</v>
      </c>
      <c r="V1244" s="8" t="n">
        <v>7010.029600000001</v>
      </c>
      <c r="W1244" s="8" t="n">
        <v>2481.139964976959</v>
      </c>
      <c r="X1244" s="4">
        <f>J1244+L1244+P1244+R1244</f>
        <v/>
      </c>
    </row>
    <row r="1245">
      <c r="A1245" s="2" t="inlineStr">
        <is>
          <t>North</t>
        </is>
      </c>
      <c r="B1245" s="8" t="inlineStr">
        <is>
          <t>1000522230PCA6E</t>
        </is>
      </c>
      <c r="C1245" s="8" t="n">
        <v>34880.35373836464</v>
      </c>
      <c r="D1245" s="8" t="n">
        <v>181</v>
      </c>
      <c r="E1245" s="8" t="n">
        <v>48441.87999999999</v>
      </c>
      <c r="F1245" s="8" t="n">
        <v>13542.439644</v>
      </c>
      <c r="G1245" s="8" t="n">
        <v>14286.085836</v>
      </c>
      <c r="H1245" s="8" t="n">
        <v>14011.583788</v>
      </c>
      <c r="I1245" s="8" t="n">
        <v>13874.99326</v>
      </c>
      <c r="J1245" s="8" t="n">
        <v>13972.373324</v>
      </c>
      <c r="K1245" s="8" t="n">
        <v>9251.84</v>
      </c>
      <c r="L1245" s="8" t="n">
        <v>18657.02541436464</v>
      </c>
      <c r="M1245" s="8" t="n">
        <v>855.72</v>
      </c>
      <c r="N1245" s="8" t="n">
        <v>36</v>
      </c>
      <c r="O1245" s="8" t="n">
        <v>552.7</v>
      </c>
      <c r="P1245" s="8" t="n">
        <v>2148.755</v>
      </c>
      <c r="Q1245" s="8" t="n">
        <v>50.68</v>
      </c>
      <c r="R1245" s="8" t="n">
        <v>102.2</v>
      </c>
      <c r="S1245" s="8" t="n">
        <v>62.06</v>
      </c>
      <c r="T1245" s="8" t="n">
        <v>125.1486187845304</v>
      </c>
      <c r="U1245" s="8" t="n">
        <v>20728.62</v>
      </c>
      <c r="V1245" s="8" t="n">
        <v>1453.2564</v>
      </c>
      <c r="W1245" s="8" t="n">
        <v>1610.563259600614</v>
      </c>
      <c r="X1245" s="4">
        <f>J1245+L1245+P1245+R1245</f>
        <v/>
      </c>
    </row>
    <row r="1246">
      <c r="A1246" s="2" t="inlineStr">
        <is>
          <t>North</t>
        </is>
      </c>
      <c r="B1246" s="8" t="inlineStr">
        <is>
          <t>1000610486PC18D</t>
        </is>
      </c>
      <c r="C1246" s="8" t="n">
        <v>71891.70267875001</v>
      </c>
      <c r="D1246" s="8" t="n">
        <v>365</v>
      </c>
      <c r="E1246" s="8" t="n">
        <v>298706.66</v>
      </c>
      <c r="F1246" s="8" t="n">
        <v>40935.68191300001</v>
      </c>
      <c r="G1246" s="8" t="n">
        <v>43583.55330899999</v>
      </c>
      <c r="H1246" s="8" t="n">
        <v>42639.48391800001</v>
      </c>
      <c r="I1246" s="8" t="n">
        <v>42183.73159900001</v>
      </c>
      <c r="J1246" s="8" t="n">
        <v>42604.44867875</v>
      </c>
      <c r="K1246" s="8" t="n">
        <v>27318.59</v>
      </c>
      <c r="L1246" s="8" t="n">
        <v>27318.59</v>
      </c>
      <c r="M1246" s="8" t="n">
        <v>1215.45</v>
      </c>
      <c r="N1246" s="8" t="n">
        <v>36</v>
      </c>
      <c r="O1246" s="8" t="n">
        <v>475.36</v>
      </c>
      <c r="P1246" s="8" t="n">
        <v>1866.464</v>
      </c>
      <c r="Q1246" s="8" t="n">
        <v>102.2</v>
      </c>
      <c r="R1246" s="8" t="n">
        <v>102.2</v>
      </c>
      <c r="S1246" s="8" t="n">
        <v>402.72</v>
      </c>
      <c r="T1246" s="8" t="n">
        <v>402.72</v>
      </c>
      <c r="U1246" s="8" t="n">
        <v>81033.42999999999</v>
      </c>
      <c r="V1246" s="8" t="n">
        <v>11948.2664</v>
      </c>
      <c r="W1246" s="8" t="n">
        <v>9821.80202764977</v>
      </c>
      <c r="X1246" s="4">
        <f>J1246+L1246+P1246+R1246</f>
        <v/>
      </c>
    </row>
    <row r="1247">
      <c r="A1247" s="2" t="inlineStr">
        <is>
          <t>North</t>
        </is>
      </c>
      <c r="B1247" s="8" t="inlineStr">
        <is>
          <t>1001113152UNBF4</t>
        </is>
      </c>
      <c r="C1247" s="8" t="n">
        <v>170085.1453442</v>
      </c>
      <c r="D1247" s="8" t="n">
        <v>365</v>
      </c>
      <c r="E1247" s="8" t="n">
        <v>913592.952</v>
      </c>
      <c r="F1247" s="8" t="n">
        <v>121288.7159808</v>
      </c>
      <c r="G1247" s="8" t="n">
        <v>128738.5333248</v>
      </c>
      <c r="H1247" s="8" t="n">
        <v>125981.9572776</v>
      </c>
      <c r="I1247" s="8" t="n">
        <v>124661.6201664</v>
      </c>
      <c r="J1247" s="8" t="n">
        <v>125989.9403442</v>
      </c>
      <c r="K1247" s="8" t="n">
        <v>41844.25</v>
      </c>
      <c r="L1247" s="8" t="n">
        <v>41844.25</v>
      </c>
      <c r="M1247" s="8" t="n">
        <v>407.96</v>
      </c>
      <c r="N1247" s="8" t="n">
        <v>36</v>
      </c>
      <c r="O1247" s="8" t="n">
        <v>552.7</v>
      </c>
      <c r="P1247" s="8" t="n">
        <v>2148.755</v>
      </c>
      <c r="Q1247" s="8" t="n">
        <v>102.2</v>
      </c>
      <c r="R1247" s="8" t="n">
        <v>102.2</v>
      </c>
      <c r="S1247" s="8" t="n">
        <v>1227.83</v>
      </c>
      <c r="T1247" s="8" t="n">
        <v>1227.83</v>
      </c>
      <c r="U1247" s="8" t="n">
        <v>209925.94</v>
      </c>
      <c r="V1247" s="8" t="n">
        <v>35904.203</v>
      </c>
      <c r="W1247" s="8" t="n">
        <v>30039.08822672811</v>
      </c>
      <c r="X1247" s="4">
        <f>J1247+L1247+P1247+R1247</f>
        <v/>
      </c>
    </row>
    <row r="1248">
      <c r="A1248" s="2" t="inlineStr">
        <is>
          <t>North</t>
        </is>
      </c>
      <c r="B1248" s="8" t="inlineStr">
        <is>
          <t>1001126325LC57C</t>
        </is>
      </c>
      <c r="C1248" s="8" t="n">
        <v>325026.7299189999</v>
      </c>
      <c r="D1248" s="8" t="n">
        <v>365</v>
      </c>
      <c r="E1248" s="8" t="n">
        <v>1476649</v>
      </c>
      <c r="F1248" s="8" t="n">
        <v>205931.1139039999</v>
      </c>
      <c r="G1248" s="8" t="n">
        <v>218919.610636</v>
      </c>
      <c r="H1248" s="8" t="n">
        <v>214220.082624</v>
      </c>
      <c r="I1248" s="8" t="n">
        <v>211863.436112</v>
      </c>
      <c r="J1248" s="8" t="n">
        <v>214062.5449189999</v>
      </c>
      <c r="K1248" s="8" t="n">
        <v>108713.23</v>
      </c>
      <c r="L1248" s="8" t="n">
        <v>108713.23</v>
      </c>
      <c r="M1248" s="8" t="n">
        <v>407.96</v>
      </c>
      <c r="N1248" s="8" t="n">
        <v>36</v>
      </c>
      <c r="O1248" s="8" t="n">
        <v>552.7</v>
      </c>
      <c r="P1248" s="8" t="n">
        <v>2148.755</v>
      </c>
      <c r="Q1248" s="8" t="n">
        <v>102.2</v>
      </c>
      <c r="R1248" s="8" t="n">
        <v>102.2</v>
      </c>
      <c r="S1248" s="8" t="n">
        <v>1990.12</v>
      </c>
      <c r="T1248" s="8" t="n">
        <v>1990.12</v>
      </c>
      <c r="U1248" s="8" t="n">
        <v>400480.69</v>
      </c>
      <c r="V1248" s="8" t="n">
        <v>55295.4178</v>
      </c>
      <c r="W1248" s="8" t="n">
        <v>48542.59061751153</v>
      </c>
      <c r="X1248" s="4">
        <f>J1248+L1248+P1248+R1248</f>
        <v/>
      </c>
    </row>
    <row r="1249">
      <c r="A1249" s="2" t="inlineStr">
        <is>
          <t>North</t>
        </is>
      </c>
      <c r="B1249" s="8" t="inlineStr">
        <is>
          <t>1001151226CK008</t>
        </is>
      </c>
      <c r="C1249" s="8" t="n">
        <v>78888.65231624999</v>
      </c>
      <c r="D1249" s="8" t="n">
        <v>365</v>
      </c>
      <c r="E1249" s="8" t="n">
        <v>445723.5699999999</v>
      </c>
      <c r="F1249" s="8" t="n">
        <v>61347.690048</v>
      </c>
      <c r="G1249" s="8" t="n">
        <v>65058.85042999999</v>
      </c>
      <c r="H1249" s="8" t="n">
        <v>63665.692003</v>
      </c>
      <c r="I1249" s="8" t="n">
        <v>62996.835932</v>
      </c>
      <c r="J1249" s="8" t="n">
        <v>63668.41831624999</v>
      </c>
      <c r="K1249" s="8" t="n">
        <v>13260.25</v>
      </c>
      <c r="L1249" s="8" t="n">
        <v>13260.25</v>
      </c>
      <c r="M1249" s="8" t="n">
        <v>1358.11</v>
      </c>
      <c r="N1249" s="8" t="n">
        <v>36</v>
      </c>
      <c r="O1249" s="8" t="n">
        <v>475.36</v>
      </c>
      <c r="P1249" s="8" t="n">
        <v>1866.464</v>
      </c>
      <c r="Q1249" s="8" t="n">
        <v>93.52000000000001</v>
      </c>
      <c r="R1249" s="8" t="n">
        <v>93.52000000000001</v>
      </c>
      <c r="S1249" s="8" t="n">
        <v>599.6500000000001</v>
      </c>
      <c r="T1249" s="8" t="n">
        <v>599.6500000000001</v>
      </c>
      <c r="U1249" s="8" t="n">
        <v>100892.53</v>
      </c>
      <c r="V1249" s="8" t="n">
        <v>24113.6452</v>
      </c>
      <c r="W1249" s="8" t="n">
        <v>14655.08138556068</v>
      </c>
      <c r="X1249" s="4">
        <f>J1249+L1249+P1249+R1249</f>
        <v/>
      </c>
    </row>
    <row r="1250">
      <c r="A1250" s="2" t="inlineStr">
        <is>
          <t>North</t>
        </is>
      </c>
      <c r="B1250" s="8" t="inlineStr">
        <is>
          <t>1001240514LC3EB</t>
        </is>
      </c>
      <c r="C1250" s="8" t="n">
        <v>255093.6553908</v>
      </c>
      <c r="D1250" s="8" t="n">
        <v>365</v>
      </c>
      <c r="E1250" s="8" t="n">
        <v>1152846.384</v>
      </c>
      <c r="F1250" s="8" t="n">
        <v>168164.6026608</v>
      </c>
      <c r="G1250" s="8" t="n">
        <v>178627.8511968</v>
      </c>
      <c r="H1250" s="8" t="n">
        <v>174755.9056688</v>
      </c>
      <c r="I1250" s="8" t="n">
        <v>172871.5590544</v>
      </c>
      <c r="J1250" s="8" t="n">
        <v>174642.5413908</v>
      </c>
      <c r="K1250" s="8" t="n">
        <v>78482.45000000001</v>
      </c>
      <c r="L1250" s="8" t="n">
        <v>78482.45000000001</v>
      </c>
      <c r="M1250" s="8" t="n">
        <v>373.33</v>
      </c>
      <c r="N1250" s="8" t="n">
        <v>36</v>
      </c>
      <c r="O1250" s="8" t="n">
        <v>475.36</v>
      </c>
      <c r="P1250" s="8" t="n">
        <v>1866.464</v>
      </c>
      <c r="Q1250" s="8" t="n">
        <v>102.2</v>
      </c>
      <c r="R1250" s="8" t="n">
        <v>102.2</v>
      </c>
      <c r="S1250" s="8" t="n">
        <v>1548.18</v>
      </c>
      <c r="T1250" s="8" t="n">
        <v>1548.18</v>
      </c>
      <c r="U1250" s="8" t="n">
        <v>316705.42</v>
      </c>
      <c r="V1250" s="8" t="n">
        <v>43143.256</v>
      </c>
      <c r="W1250" s="8" t="n">
        <v>37931.37188940092</v>
      </c>
      <c r="X1250" s="4">
        <f>J1250+L1250+P1250+R1250</f>
        <v/>
      </c>
    </row>
    <row r="1251">
      <c r="A1251" s="2" t="inlineStr">
        <is>
          <t>North</t>
        </is>
      </c>
      <c r="B1251" s="8" t="inlineStr">
        <is>
          <t>1002147325UN75B</t>
        </is>
      </c>
      <c r="C1251" s="8" t="n">
        <v>40259.79931864719</v>
      </c>
      <c r="D1251" s="8" t="n">
        <v>89</v>
      </c>
      <c r="E1251" s="8" t="n">
        <v>32015.504</v>
      </c>
      <c r="F1251" s="8" t="n">
        <v>18503.1816272</v>
      </c>
      <c r="G1251" s="8" t="n">
        <v>19591.7974784</v>
      </c>
      <c r="H1251" s="8" t="n">
        <v>19170.7567824</v>
      </c>
      <c r="I1251" s="8" t="n">
        <v>18965.0327632</v>
      </c>
      <c r="J1251" s="8" t="n">
        <v>19086.5061164</v>
      </c>
      <c r="K1251" s="8" t="n">
        <v>4613.940000000001</v>
      </c>
      <c r="L1251" s="8" t="n">
        <v>18922.33820224719</v>
      </c>
      <c r="M1251" s="8" t="n">
        <v>420.77</v>
      </c>
      <c r="N1251" s="8" t="n">
        <v>36</v>
      </c>
      <c r="O1251" s="8" t="n">
        <v>552.7</v>
      </c>
      <c r="P1251" s="8" t="n">
        <v>2148.755</v>
      </c>
      <c r="Q1251" s="8" t="n">
        <v>24.92</v>
      </c>
      <c r="R1251" s="8" t="n">
        <v>102.2</v>
      </c>
      <c r="S1251" s="8" t="n">
        <v>37.51</v>
      </c>
      <c r="T1251" s="8" t="n">
        <v>153.8331460674157</v>
      </c>
      <c r="U1251" s="8" t="n">
        <v>11464.74</v>
      </c>
      <c r="V1251" s="8" t="n">
        <v>1360.416</v>
      </c>
      <c r="W1251" s="8" t="n">
        <v>1081.073828571429</v>
      </c>
      <c r="X1251" s="4">
        <f>J1251+L1251+P1251+R1251</f>
        <v/>
      </c>
    </row>
    <row r="1252">
      <c r="A1252" s="2" t="inlineStr">
        <is>
          <t>South</t>
        </is>
      </c>
      <c r="B1252" s="8" t="inlineStr">
        <is>
          <t>0000052034NT6A8</t>
        </is>
      </c>
      <c r="C1252" s="8" t="n">
        <v>39713.23882675</v>
      </c>
      <c r="D1252" s="8" t="n">
        <v>365</v>
      </c>
      <c r="E1252" s="8" t="n">
        <v>108511.31</v>
      </c>
      <c r="F1252" s="8" t="n">
        <v>16089.895825</v>
      </c>
      <c r="G1252" s="8" t="n">
        <v>16973.982214</v>
      </c>
      <c r="H1252" s="8" t="n">
        <v>16594.250758</v>
      </c>
      <c r="I1252" s="8" t="n">
        <v>16475.169794</v>
      </c>
      <c r="J1252" s="8" t="n">
        <v>16630.98482675</v>
      </c>
      <c r="K1252" s="8" t="n">
        <v>21113.59</v>
      </c>
      <c r="L1252" s="8" t="n">
        <v>21113.59</v>
      </c>
      <c r="M1252" s="8" t="n">
        <v>373.33</v>
      </c>
      <c r="N1252" s="8" t="n">
        <v>36</v>
      </c>
      <c r="O1252" s="8" t="n">
        <v>475.36</v>
      </c>
      <c r="P1252" s="8" t="n">
        <v>1866.464</v>
      </c>
      <c r="Q1252" s="8" t="n">
        <v>102.2</v>
      </c>
      <c r="R1252" s="8" t="n">
        <v>102.2</v>
      </c>
      <c r="S1252" s="8" t="n">
        <v>146.61</v>
      </c>
      <c r="T1252" s="8" t="n">
        <v>146.61</v>
      </c>
      <c r="U1252" s="8" t="n">
        <v>41119.63</v>
      </c>
      <c r="V1252" s="8" t="n">
        <v>6619.190000000001</v>
      </c>
      <c r="W1252" s="8" t="n">
        <v>3574.71644546851</v>
      </c>
      <c r="X1252" s="4">
        <f>J1252+L1252+P1252+R1252</f>
        <v/>
      </c>
    </row>
    <row r="1253">
      <c r="A1253" s="2" t="inlineStr">
        <is>
          <t>South</t>
        </is>
      </c>
      <c r="B1253" s="8" t="inlineStr">
        <is>
          <t>0000102308DEAD2</t>
        </is>
      </c>
      <c r="C1253" s="8" t="n">
        <v>96656.57088880001</v>
      </c>
      <c r="D1253" s="8" t="n">
        <v>365</v>
      </c>
      <c r="E1253" s="8" t="n">
        <v>489271.4400000001</v>
      </c>
      <c r="F1253" s="8" t="n">
        <v>61937.73883039999</v>
      </c>
      <c r="G1253" s="8" t="n">
        <v>64788.96647840001</v>
      </c>
      <c r="H1253" s="8" t="n">
        <v>63352.122744</v>
      </c>
      <c r="I1253" s="8" t="n">
        <v>62916.9383184</v>
      </c>
      <c r="J1253" s="8" t="n">
        <v>63689.2858888</v>
      </c>
      <c r="K1253" s="8" t="n">
        <v>30716.33</v>
      </c>
      <c r="L1253" s="8" t="n">
        <v>30716.33</v>
      </c>
      <c r="M1253" s="8" t="n">
        <v>912.88</v>
      </c>
      <c r="N1253" s="8" t="n">
        <v>36</v>
      </c>
      <c r="O1253" s="8" t="n">
        <v>552.7</v>
      </c>
      <c r="P1253" s="8" t="n">
        <v>2148.755</v>
      </c>
      <c r="Q1253" s="8" t="n">
        <v>102.2</v>
      </c>
      <c r="R1253" s="8" t="n">
        <v>102.2</v>
      </c>
      <c r="S1253" s="8" t="n">
        <v>658.15</v>
      </c>
      <c r="T1253" s="8" t="n">
        <v>658.15</v>
      </c>
      <c r="U1253" s="8" t="n">
        <v>106769.41</v>
      </c>
      <c r="V1253" s="8" t="n">
        <v>24333.648</v>
      </c>
      <c r="W1253" s="8" t="n">
        <v>16080.87109923195</v>
      </c>
      <c r="X1253" s="4">
        <f>J1253+L1253+P1253+R1253</f>
        <v/>
      </c>
    </row>
    <row r="1254">
      <c r="A1254" s="2" t="inlineStr">
        <is>
          <t>South</t>
        </is>
      </c>
      <c r="B1254" s="8" t="inlineStr">
        <is>
          <t>0000734355NVC9C</t>
        </is>
      </c>
      <c r="C1254" s="8" t="n">
        <v>58194.47547069998</v>
      </c>
      <c r="D1254" s="8" t="n">
        <v>365</v>
      </c>
      <c r="E1254" s="8" t="n">
        <v>241963.668</v>
      </c>
      <c r="F1254" s="8" t="n">
        <v>29460.6166528</v>
      </c>
      <c r="G1254" s="8" t="n">
        <v>32564.95835559999</v>
      </c>
      <c r="H1254" s="8" t="n">
        <v>31799.69302839999</v>
      </c>
      <c r="I1254" s="8" t="n">
        <v>31457.82464119999</v>
      </c>
      <c r="J1254" s="8" t="n">
        <v>31538.54047069999</v>
      </c>
      <c r="K1254" s="8" t="n">
        <v>24375.78</v>
      </c>
      <c r="L1254" s="8" t="n">
        <v>24375.78</v>
      </c>
      <c r="M1254" s="8" t="n">
        <v>171.78</v>
      </c>
      <c r="N1254" s="8" t="n">
        <v>36</v>
      </c>
      <c r="O1254" s="8" t="n">
        <v>552.7</v>
      </c>
      <c r="P1254" s="8" t="n">
        <v>2148.755</v>
      </c>
      <c r="Q1254" s="8" t="n">
        <v>131.4</v>
      </c>
      <c r="R1254" s="8" t="n">
        <v>131.4</v>
      </c>
      <c r="S1254" s="8" t="n">
        <v>338.33</v>
      </c>
      <c r="T1254" s="8" t="n">
        <v>338.33</v>
      </c>
      <c r="U1254" s="8" t="n">
        <v>65111.61000000001</v>
      </c>
      <c r="V1254" s="8" t="n">
        <v>10201.9512</v>
      </c>
      <c r="W1254" s="8" t="n">
        <v>7905.54978095238</v>
      </c>
      <c r="X1254" s="4">
        <f>J1254+L1254+P1254+R1254</f>
        <v/>
      </c>
    </row>
    <row r="1255">
      <c r="A1255" s="2" t="inlineStr">
        <is>
          <t>South</t>
        </is>
      </c>
      <c r="B1255" s="8" t="inlineStr">
        <is>
          <t>0000931749NV418</t>
        </is>
      </c>
      <c r="C1255" s="8" t="n">
        <v>140150.85537725</v>
      </c>
      <c r="D1255" s="8" t="n">
        <v>365</v>
      </c>
      <c r="E1255" s="8" t="n">
        <v>994727.3999999999</v>
      </c>
      <c r="F1255" s="8" t="n">
        <v>109787.586736</v>
      </c>
      <c r="G1255" s="8" t="n">
        <v>119904.709212</v>
      </c>
      <c r="H1255" s="8" t="n">
        <v>116938.236035</v>
      </c>
      <c r="I1255" s="8" t="n">
        <v>115752.934886</v>
      </c>
      <c r="J1255" s="8" t="n">
        <v>116491.12137725</v>
      </c>
      <c r="K1255" s="8" t="n">
        <v>21691.07</v>
      </c>
      <c r="L1255" s="8" t="n">
        <v>21691.07</v>
      </c>
      <c r="M1255" s="8" t="n">
        <v>373.33</v>
      </c>
      <c r="N1255" s="8" t="n">
        <v>36</v>
      </c>
      <c r="O1255" s="8" t="n">
        <v>475.36</v>
      </c>
      <c r="P1255" s="8" t="n">
        <v>1866.464</v>
      </c>
      <c r="Q1255" s="8" t="n">
        <v>102.2</v>
      </c>
      <c r="R1255" s="8" t="n">
        <v>102.2</v>
      </c>
      <c r="S1255" s="8" t="n">
        <v>1336.33</v>
      </c>
      <c r="T1255" s="8" t="n">
        <v>1336.33</v>
      </c>
      <c r="U1255" s="8" t="n">
        <v>156339.3</v>
      </c>
      <c r="V1255" s="8" t="n">
        <v>38805.4522</v>
      </c>
      <c r="W1255" s="8" t="n">
        <v>32704.29727880184</v>
      </c>
      <c r="X1255" s="4">
        <f>J1255+L1255+P1255+R1255</f>
        <v/>
      </c>
    </row>
    <row r="1256">
      <c r="A1256" s="2" t="inlineStr">
        <is>
          <t>South</t>
        </is>
      </c>
      <c r="B1256" s="8" t="inlineStr">
        <is>
          <t>0006863450RN0A4</t>
        </is>
      </c>
      <c r="C1256" s="8" t="n">
        <v>121996.0870788</v>
      </c>
      <c r="D1256" s="8" t="n">
        <v>365</v>
      </c>
      <c r="E1256" s="8" t="n">
        <v>650828.848</v>
      </c>
      <c r="F1256" s="8" t="n">
        <v>87281.137048</v>
      </c>
      <c r="G1256" s="8" t="n">
        <v>90881.449808</v>
      </c>
      <c r="H1256" s="8" t="n">
        <v>88841.70183359999</v>
      </c>
      <c r="I1256" s="8" t="n">
        <v>88240.89577280001</v>
      </c>
      <c r="J1256" s="8" t="n">
        <v>89397.0420788</v>
      </c>
      <c r="K1256" s="8" t="n">
        <v>30348.09</v>
      </c>
      <c r="L1256" s="8" t="n">
        <v>30348.09</v>
      </c>
      <c r="M1256" s="8" t="n">
        <v>407.96</v>
      </c>
      <c r="N1256" s="8" t="n">
        <v>36</v>
      </c>
      <c r="O1256" s="8" t="n">
        <v>552.7</v>
      </c>
      <c r="P1256" s="8" t="n">
        <v>2148.755</v>
      </c>
      <c r="Q1256" s="8" t="n">
        <v>102.2</v>
      </c>
      <c r="R1256" s="8" t="n">
        <v>102.2</v>
      </c>
      <c r="S1256" s="8" t="n">
        <v>873.3199999999999</v>
      </c>
      <c r="T1256" s="8" t="n">
        <v>873.3199999999999</v>
      </c>
      <c r="U1256" s="8" t="n">
        <v>136836.13</v>
      </c>
      <c r="V1256" s="8" t="n">
        <v>31527.8866</v>
      </c>
      <c r="W1256" s="8" t="n">
        <v>21411.73223102919</v>
      </c>
      <c r="X1256" s="4">
        <f>J1256+L1256+P1256+R1256</f>
        <v/>
      </c>
    </row>
    <row r="1257">
      <c r="A1257" s="2" t="inlineStr">
        <is>
          <t>South</t>
        </is>
      </c>
      <c r="B1257" s="8" t="inlineStr">
        <is>
          <t>0007202058RN859</t>
        </is>
      </c>
      <c r="C1257" s="8" t="n">
        <v>143723.804484</v>
      </c>
      <c r="D1257" s="8" t="n">
        <v>365</v>
      </c>
      <c r="E1257" s="8" t="n">
        <v>872761.4399999999</v>
      </c>
      <c r="F1257" s="8" t="n">
        <v>115829.925968</v>
      </c>
      <c r="G1257" s="8" t="n">
        <v>121039.44992</v>
      </c>
      <c r="H1257" s="8" t="n">
        <v>118427.557648</v>
      </c>
      <c r="I1257" s="8" t="n">
        <v>117569.403216</v>
      </c>
      <c r="J1257" s="8" t="n">
        <v>119002.069484</v>
      </c>
      <c r="K1257" s="8" t="n">
        <v>22470.78</v>
      </c>
      <c r="L1257" s="8" t="n">
        <v>22470.78</v>
      </c>
      <c r="M1257" s="8" t="n">
        <v>1421.4</v>
      </c>
      <c r="N1257" s="8" t="n">
        <v>36</v>
      </c>
      <c r="O1257" s="8" t="n">
        <v>552.7</v>
      </c>
      <c r="P1257" s="8" t="n">
        <v>2148.755</v>
      </c>
      <c r="Q1257" s="8" t="n">
        <v>102.2</v>
      </c>
      <c r="R1257" s="8" t="n">
        <v>102.2</v>
      </c>
      <c r="S1257" s="8" t="n">
        <v>1167.4</v>
      </c>
      <c r="T1257" s="8" t="n">
        <v>1167.4</v>
      </c>
      <c r="U1257" s="8" t="n">
        <v>160515.46</v>
      </c>
      <c r="V1257" s="8" t="n">
        <v>42485.98</v>
      </c>
      <c r="W1257" s="8" t="n">
        <v>28807.84004915514</v>
      </c>
      <c r="X1257" s="4">
        <f>J1257+L1257+P1257+R1257</f>
        <v/>
      </c>
    </row>
    <row r="1258">
      <c r="A1258" s="5" t="n"/>
      <c r="B1258" s="9" t="n"/>
      <c r="C1258" s="9" t="n">
        <v>2446329.617348412</v>
      </c>
      <c r="D1258" s="9" t="n"/>
      <c r="E1258" s="9" t="n">
        <v>11443203.458</v>
      </c>
      <c r="F1258" s="9" t="n"/>
      <c r="G1258" s="9" t="n"/>
      <c r="H1258" s="9" t="n"/>
      <c r="I1258" s="9" t="n"/>
      <c r="J1258" s="9" t="n"/>
      <c r="K1258" s="9" t="n"/>
      <c r="L1258" s="9" t="n"/>
      <c r="M1258" s="9" t="n"/>
      <c r="N1258" s="9" t="n"/>
      <c r="O1258" s="9" t="n"/>
      <c r="P1258" s="9" t="n"/>
      <c r="Q1258" s="9" t="n"/>
      <c r="R1258" s="9" t="n"/>
      <c r="S1258" s="9" t="n"/>
      <c r="T1258" s="9" t="n"/>
      <c r="U1258" s="9" t="n"/>
      <c r="V1258" s="9" t="n"/>
      <c r="W1258" s="9" t="n"/>
      <c r="X1258" s="7">
        <f>J1258+L1258+P1258+R1258</f>
        <v/>
      </c>
    </row>
    <row r="1261" ht="30.75" customHeight="1">
      <c r="A1261" s="38" t="inlineStr">
        <is>
          <t>NZ NTOU Electricity Analysis raw source schedule</t>
        </is>
      </c>
      <c r="B1261" s="38" t="n"/>
      <c r="C1261" s="38" t="n"/>
      <c r="D1261" s="38" t="n"/>
      <c r="E1261" s="38" t="n"/>
      <c r="F1261" s="38" t="n"/>
      <c r="G1261" s="38" t="n"/>
      <c r="H1261" s="38" t="n"/>
      <c r="I1261" s="38" t="n"/>
    </row>
    <row r="1262" ht="65.25" customHeight="1">
      <c r="A1262" s="39" t="inlineStr">
        <is>
          <t>ICP</t>
        </is>
      </c>
      <c r="B1262" s="40" t="inlineStr">
        <is>
          <t>Retailer</t>
        </is>
      </c>
      <c r="C1262" s="40" t="inlineStr">
        <is>
          <t>Term</t>
        </is>
      </c>
      <c r="D1262" s="40" t="inlineStr">
        <is>
          <t>Annual Consumption (kWh)</t>
        </is>
      </c>
      <c r="E1262" s="40" t="inlineStr">
        <is>
          <t>All-in Usage Rate (c/kWh)</t>
        </is>
      </c>
      <c r="F1262" s="40" t="inlineStr">
        <is>
          <t>Daily Charge (c/day)</t>
        </is>
      </c>
      <c r="G1262" s="40" t="inlineStr">
        <is>
          <t>Brokerage ($/yr)</t>
        </is>
      </c>
      <c r="H1262" s="40" t="inlineStr">
        <is>
          <t>Source Total (audit)</t>
        </is>
      </c>
      <c r="I1262" s="41" t="inlineStr">
        <is>
          <t>Formula Annual Cost (all-in)</t>
        </is>
      </c>
    </row>
    <row r="1263">
      <c r="A1263" s="2" t="inlineStr">
        <is>
          <t>0030306524PCB33</t>
        </is>
      </c>
      <c r="B1263" s="8" t="inlineStr">
        <is>
          <t>Ecotricity</t>
        </is>
      </c>
      <c r="C1263" s="8" t="inlineStr">
        <is>
          <t>36 Month</t>
        </is>
      </c>
      <c r="D1263" s="8" t="n">
        <v>106100.2364066194</v>
      </c>
      <c r="E1263" s="8" t="n">
        <v>29.757872</v>
      </c>
      <c r="F1263" s="8" t="n">
        <v>304.57</v>
      </c>
      <c r="G1263" s="8" t="n">
        <v>185</v>
      </c>
      <c r="H1263" s="8" t="n">
        <v>32869.85304157919</v>
      </c>
      <c r="I1263" s="4">
        <f>D1263*E1263/100+F1263*365/100+G1263</f>
        <v/>
      </c>
    </row>
    <row r="1264">
      <c r="A1264" s="2" t="inlineStr">
        <is>
          <t>0000064350CP5A6</t>
        </is>
      </c>
      <c r="B1264" s="8" t="inlineStr">
        <is>
          <t>Ecotricity</t>
        </is>
      </c>
      <c r="C1264" s="8" t="inlineStr">
        <is>
          <t>36 Month</t>
        </is>
      </c>
      <c r="D1264" s="8" t="n">
        <v>37534.01265822785</v>
      </c>
      <c r="E1264" s="8" t="n">
        <v>29.757872</v>
      </c>
      <c r="F1264" s="8" t="n">
        <v>221</v>
      </c>
      <c r="G1264" s="8" t="n">
        <v>185</v>
      </c>
      <c r="H1264" s="8" t="n">
        <v>12160.97344329924</v>
      </c>
      <c r="I1264" s="4">
        <f>D1264*E1264/100+F1264*365/100+G1264</f>
        <v/>
      </c>
    </row>
    <row r="1265">
      <c r="A1265" s="2" t="inlineStr">
        <is>
          <t>0030530098PCA11</t>
        </is>
      </c>
      <c r="B1265" s="8" t="inlineStr">
        <is>
          <t>Ecotricity</t>
        </is>
      </c>
      <c r="C1265" s="8" t="inlineStr">
        <is>
          <t>36 Month</t>
        </is>
      </c>
      <c r="D1265" s="8" t="n">
        <v>44466.14657210401</v>
      </c>
      <c r="E1265" s="8" t="n">
        <v>29.757872</v>
      </c>
      <c r="F1265" s="8" t="n">
        <v>221</v>
      </c>
      <c r="G1265" s="8" t="n">
        <v>185</v>
      </c>
      <c r="H1265" s="8" t="n">
        <v>14223.8289802591</v>
      </c>
      <c r="I1265" s="4">
        <f>D1265*E1265/100+F1265*365/100+G1265</f>
        <v/>
      </c>
    </row>
    <row r="1266">
      <c r="A1266" s="2" t="inlineStr">
        <is>
          <t>0035529024PCBAE</t>
        </is>
      </c>
      <c r="B1266" s="8" t="inlineStr">
        <is>
          <t>Ecotricity</t>
        </is>
      </c>
      <c r="C1266" s="8" t="inlineStr">
        <is>
          <t>36 Month</t>
        </is>
      </c>
      <c r="D1266" s="8" t="n">
        <v>29600.37825059102</v>
      </c>
      <c r="E1266" s="8" t="n">
        <v>32.676128</v>
      </c>
      <c r="F1266" s="8" t="n">
        <v>248</v>
      </c>
      <c r="G1266" s="8" t="n">
        <v>185</v>
      </c>
      <c r="H1266" s="8" t="n">
        <v>10762.45748564728</v>
      </c>
      <c r="I1266" s="4">
        <f>D1266*E1266/100+F1266*365/100+G1266</f>
        <v/>
      </c>
    </row>
    <row r="1267">
      <c r="A1267" s="2" t="inlineStr">
        <is>
          <t>0900090531PCF4E</t>
        </is>
      </c>
      <c r="B1267" s="8" t="inlineStr">
        <is>
          <t>Ecotricity</t>
        </is>
      </c>
      <c r="C1267" s="8" t="inlineStr">
        <is>
          <t>36 Month</t>
        </is>
      </c>
      <c r="D1267" s="8" t="n">
        <v>114160.4373522459</v>
      </c>
      <c r="E1267" s="8" t="n">
        <v>29.248896</v>
      </c>
      <c r="F1267" s="8" t="n">
        <v>1054.57</v>
      </c>
      <c r="G1267" s="8" t="n">
        <v>185</v>
      </c>
      <c r="H1267" s="8" t="n">
        <v>37424.84809430355</v>
      </c>
      <c r="I1267" s="4">
        <f>D1267*E1267/100+F1267*365/100+G1267</f>
        <v/>
      </c>
    </row>
    <row r="1268">
      <c r="A1268" s="2" t="inlineStr">
        <is>
          <t>0035880213PC771</t>
        </is>
      </c>
      <c r="B1268" s="8" t="inlineStr">
        <is>
          <t>Ecotricity</t>
        </is>
      </c>
      <c r="C1268" s="8" t="inlineStr">
        <is>
          <t>36 Month</t>
        </is>
      </c>
      <c r="D1268" s="8" t="n">
        <v>2290.30534351145</v>
      </c>
      <c r="E1268" s="8" t="n">
        <v>32.676128</v>
      </c>
      <c r="F1268" s="8" t="n">
        <v>248</v>
      </c>
      <c r="G1268" s="8" t="n">
        <v>185</v>
      </c>
      <c r="H1268" s="8" t="n">
        <v>1838.583105636641</v>
      </c>
      <c r="I1268" s="4">
        <f>D1268*E1268/100+F1268*365/100+G1268</f>
        <v/>
      </c>
    </row>
    <row r="1269">
      <c r="A1269" s="2" t="inlineStr">
        <is>
          <t>0000029746CH3C0</t>
        </is>
      </c>
      <c r="B1269" s="8" t="inlineStr">
        <is>
          <t>Ecotricity</t>
        </is>
      </c>
      <c r="C1269" s="8" t="inlineStr">
        <is>
          <t>36 Month</t>
        </is>
      </c>
      <c r="D1269" s="8" t="n">
        <v>15205.74468085106</v>
      </c>
      <c r="E1269" s="8" t="n">
        <v>30.866651</v>
      </c>
      <c r="F1269" s="8" t="n">
        <v>476.57</v>
      </c>
      <c r="G1269" s="8" t="n">
        <v>185</v>
      </c>
      <c r="H1269" s="8" t="n">
        <v>6617.984642589361</v>
      </c>
      <c r="I1269" s="4">
        <f>D1269*E1269/100+F1269*365/100+G1269</f>
        <v/>
      </c>
    </row>
    <row r="1270">
      <c r="A1270" s="2" t="inlineStr">
        <is>
          <t>0000055906UN234</t>
        </is>
      </c>
      <c r="B1270" s="8" t="inlineStr">
        <is>
          <t>Ecotricity</t>
        </is>
      </c>
      <c r="C1270" s="8" t="inlineStr">
        <is>
          <t>36 Month</t>
        </is>
      </c>
      <c r="D1270" s="8" t="n">
        <v>22215.81560283688</v>
      </c>
      <c r="E1270" s="8" t="n">
        <v>29.386816</v>
      </c>
      <c r="F1270" s="8" t="n">
        <v>252</v>
      </c>
      <c r="G1270" s="8" t="n">
        <v>185</v>
      </c>
      <c r="H1270" s="8" t="n">
        <v>7633.320854104964</v>
      </c>
      <c r="I1270" s="4">
        <f>D1270*E1270/100+F1270*365/100+G1270</f>
        <v/>
      </c>
    </row>
    <row r="1271">
      <c r="A1271" s="2" t="inlineStr">
        <is>
          <t>0007821200WMAC9</t>
        </is>
      </c>
      <c r="B1271" s="8" t="inlineStr">
        <is>
          <t>Ecotricity</t>
        </is>
      </c>
      <c r="C1271" s="8" t="inlineStr">
        <is>
          <t>36 Month</t>
        </is>
      </c>
      <c r="D1271" s="8" t="n">
        <v>5713.514851485149</v>
      </c>
      <c r="E1271" s="8" t="n">
        <v>27.519335</v>
      </c>
      <c r="F1271" s="8" t="n">
        <v>423</v>
      </c>
      <c r="G1271" s="8" t="n">
        <v>185</v>
      </c>
      <c r="H1271" s="8" t="n">
        <v>3301.27129225495</v>
      </c>
      <c r="I1271" s="4">
        <f>D1271*E1271/100+F1271*365/100+G1271</f>
        <v/>
      </c>
    </row>
    <row r="1272">
      <c r="A1272" s="2" t="inlineStr">
        <is>
          <t>0000212636WE1AF</t>
        </is>
      </c>
      <c r="B1272" s="8" t="inlineStr">
        <is>
          <t>Ecotricity</t>
        </is>
      </c>
      <c r="C1272" s="8" t="inlineStr">
        <is>
          <t>36 Month</t>
        </is>
      </c>
      <c r="D1272" s="8" t="n">
        <v>47211.84397163121</v>
      </c>
      <c r="E1272" s="8" t="n">
        <v>27.566927</v>
      </c>
      <c r="F1272" s="8" t="n">
        <v>506.57</v>
      </c>
      <c r="G1272" s="8" t="n">
        <v>185</v>
      </c>
      <c r="H1272" s="8" t="n">
        <v>15048.83506301348</v>
      </c>
      <c r="I1272" s="4">
        <f>D1272*E1272/100+F1272*365/100+G1272</f>
        <v/>
      </c>
    </row>
    <row r="1273">
      <c r="A1273" s="2" t="inlineStr">
        <is>
          <t>0000055490UN954</t>
        </is>
      </c>
      <c r="B1273" s="8" t="inlineStr">
        <is>
          <t>Ecotricity</t>
        </is>
      </c>
      <c r="C1273" s="8" t="inlineStr">
        <is>
          <t>36 Month</t>
        </is>
      </c>
      <c r="D1273" s="8" t="n">
        <v>971.6075650118204</v>
      </c>
      <c r="E1273" s="8" t="n">
        <v>29.386816</v>
      </c>
      <c r="F1273" s="8" t="n">
        <v>252</v>
      </c>
      <c r="G1273" s="8" t="n">
        <v>185</v>
      </c>
      <c r="H1273" s="8" t="n">
        <v>1390.324527372104</v>
      </c>
      <c r="I1273" s="4">
        <f>D1273*E1273/100+F1273*365/100+G1273</f>
        <v/>
      </c>
    </row>
    <row r="1274">
      <c r="A1274" s="2" t="inlineStr">
        <is>
          <t>0075241357WEF68</t>
        </is>
      </c>
      <c r="B1274" s="8" t="inlineStr">
        <is>
          <t>Ecotricity</t>
        </is>
      </c>
      <c r="C1274" s="8" t="inlineStr">
        <is>
          <t>36 Month</t>
        </is>
      </c>
      <c r="D1274" s="8" t="n">
        <v>64957.91962174941</v>
      </c>
      <c r="E1274" s="8" t="n">
        <v>27.566927</v>
      </c>
      <c r="F1274" s="8" t="n">
        <v>423</v>
      </c>
      <c r="G1274" s="8" t="n">
        <v>185</v>
      </c>
      <c r="H1274" s="8" t="n">
        <v>19635.85228284634</v>
      </c>
      <c r="I1274" s="4">
        <f>D1274*E1274/100+F1274*365/100+G1274</f>
        <v/>
      </c>
    </row>
    <row r="1275">
      <c r="A1275" s="2" t="inlineStr">
        <is>
          <t>0000055908UN1AF</t>
        </is>
      </c>
      <c r="B1275" s="8" t="inlineStr">
        <is>
          <t>Ecotricity</t>
        </is>
      </c>
      <c r="C1275" s="8" t="inlineStr">
        <is>
          <t>36 Month</t>
        </is>
      </c>
      <c r="D1275" s="8" t="n">
        <v>1970.827423167849</v>
      </c>
      <c r="E1275" s="8" t="n">
        <v>29.386816</v>
      </c>
      <c r="F1275" s="8" t="n">
        <v>252</v>
      </c>
      <c r="G1275" s="8" t="n">
        <v>185</v>
      </c>
      <c r="H1275" s="8" t="n">
        <v>1683.963428523877</v>
      </c>
      <c r="I1275" s="4">
        <f>D1275*E1275/100+F1275*365/100+G1275</f>
        <v/>
      </c>
    </row>
    <row r="1276">
      <c r="A1276" s="2" t="inlineStr">
        <is>
          <t>1000524019PC6AD</t>
        </is>
      </c>
      <c r="B1276" s="8" t="inlineStr">
        <is>
          <t>Ecotricity</t>
        </is>
      </c>
      <c r="C1276" s="8" t="inlineStr">
        <is>
          <t>36 Month</t>
        </is>
      </c>
      <c r="D1276" s="8" t="n">
        <v>37827.97872340426</v>
      </c>
      <c r="E1276" s="8" t="n">
        <v>29.386816</v>
      </c>
      <c r="F1276" s="8" t="n">
        <v>252</v>
      </c>
      <c r="G1276" s="8" t="n">
        <v>185</v>
      </c>
      <c r="H1276" s="8" t="n">
        <v>12221.23850396596</v>
      </c>
      <c r="I1276" s="4">
        <f>D1276*E1276/100+F1276*365/100+G1276</f>
        <v/>
      </c>
    </row>
    <row r="1277">
      <c r="A1277" s="2" t="inlineStr">
        <is>
          <t>0000058140WE772</t>
        </is>
      </c>
      <c r="B1277" s="8" t="inlineStr">
        <is>
          <t>Ecotricity</t>
        </is>
      </c>
      <c r="C1277" s="8" t="inlineStr">
        <is>
          <t>36 Month</t>
        </is>
      </c>
      <c r="D1277" s="8" t="n">
        <v>8418.32268370607</v>
      </c>
      <c r="E1277" s="8" t="n">
        <v>27.566927</v>
      </c>
      <c r="F1277" s="8" t="n">
        <v>423</v>
      </c>
      <c r="G1277" s="8" t="n">
        <v>185</v>
      </c>
      <c r="H1277" s="8" t="n">
        <v>4049.622868841693</v>
      </c>
      <c r="I1277" s="4">
        <f>D1277*E1277/100+F1277*365/100+G1277</f>
        <v/>
      </c>
    </row>
    <row r="1278">
      <c r="A1278" s="2" t="inlineStr">
        <is>
          <t>0000044234WE347</t>
        </is>
      </c>
      <c r="B1278" s="8" t="inlineStr">
        <is>
          <t>Ecotricity</t>
        </is>
      </c>
      <c r="C1278" s="8" t="inlineStr">
        <is>
          <t>36 Month</t>
        </is>
      </c>
      <c r="D1278" s="8" t="n">
        <v>42182.11627906976</v>
      </c>
      <c r="E1278" s="8" t="n">
        <v>27.566927</v>
      </c>
      <c r="F1278" s="8" t="n">
        <v>423</v>
      </c>
      <c r="G1278" s="8" t="n">
        <v>185</v>
      </c>
      <c r="H1278" s="8" t="n">
        <v>13357.26320170628</v>
      </c>
      <c r="I1278" s="4">
        <f>D1278*E1278/100+F1278*365/100+G1278</f>
        <v/>
      </c>
    </row>
    <row r="1279">
      <c r="A1279" s="2" t="inlineStr">
        <is>
          <t>0007109860WM4E3</t>
        </is>
      </c>
      <c r="B1279" s="8" t="inlineStr">
        <is>
          <t>Ecotricity</t>
        </is>
      </c>
      <c r="C1279" s="8" t="inlineStr">
        <is>
          <t>36 Month</t>
        </is>
      </c>
      <c r="D1279" s="8" t="n">
        <v>56751.02836879432</v>
      </c>
      <c r="E1279" s="8" t="n">
        <v>27.19063</v>
      </c>
      <c r="F1279" s="8" t="n">
        <v>783</v>
      </c>
      <c r="G1279" s="8" t="n">
        <v>185</v>
      </c>
      <c r="H1279" s="8" t="n">
        <v>18473.9121449539</v>
      </c>
      <c r="I1279" s="4">
        <f>D1279*E1279/100+F1279*365/100+G1279</f>
        <v/>
      </c>
    </row>
    <row r="1280">
      <c r="A1280" s="2" t="inlineStr">
        <is>
          <t>0000048678UN93C</t>
        </is>
      </c>
      <c r="B1280" s="8" t="inlineStr">
        <is>
          <t>Ecotricity</t>
        </is>
      </c>
      <c r="C1280" s="8" t="inlineStr">
        <is>
          <t>36 Month</t>
        </is>
      </c>
      <c r="D1280" s="8" t="n">
        <v>17632.51879699248</v>
      </c>
      <c r="E1280" s="8" t="n">
        <v>29.386816</v>
      </c>
      <c r="F1280" s="8" t="n">
        <v>252</v>
      </c>
      <c r="G1280" s="8" t="n">
        <v>185</v>
      </c>
      <c r="H1280" s="8" t="n">
        <v>6286.435855037594</v>
      </c>
      <c r="I1280" s="4">
        <f>D1280*E1280/100+F1280*365/100+G1280</f>
        <v/>
      </c>
    </row>
    <row r="1281">
      <c r="A1281" s="2" t="inlineStr">
        <is>
          <t>0071098630WMAC0</t>
        </is>
      </c>
      <c r="B1281" s="8" t="inlineStr">
        <is>
          <t>Ecotricity</t>
        </is>
      </c>
      <c r="C1281" s="8" t="inlineStr">
        <is>
          <t>36 Month</t>
        </is>
      </c>
      <c r="D1281" s="8" t="n">
        <v>96547.24586288417</v>
      </c>
      <c r="E1281" s="8" t="n">
        <v>27.216145</v>
      </c>
      <c r="F1281" s="8" t="n">
        <v>2038.36</v>
      </c>
      <c r="G1281" s="8" t="n">
        <v>185</v>
      </c>
      <c r="H1281" s="8" t="n">
        <v>33901.45242754905</v>
      </c>
      <c r="I1281" s="4">
        <f>D1281*E1281/100+F1281*365/100+G1281</f>
        <v/>
      </c>
    </row>
    <row r="1282">
      <c r="A1282" s="2" t="inlineStr">
        <is>
          <t>0000025040UN2AE</t>
        </is>
      </c>
      <c r="B1282" s="8" t="inlineStr">
        <is>
          <t>Ecotricity</t>
        </is>
      </c>
      <c r="C1282" s="8" t="inlineStr">
        <is>
          <t>36 Month</t>
        </is>
      </c>
      <c r="D1282" s="8" t="n">
        <v>14808.81796690307</v>
      </c>
      <c r="E1282" s="8" t="n">
        <v>29.154368</v>
      </c>
      <c r="F1282" s="8" t="n">
        <v>265</v>
      </c>
      <c r="G1282" s="8" t="n">
        <v>185</v>
      </c>
      <c r="H1282" s="8" t="n">
        <v>5469.667286521039</v>
      </c>
      <c r="I1282" s="4">
        <f>D1282*E1282/100+F1282*365/100+G1282</f>
        <v/>
      </c>
    </row>
    <row r="1283">
      <c r="A1283" s="2" t="inlineStr">
        <is>
          <t>0007731600WM053</t>
        </is>
      </c>
      <c r="B1283" s="8" t="inlineStr">
        <is>
          <t>Ecotricity</t>
        </is>
      </c>
      <c r="C1283" s="8" t="inlineStr">
        <is>
          <t>36 Month</t>
        </is>
      </c>
      <c r="D1283" s="8" t="n">
        <v>3121.052009456265</v>
      </c>
      <c r="E1283" s="8" t="n">
        <v>27.923895</v>
      </c>
      <c r="F1283" s="8" t="n">
        <v>573</v>
      </c>
      <c r="G1283" s="8" t="n">
        <v>185</v>
      </c>
      <c r="H1283" s="8" t="n">
        <v>3147.969286015958</v>
      </c>
      <c r="I1283" s="4">
        <f>D1283*E1283/100+F1283*365/100+G1283</f>
        <v/>
      </c>
    </row>
    <row r="1284">
      <c r="A1284" s="2" t="inlineStr">
        <is>
          <t>0002105740WM96B</t>
        </is>
      </c>
      <c r="B1284" s="8" t="inlineStr">
        <is>
          <t>Ecotricity</t>
        </is>
      </c>
      <c r="C1284" s="8" t="inlineStr">
        <is>
          <t>36 Month</t>
        </is>
      </c>
      <c r="D1284" s="8" t="n">
        <v>4335.645569620253</v>
      </c>
      <c r="E1284" s="8" t="n">
        <v>28.480395</v>
      </c>
      <c r="F1284" s="8" t="n">
        <v>408</v>
      </c>
      <c r="G1284" s="8" t="n">
        <v>185</v>
      </c>
      <c r="H1284" s="8" t="n">
        <v>2909.008984027848</v>
      </c>
      <c r="I1284" s="4">
        <f>D1284*E1284/100+F1284*365/100+G1284</f>
        <v/>
      </c>
    </row>
    <row r="1285">
      <c r="A1285" s="2" t="inlineStr">
        <is>
          <t>0000024744TR7DE</t>
        </is>
      </c>
      <c r="B1285" s="8" t="inlineStr">
        <is>
          <t>Ecotricity</t>
        </is>
      </c>
      <c r="C1285" s="8" t="inlineStr">
        <is>
          <t>36 Month</t>
        </is>
      </c>
      <c r="D1285" s="8" t="n">
        <v>105784.4208037825</v>
      </c>
      <c r="E1285" s="8" t="n">
        <v>23.15</v>
      </c>
      <c r="F1285" s="8" t="n">
        <v>611.14</v>
      </c>
      <c r="G1285" s="8" t="n">
        <v>185</v>
      </c>
      <c r="H1285" s="8" t="n">
        <v>26904.75441607565</v>
      </c>
      <c r="I1285" s="4">
        <f>D1285*E1285/100+F1285*365/100+G1285</f>
        <v/>
      </c>
    </row>
    <row r="1286">
      <c r="A1286" s="2" t="inlineStr">
        <is>
          <t>1001151491CK976</t>
        </is>
      </c>
      <c r="B1286" s="8" t="inlineStr">
        <is>
          <t>Ecotricity</t>
        </is>
      </c>
      <c r="C1286" s="8" t="inlineStr">
        <is>
          <t>36 Month</t>
        </is>
      </c>
      <c r="D1286" s="8" t="n">
        <v>121515.6619385343</v>
      </c>
      <c r="E1286" s="8" t="n">
        <v>23.77</v>
      </c>
      <c r="F1286" s="8" t="n">
        <v>1705.06</v>
      </c>
      <c r="G1286" s="8" t="n">
        <v>185</v>
      </c>
      <c r="H1286" s="8" t="n">
        <v>35292.7418427896</v>
      </c>
      <c r="I1286" s="4">
        <f>D1286*E1286/100+F1286*365/100+G1286</f>
        <v/>
      </c>
    </row>
    <row r="1287">
      <c r="A1287" s="2" t="inlineStr">
        <is>
          <t>0000172288CKA57</t>
        </is>
      </c>
      <c r="B1287" s="8" t="inlineStr">
        <is>
          <t>Ecotricity</t>
        </is>
      </c>
      <c r="C1287" s="8" t="inlineStr">
        <is>
          <t>36 Month</t>
        </is>
      </c>
      <c r="D1287" s="8" t="n">
        <v>1009.574468085106</v>
      </c>
      <c r="E1287" s="8" t="n">
        <v>25.6732</v>
      </c>
      <c r="F1287" s="8" t="n">
        <v>232.51</v>
      </c>
      <c r="G1287" s="8" t="n">
        <v>185</v>
      </c>
      <c r="H1287" s="8" t="n">
        <v>1292.851572340425</v>
      </c>
      <c r="I1287" s="4">
        <f>D1287*E1287/100+F1287*365/100+G1287</f>
        <v/>
      </c>
    </row>
    <row r="1288">
      <c r="A1288" s="2" t="inlineStr">
        <is>
          <t>0000058309TR718</t>
        </is>
      </c>
      <c r="B1288" s="8" t="inlineStr">
        <is>
          <t>Ecotricity</t>
        </is>
      </c>
      <c r="C1288" s="8" t="inlineStr">
        <is>
          <t>36 Month</t>
        </is>
      </c>
      <c r="D1288" s="8" t="n">
        <v>17950.49234135667</v>
      </c>
      <c r="E1288" s="8" t="n">
        <v>25.6732</v>
      </c>
      <c r="F1288" s="8" t="n">
        <v>232.51</v>
      </c>
      <c r="G1288" s="8" t="n">
        <v>185</v>
      </c>
      <c r="H1288" s="8" t="n">
        <v>5642.127299781181</v>
      </c>
      <c r="I1288" s="4">
        <f>D1288*E1288/100+F1288*365/100+G1288</f>
        <v/>
      </c>
    </row>
    <row r="1289">
      <c r="A1289" s="2" t="inlineStr">
        <is>
          <t>0000028649TRA01</t>
        </is>
      </c>
      <c r="B1289" s="8" t="inlineStr">
        <is>
          <t>Ecotricity</t>
        </is>
      </c>
      <c r="C1289" s="8" t="inlineStr">
        <is>
          <t>36 Month</t>
        </is>
      </c>
      <c r="D1289" s="8" t="n">
        <v>24229.78723404255</v>
      </c>
      <c r="E1289" s="8" t="n">
        <v>23.15</v>
      </c>
      <c r="F1289" s="8" t="n">
        <v>527.5699999999999</v>
      </c>
      <c r="G1289" s="8" t="n">
        <v>185</v>
      </c>
      <c r="H1289" s="8" t="n">
        <v>7719.826244680851</v>
      </c>
      <c r="I1289" s="4">
        <f>D1289*E1289/100+F1289*365/100+G1289</f>
        <v/>
      </c>
    </row>
    <row r="1290">
      <c r="A1290" s="2" t="inlineStr">
        <is>
          <t>0000166865CKBDD</t>
        </is>
      </c>
      <c r="B1290" s="8" t="inlineStr">
        <is>
          <t>Ecotricity</t>
        </is>
      </c>
      <c r="C1290" s="8" t="inlineStr">
        <is>
          <t>36 Month</t>
        </is>
      </c>
      <c r="D1290" s="8" t="n">
        <v>27888.04846938775</v>
      </c>
      <c r="E1290" s="8" t="n">
        <v>23.15</v>
      </c>
      <c r="F1290" s="8" t="n">
        <v>527.5699999999999</v>
      </c>
      <c r="G1290" s="8" t="n">
        <v>185</v>
      </c>
      <c r="H1290" s="8" t="n">
        <v>8566.713720663263</v>
      </c>
      <c r="I1290" s="4">
        <f>D1290*E1290/100+F1290*365/100+G1290</f>
        <v/>
      </c>
    </row>
    <row r="1291">
      <c r="A1291" s="2" t="inlineStr">
        <is>
          <t>0000170681CKB47</t>
        </is>
      </c>
      <c r="B1291" s="8" t="inlineStr">
        <is>
          <t>Ecotricity</t>
        </is>
      </c>
      <c r="C1291" s="8" t="inlineStr">
        <is>
          <t>36 Month</t>
        </is>
      </c>
      <c r="D1291" s="8" t="n">
        <v>4504.255319148936</v>
      </c>
      <c r="E1291" s="8" t="n">
        <v>25.6732</v>
      </c>
      <c r="F1291" s="8" t="n">
        <v>232.51</v>
      </c>
      <c r="G1291" s="8" t="n">
        <v>185</v>
      </c>
      <c r="H1291" s="8" t="n">
        <v>2190.047976595745</v>
      </c>
      <c r="I1291" s="4">
        <f>D1291*E1291/100+F1291*365/100+G1291</f>
        <v/>
      </c>
    </row>
    <row r="1292">
      <c r="A1292" s="2" t="inlineStr">
        <is>
          <t>0000175917CKD00</t>
        </is>
      </c>
      <c r="B1292" s="8" t="inlineStr">
        <is>
          <t>Ecotricity</t>
        </is>
      </c>
      <c r="C1292" s="8" t="inlineStr">
        <is>
          <t>36 Month</t>
        </is>
      </c>
      <c r="D1292" s="8" t="n">
        <v>9842.574468085106</v>
      </c>
      <c r="E1292" s="8" t="n">
        <v>23.15</v>
      </c>
      <c r="F1292" s="8" t="n">
        <v>527.5699999999999</v>
      </c>
      <c r="G1292" s="8" t="n">
        <v>185</v>
      </c>
      <c r="H1292" s="8" t="n">
        <v>4389.186489361702</v>
      </c>
      <c r="I1292" s="4">
        <f>D1292*E1292/100+F1292*365/100+G1292</f>
        <v/>
      </c>
    </row>
    <row r="1293">
      <c r="A1293" s="2" t="inlineStr">
        <is>
          <t>0000172164CK0F0</t>
        </is>
      </c>
      <c r="B1293" s="8" t="inlineStr">
        <is>
          <t>Ecotricity</t>
        </is>
      </c>
      <c r="C1293" s="8" t="inlineStr">
        <is>
          <t>36 Month</t>
        </is>
      </c>
      <c r="D1293" s="8" t="n">
        <v>12295.52699228792</v>
      </c>
      <c r="E1293" s="8" t="n">
        <v>23.15</v>
      </c>
      <c r="F1293" s="8" t="n">
        <v>527.5699999999999</v>
      </c>
      <c r="G1293" s="8" t="n">
        <v>185</v>
      </c>
      <c r="H1293" s="8" t="n">
        <v>4957.044998714653</v>
      </c>
      <c r="I1293" s="4">
        <f>D1293*E1293/100+F1293*365/100+G1293</f>
        <v/>
      </c>
    </row>
    <row r="1294">
      <c r="A1294" s="2" t="inlineStr">
        <is>
          <t>0000030443TR776</t>
        </is>
      </c>
      <c r="B1294" s="8" t="inlineStr">
        <is>
          <t>Ecotricity</t>
        </is>
      </c>
      <c r="C1294" s="8" t="inlineStr">
        <is>
          <t>36 Month</t>
        </is>
      </c>
      <c r="D1294" s="8" t="n">
        <v>6507.872340425532</v>
      </c>
      <c r="E1294" s="8" t="n">
        <v>25.6732</v>
      </c>
      <c r="F1294" s="8" t="n">
        <v>232.51</v>
      </c>
      <c r="G1294" s="8" t="n">
        <v>185</v>
      </c>
      <c r="H1294" s="8" t="n">
        <v>2704.440581702127</v>
      </c>
      <c r="I1294" s="4">
        <f>D1294*E1294/100+F1294*365/100+G1294</f>
        <v/>
      </c>
    </row>
    <row r="1295">
      <c r="A1295" s="2" t="inlineStr">
        <is>
          <t>0000030446TRA39</t>
        </is>
      </c>
      <c r="B1295" s="8" t="inlineStr">
        <is>
          <t>Ecotricity</t>
        </is>
      </c>
      <c r="C1295" s="8" t="inlineStr">
        <is>
          <t>36 Month</t>
        </is>
      </c>
      <c r="D1295" s="8" t="n">
        <v>5193.699763593381</v>
      </c>
      <c r="E1295" s="8" t="n">
        <v>25.6732</v>
      </c>
      <c r="F1295" s="8" t="n">
        <v>232.51</v>
      </c>
      <c r="G1295" s="8" t="n">
        <v>185</v>
      </c>
      <c r="H1295" s="8" t="n">
        <v>2367.050427706856</v>
      </c>
      <c r="I1295" s="4">
        <f>D1295*E1295/100+F1295*365/100+G1295</f>
        <v/>
      </c>
    </row>
    <row r="1296">
      <c r="A1296" s="2" t="inlineStr">
        <is>
          <t>0000166949CKC92</t>
        </is>
      </c>
      <c r="B1296" s="8" t="inlineStr">
        <is>
          <t>Ecotricity</t>
        </is>
      </c>
      <c r="C1296" s="8" t="inlineStr">
        <is>
          <t>36 Month</t>
        </is>
      </c>
      <c r="D1296" s="8" t="n">
        <v>22321.08747044917</v>
      </c>
      <c r="E1296" s="8" t="n">
        <v>23.15</v>
      </c>
      <c r="F1296" s="8" t="n">
        <v>527.5699999999999</v>
      </c>
      <c r="G1296" s="8" t="n">
        <v>185</v>
      </c>
      <c r="H1296" s="8" t="n">
        <v>7277.962249408984</v>
      </c>
      <c r="I1296" s="4">
        <f>D1296*E1296/100+F1296*365/100+G1296</f>
        <v/>
      </c>
    </row>
    <row r="1297">
      <c r="A1297" s="2" t="inlineStr">
        <is>
          <t>0001259077UN7C4</t>
        </is>
      </c>
      <c r="B1297" s="8" t="inlineStr">
        <is>
          <t>Ecotricity</t>
        </is>
      </c>
      <c r="C1297" s="8" t="inlineStr">
        <is>
          <t>36 Month</t>
        </is>
      </c>
      <c r="D1297" s="8" t="n">
        <v>21618.69976359338</v>
      </c>
      <c r="E1297" s="8" t="n">
        <v>19.88</v>
      </c>
      <c r="F1297" s="8" t="n">
        <v>312.28</v>
      </c>
      <c r="G1297" s="8" t="n">
        <v>185</v>
      </c>
      <c r="H1297" s="8" t="n">
        <v>5622.619513002364</v>
      </c>
      <c r="I1297" s="4">
        <f>D1297*E1297/100+F1297*365/100+G1297</f>
        <v/>
      </c>
    </row>
    <row r="1298">
      <c r="A1298" s="2" t="inlineStr">
        <is>
          <t>1001280356UN969</t>
        </is>
      </c>
      <c r="B1298" s="8" t="inlineStr">
        <is>
          <t>Ecotricity</t>
        </is>
      </c>
      <c r="C1298" s="8" t="inlineStr">
        <is>
          <t>36 Month</t>
        </is>
      </c>
      <c r="D1298" s="8" t="n">
        <v>21037.1158392435</v>
      </c>
      <c r="E1298" s="8" t="n">
        <v>19.88</v>
      </c>
      <c r="F1298" s="8" t="n">
        <v>312.28</v>
      </c>
      <c r="G1298" s="8" t="n">
        <v>185</v>
      </c>
      <c r="H1298" s="8" t="n">
        <v>5507.000628841607</v>
      </c>
      <c r="I1298" s="4">
        <f>D1298*E1298/100+F1298*365/100+G1298</f>
        <v/>
      </c>
    </row>
    <row r="1299">
      <c r="A1299" s="2" t="inlineStr">
        <is>
          <t>0000560159NR084</t>
        </is>
      </c>
      <c r="B1299" s="8" t="inlineStr">
        <is>
          <t>Ecotricity</t>
        </is>
      </c>
      <c r="C1299" s="8" t="inlineStr">
        <is>
          <t>36 Month</t>
        </is>
      </c>
      <c r="D1299" s="8" t="n">
        <v>9631.002444987775</v>
      </c>
      <c r="E1299" s="8" t="n">
        <v>30.17</v>
      </c>
      <c r="F1299" s="8" t="n">
        <v>426</v>
      </c>
      <c r="G1299" s="8" t="n">
        <v>185</v>
      </c>
      <c r="H1299" s="8" t="n">
        <v>4645.573437652812</v>
      </c>
      <c r="I1299" s="4">
        <f>D1299*E1299/100+F1299*365/100+G1299</f>
        <v/>
      </c>
    </row>
    <row r="1300">
      <c r="A1300" s="2" t="inlineStr">
        <is>
          <t>1001118772UNF47</t>
        </is>
      </c>
      <c r="B1300" s="8" t="inlineStr">
        <is>
          <t>Ecotricity</t>
        </is>
      </c>
      <c r="C1300" s="8" t="inlineStr">
        <is>
          <t>36 Month</t>
        </is>
      </c>
      <c r="D1300" s="8" t="n">
        <v>25064.19621749409</v>
      </c>
      <c r="E1300" s="8" t="n">
        <v>19.88</v>
      </c>
      <c r="F1300" s="8" t="n">
        <v>312.28</v>
      </c>
      <c r="G1300" s="8" t="n">
        <v>185</v>
      </c>
      <c r="H1300" s="8" t="n">
        <v>6307.584208037824</v>
      </c>
      <c r="I1300" s="4">
        <f>D1300*E1300/100+F1300*365/100+G1300</f>
        <v/>
      </c>
    </row>
    <row r="1301">
      <c r="A1301" s="2" t="inlineStr">
        <is>
          <t>0000660398UN329</t>
        </is>
      </c>
      <c r="B1301" s="8" t="inlineStr">
        <is>
          <t>Ecotricity</t>
        </is>
      </c>
      <c r="C1301" s="8" t="inlineStr">
        <is>
          <t>36 Month</t>
        </is>
      </c>
      <c r="D1301" s="8" t="n">
        <v>3844.148936170212</v>
      </c>
      <c r="E1301" s="8" t="n">
        <v>19.88</v>
      </c>
      <c r="F1301" s="8" t="n">
        <v>312.28</v>
      </c>
      <c r="G1301" s="8" t="n">
        <v>185</v>
      </c>
      <c r="H1301" s="8" t="n">
        <v>2089.038808510638</v>
      </c>
      <c r="I1301" s="4">
        <f>D1301*E1301/100+F1301*365/100+G1301</f>
        <v/>
      </c>
    </row>
    <row r="1302">
      <c r="A1302" s="2" t="inlineStr">
        <is>
          <t>0000188684UNAE9</t>
        </is>
      </c>
      <c r="B1302" s="8" t="inlineStr">
        <is>
          <t>Ecotricity</t>
        </is>
      </c>
      <c r="C1302" s="8" t="inlineStr">
        <is>
          <t>36 Month</t>
        </is>
      </c>
      <c r="D1302" s="8" t="n">
        <v>23071.79669030733</v>
      </c>
      <c r="E1302" s="8" t="n">
        <v>19.88</v>
      </c>
      <c r="F1302" s="8" t="n">
        <v>312.28</v>
      </c>
      <c r="G1302" s="8" t="n">
        <v>185</v>
      </c>
      <c r="H1302" s="8" t="n">
        <v>5911.495182033097</v>
      </c>
      <c r="I1302" s="4">
        <f>D1302*E1302/100+F1302*365/100+G1302</f>
        <v/>
      </c>
    </row>
    <row r="1303">
      <c r="A1303" s="2" t="inlineStr">
        <is>
          <t>0000188682UNB66</t>
        </is>
      </c>
      <c r="B1303" s="8" t="inlineStr">
        <is>
          <t>Ecotricity</t>
        </is>
      </c>
      <c r="C1303" s="8" t="inlineStr">
        <is>
          <t>36 Month</t>
        </is>
      </c>
      <c r="D1303" s="8" t="n">
        <v>16550.11820330969</v>
      </c>
      <c r="E1303" s="8" t="n">
        <v>19.88</v>
      </c>
      <c r="F1303" s="8" t="n">
        <v>312.28</v>
      </c>
      <c r="G1303" s="8" t="n">
        <v>185</v>
      </c>
      <c r="H1303" s="8" t="n">
        <v>4614.985498817967</v>
      </c>
      <c r="I1303" s="4">
        <f>D1303*E1303/100+F1303*365/100+G1303</f>
        <v/>
      </c>
    </row>
    <row r="1304">
      <c r="A1304" s="2" t="inlineStr">
        <is>
          <t>0001430190TG470</t>
        </is>
      </c>
      <c r="B1304" s="8" t="inlineStr">
        <is>
          <t>Ecotricity</t>
        </is>
      </c>
      <c r="C1304" s="8" t="inlineStr">
        <is>
          <t>36 Month</t>
        </is>
      </c>
      <c r="D1304" s="8" t="n">
        <v>4021.903073286051</v>
      </c>
      <c r="E1304" s="8" t="n"/>
      <c r="F1304" s="8" t="n"/>
      <c r="G1304" s="8" t="n">
        <v>185</v>
      </c>
      <c r="H1304" s="8" t="n">
        <v>1603.823892434988</v>
      </c>
      <c r="I1304" s="4">
        <f>D1304*E1304/100+F1304*365/100+G1304</f>
        <v/>
      </c>
    </row>
    <row r="1305">
      <c r="A1305" s="2" t="inlineStr">
        <is>
          <t>0001430191TG835</t>
        </is>
      </c>
      <c r="B1305" s="8" t="inlineStr">
        <is>
          <t>Ecotricity</t>
        </is>
      </c>
      <c r="C1305" s="8" t="inlineStr">
        <is>
          <t>36 Month</t>
        </is>
      </c>
      <c r="D1305" s="8" t="n">
        <v>55.54347826086957</v>
      </c>
      <c r="E1305" s="8" t="n"/>
      <c r="F1305" s="8" t="n"/>
      <c r="G1305" s="8" t="n">
        <v>185</v>
      </c>
      <c r="H1305" s="8" t="n">
        <v>400.4303913043478</v>
      </c>
      <c r="I1305" s="4">
        <f>D1305*E1305/100+F1305*365/100+G1305</f>
        <v/>
      </c>
    </row>
    <row r="1306">
      <c r="A1306" s="2" t="inlineStr">
        <is>
          <t>0000004290DEF89</t>
        </is>
      </c>
      <c r="B1306" s="8" t="inlineStr">
        <is>
          <t>Ecotricity</t>
        </is>
      </c>
      <c r="C1306" s="8" t="inlineStr">
        <is>
          <t>36 Month</t>
        </is>
      </c>
      <c r="D1306" s="8" t="n">
        <v>156484.0425531915</v>
      </c>
      <c r="E1306" s="8" t="n">
        <v>19.88</v>
      </c>
      <c r="F1306" s="8" t="n">
        <v>199.98</v>
      </c>
      <c r="G1306" s="8" t="n">
        <v>185</v>
      </c>
      <c r="H1306" s="8" t="n">
        <v>32023.95465957447</v>
      </c>
      <c r="I1306" s="4">
        <f>D1306*E1306/100+F1306*365/100+G1306</f>
        <v/>
      </c>
    </row>
    <row r="1307">
      <c r="A1307" s="2" t="inlineStr">
        <is>
          <t>0001051206TG35C</t>
        </is>
      </c>
      <c r="B1307" s="8" t="inlineStr">
        <is>
          <t>Ecotricity</t>
        </is>
      </c>
      <c r="C1307" s="8" t="inlineStr">
        <is>
          <t>36 Month</t>
        </is>
      </c>
      <c r="D1307" s="8" t="n">
        <v>1974.813432835821</v>
      </c>
      <c r="E1307" s="8" t="n"/>
      <c r="F1307" s="8" t="n"/>
      <c r="G1307" s="8" t="n">
        <v>185</v>
      </c>
      <c r="H1307" s="8" t="n">
        <v>982.7368955223881</v>
      </c>
      <c r="I1307" s="4">
        <f>D1307*E1307/100+F1307*365/100+G1307</f>
        <v/>
      </c>
    </row>
    <row r="1308">
      <c r="A1308" s="2" t="inlineStr">
        <is>
          <t>0000207625DE64D</t>
        </is>
      </c>
      <c r="B1308" s="8" t="inlineStr">
        <is>
          <t>Ecotricity</t>
        </is>
      </c>
      <c r="C1308" s="8" t="inlineStr">
        <is>
          <t>36 Month</t>
        </is>
      </c>
      <c r="D1308" s="8" t="n">
        <v>108486.9739952719</v>
      </c>
      <c r="E1308" s="8" t="n">
        <v>19.88</v>
      </c>
      <c r="F1308" s="8" t="n">
        <v>199.98</v>
      </c>
      <c r="G1308" s="8" t="n">
        <v>185</v>
      </c>
      <c r="H1308" s="8" t="n">
        <v>22482.13743026005</v>
      </c>
      <c r="I1308" s="4">
        <f>D1308*E1308/100+F1308*365/100+G1308</f>
        <v/>
      </c>
    </row>
    <row r="1309">
      <c r="A1309" s="2" t="inlineStr">
        <is>
          <t>0001620723TGC3D</t>
        </is>
      </c>
      <c r="B1309" s="8" t="inlineStr">
        <is>
          <t>Ecotricity</t>
        </is>
      </c>
      <c r="C1309" s="8" t="inlineStr">
        <is>
          <t>36 Month</t>
        </is>
      </c>
      <c r="D1309" s="8" t="n">
        <v>1661.314432989691</v>
      </c>
      <c r="E1309" s="8" t="n"/>
      <c r="F1309" s="8" t="n"/>
      <c r="G1309" s="8" t="n">
        <v>185</v>
      </c>
      <c r="H1309" s="8" t="n">
        <v>917.3356855670104</v>
      </c>
      <c r="I1309" s="4">
        <f>D1309*E1309/100+F1309*365/100+G1309</f>
        <v/>
      </c>
    </row>
    <row r="1310">
      <c r="A1310" s="2" t="inlineStr">
        <is>
          <t>0000517047DE2D4</t>
        </is>
      </c>
      <c r="B1310" s="8" t="inlineStr">
        <is>
          <t>Ecotricity</t>
        </is>
      </c>
      <c r="C1310" s="8" t="inlineStr">
        <is>
          <t>36 Month</t>
        </is>
      </c>
      <c r="D1310" s="8" t="n">
        <v>4557.75413711584</v>
      </c>
      <c r="E1310" s="8" t="n">
        <v>36.4428</v>
      </c>
      <c r="F1310" s="8" t="n">
        <v>163</v>
      </c>
      <c r="G1310" s="8" t="n">
        <v>185</v>
      </c>
      <c r="H1310" s="8" t="n">
        <v>2440.923224680851</v>
      </c>
      <c r="I1310" s="4">
        <f>D1310*E1310/100+F1310*365/100+G1310</f>
        <v/>
      </c>
    </row>
    <row r="1311">
      <c r="A1311" s="2" t="inlineStr">
        <is>
          <t>0000408379TP09F</t>
        </is>
      </c>
      <c r="B1311" s="8" t="inlineStr">
        <is>
          <t>Ecotricity</t>
        </is>
      </c>
      <c r="C1311" s="8" t="inlineStr">
        <is>
          <t>36 Month</t>
        </is>
      </c>
      <c r="D1311" s="8" t="n">
        <v>11054.40898345154</v>
      </c>
      <c r="E1311" s="8" t="n">
        <v>27.8038689</v>
      </c>
      <c r="F1311" s="8" t="n">
        <v>250.75</v>
      </c>
      <c r="G1311" s="8" t="n">
        <v>185</v>
      </c>
      <c r="H1311" s="8" t="n">
        <v>4173.790881428687</v>
      </c>
      <c r="I1311" s="4">
        <f>D1311*E1311/100+F1311*365/100+G1311</f>
        <v/>
      </c>
    </row>
    <row r="1312">
      <c r="A1312" s="2" t="inlineStr">
        <is>
          <t>0000386961TP0C2</t>
        </is>
      </c>
      <c r="B1312" s="8" t="inlineStr">
        <is>
          <t>Ecotricity</t>
        </is>
      </c>
      <c r="C1312" s="8" t="inlineStr">
        <is>
          <t>36 Month</t>
        </is>
      </c>
      <c r="D1312" s="8" t="n">
        <v>2393.640661938534</v>
      </c>
      <c r="E1312" s="8" t="n">
        <v>27.8038689</v>
      </c>
      <c r="F1312" s="8" t="n">
        <v>232.61</v>
      </c>
      <c r="G1312" s="8" t="n">
        <v>185</v>
      </c>
      <c r="H1312" s="8" t="n">
        <v>1699.551211582482</v>
      </c>
      <c r="I1312" s="4">
        <f>D1312*E1312/100+F1312*365/100+G1312</f>
        <v/>
      </c>
    </row>
    <row r="1313">
      <c r="A1313" s="2" t="inlineStr">
        <is>
          <t>0088031221NVA65</t>
        </is>
      </c>
      <c r="B1313" s="8" t="inlineStr">
        <is>
          <t>Ecotricity</t>
        </is>
      </c>
      <c r="C1313" s="8" t="inlineStr">
        <is>
          <t>36 Month</t>
        </is>
      </c>
      <c r="D1313" s="8" t="n">
        <v>2960.555555555555</v>
      </c>
      <c r="E1313" s="8" t="n">
        <v>25.163809</v>
      </c>
      <c r="F1313" s="8" t="n">
        <v>252.69</v>
      </c>
      <c r="G1313" s="8" t="n">
        <v>185</v>
      </c>
      <c r="H1313" s="8" t="n">
        <v>1852.307045338889</v>
      </c>
      <c r="I1313" s="4">
        <f>D1313*E1313/100+F1313*365/100+G1313</f>
        <v/>
      </c>
    </row>
    <row r="1314">
      <c r="A1314" s="2" t="inlineStr">
        <is>
          <t>0004620439TP3C6</t>
        </is>
      </c>
      <c r="B1314" s="8" t="inlineStr">
        <is>
          <t>Ecotricity</t>
        </is>
      </c>
      <c r="C1314" s="8" t="inlineStr">
        <is>
          <t>36 Month</t>
        </is>
      </c>
      <c r="D1314" s="8" t="n">
        <v>6594.713541666666</v>
      </c>
      <c r="E1314" s="8" t="n">
        <v>27.8038689</v>
      </c>
      <c r="F1314" s="8" t="n">
        <v>250.75</v>
      </c>
      <c r="G1314" s="8" t="n">
        <v>185</v>
      </c>
      <c r="H1314" s="8" t="n">
        <v>2933.823007455547</v>
      </c>
      <c r="I1314" s="4">
        <f>D1314*E1314/100+F1314*365/100+G1314</f>
        <v/>
      </c>
    </row>
    <row r="1315">
      <c r="A1315" s="2" t="inlineStr">
        <is>
          <t>0008803763NV80A</t>
        </is>
      </c>
      <c r="B1315" s="8" t="inlineStr">
        <is>
          <t>Ecotricity</t>
        </is>
      </c>
      <c r="C1315" s="8" t="inlineStr">
        <is>
          <t>36 Month</t>
        </is>
      </c>
      <c r="D1315" s="8" t="n">
        <v>148068.3333333333</v>
      </c>
      <c r="E1315" s="8" t="n">
        <v>25.163809</v>
      </c>
      <c r="F1315" s="8" t="n">
        <v>646.17</v>
      </c>
      <c r="G1315" s="8" t="n">
        <v>185</v>
      </c>
      <c r="H1315" s="8" t="n">
        <v>39803.15308948333</v>
      </c>
      <c r="I1315" s="4">
        <f>D1315*E1315/100+F1315*365/100+G1315</f>
        <v/>
      </c>
    </row>
    <row r="1316">
      <c r="A1316" s="2" t="inlineStr">
        <is>
          <t>0000405525TP7AF</t>
        </is>
      </c>
      <c r="B1316" s="8" t="inlineStr">
        <is>
          <t>Ecotricity</t>
        </is>
      </c>
      <c r="C1316" s="8" t="inlineStr">
        <is>
          <t>36 Month</t>
        </is>
      </c>
      <c r="D1316" s="8" t="n">
        <v>74992.39952718676</v>
      </c>
      <c r="E1316" s="8" t="n">
        <v>27.8038689</v>
      </c>
      <c r="F1316" s="8" t="n">
        <v>882.54</v>
      </c>
      <c r="G1316" s="8" t="n">
        <v>185</v>
      </c>
      <c r="H1316" s="8" t="n">
        <v>24257.05944950323</v>
      </c>
      <c r="I1316" s="4">
        <f>D1316*E1316/100+F1316*365/100+G1316</f>
        <v/>
      </c>
    </row>
    <row r="1317">
      <c r="A1317" s="2" t="inlineStr">
        <is>
          <t>0003860192TP8AB</t>
        </is>
      </c>
      <c r="B1317" s="8" t="inlineStr">
        <is>
          <t>Ecotricity</t>
        </is>
      </c>
      <c r="C1317" s="8" t="inlineStr">
        <is>
          <t>36 Month</t>
        </is>
      </c>
      <c r="D1317" s="8" t="n">
        <v>3579.243498817967</v>
      </c>
      <c r="E1317" s="8" t="n">
        <v>27.8038689</v>
      </c>
      <c r="F1317" s="8" t="n">
        <v>232.61</v>
      </c>
      <c r="G1317" s="8" t="n">
        <v>185</v>
      </c>
      <c r="H1317" s="8" t="n">
        <v>2029.194670023121</v>
      </c>
      <c r="I1317" s="4">
        <f>D1317*E1317/100+F1317*365/100+G1317</f>
        <v/>
      </c>
    </row>
    <row r="1318">
      <c r="A1318" s="2" t="inlineStr">
        <is>
          <t>0000721777NV28C</t>
        </is>
      </c>
      <c r="B1318" s="8" t="inlineStr">
        <is>
          <t>Ecotricity</t>
        </is>
      </c>
      <c r="C1318" s="8" t="inlineStr">
        <is>
          <t>36 Month</t>
        </is>
      </c>
      <c r="D1318" s="8" t="n">
        <v>13574.89361702128</v>
      </c>
      <c r="E1318" s="8" t="n">
        <v>25.163809</v>
      </c>
      <c r="F1318" s="8" t="n">
        <v>349.84</v>
      </c>
      <c r="G1318" s="8" t="n">
        <v>185</v>
      </c>
      <c r="H1318" s="8" t="n">
        <v>4877.876301740425</v>
      </c>
      <c r="I1318" s="4">
        <f>D1318*E1318/100+F1318*365/100+G1318</f>
        <v/>
      </c>
    </row>
    <row r="1319">
      <c r="A1319" s="2" t="inlineStr">
        <is>
          <t>0000382532TPE86</t>
        </is>
      </c>
      <c r="B1319" s="8" t="inlineStr">
        <is>
          <t>Ecotricity</t>
        </is>
      </c>
      <c r="C1319" s="8" t="inlineStr">
        <is>
          <t>36 Month</t>
        </is>
      </c>
      <c r="D1319" s="8" t="n">
        <v>1006.12293144208</v>
      </c>
      <c r="E1319" s="8" t="n">
        <v>27.8038689</v>
      </c>
      <c r="F1319" s="8" t="n">
        <v>232.61</v>
      </c>
      <c r="G1319" s="8" t="n">
        <v>185</v>
      </c>
      <c r="H1319" s="8" t="n">
        <v>1313.767600830993</v>
      </c>
      <c r="I1319" s="4">
        <f>D1319*E1319/100+F1319*365/100+G1319</f>
        <v/>
      </c>
    </row>
    <row r="1320">
      <c r="A1320" s="2" t="inlineStr">
        <is>
          <t>0007118408RN645</t>
        </is>
      </c>
      <c r="B1320" s="8" t="inlineStr">
        <is>
          <t>Ecotricity</t>
        </is>
      </c>
      <c r="C1320" s="8" t="inlineStr">
        <is>
          <t>36 Month</t>
        </is>
      </c>
      <c r="D1320" s="8" t="n">
        <v>281187.1985815603</v>
      </c>
      <c r="E1320" s="8" t="n">
        <v>24.143688</v>
      </c>
      <c r="F1320" s="8" t="n">
        <v>1369.41</v>
      </c>
      <c r="G1320" s="8" t="n">
        <v>185</v>
      </c>
      <c r="H1320" s="8" t="n">
        <v>73072.30642147233</v>
      </c>
      <c r="I1320" s="4">
        <f>D1320*E1320/100+F1320*365/100+G1320</f>
        <v/>
      </c>
    </row>
    <row r="1321">
      <c r="A1321" s="2" t="inlineStr">
        <is>
          <t>0007131142RN619</t>
        </is>
      </c>
      <c r="B1321" s="8" t="inlineStr">
        <is>
          <t>Ecotricity</t>
        </is>
      </c>
      <c r="C1321" s="8" t="inlineStr">
        <is>
          <t>36 Month</t>
        </is>
      </c>
      <c r="D1321" s="8" t="n">
        <v>14387.7304964539</v>
      </c>
      <c r="E1321" s="8" t="n">
        <v>24.7142131</v>
      </c>
      <c r="F1321" s="8" t="n">
        <v>377.14</v>
      </c>
      <c r="G1321" s="8" t="n">
        <v>185</v>
      </c>
      <c r="H1321" s="8" t="n">
        <v>5117.375375147305</v>
      </c>
      <c r="I1321" s="4">
        <f>D1321*E1321/100+F1321*365/100+G1321</f>
        <v/>
      </c>
    </row>
    <row r="1322">
      <c r="A1322" s="2" t="inlineStr">
        <is>
          <t>0007143106RNC4F</t>
        </is>
      </c>
      <c r="B1322" s="8" t="inlineStr">
        <is>
          <t>Ecotricity</t>
        </is>
      </c>
      <c r="C1322" s="8" t="inlineStr">
        <is>
          <t>36 Month</t>
        </is>
      </c>
      <c r="D1322" s="8" t="n">
        <v>192285.9692671395</v>
      </c>
      <c r="E1322" s="8" t="n">
        <v>24.143688</v>
      </c>
      <c r="F1322" s="8" t="n">
        <v>1369.41</v>
      </c>
      <c r="G1322" s="8" t="n">
        <v>185</v>
      </c>
      <c r="H1322" s="8" t="n">
        <v>51608.27098763404</v>
      </c>
      <c r="I1322" s="4">
        <f>D1322*E1322/100+F1322*365/100+G1322</f>
        <v/>
      </c>
    </row>
    <row r="1323">
      <c r="A1323" s="2" t="inlineStr">
        <is>
          <t>0000700787MPCC5</t>
        </is>
      </c>
      <c r="B1323" s="8" t="inlineStr">
        <is>
          <t>Ecotricity</t>
        </is>
      </c>
      <c r="C1323" s="8" t="inlineStr">
        <is>
          <t>36 Month</t>
        </is>
      </c>
      <c r="D1323" s="8" t="n">
        <v>3791.513002364066</v>
      </c>
      <c r="E1323" s="8" t="n">
        <v>24.337</v>
      </c>
      <c r="F1323" s="8" t="n">
        <v>582.337</v>
      </c>
      <c r="G1323" s="8" t="n">
        <v>185</v>
      </c>
      <c r="H1323" s="8" t="n">
        <v>3233.270569385342</v>
      </c>
      <c r="I1323" s="4">
        <f>D1323*E1323/100+F1323*365/100+G1323</f>
        <v/>
      </c>
    </row>
    <row r="1324">
      <c r="A1324" s="2" t="inlineStr">
        <is>
          <t>0000624842MP24B</t>
        </is>
      </c>
      <c r="B1324" s="8" t="inlineStr">
        <is>
          <t>Ecotricity</t>
        </is>
      </c>
      <c r="C1324" s="8" t="inlineStr">
        <is>
          <t>36 Month</t>
        </is>
      </c>
      <c r="D1324" s="8" t="n">
        <v>58753.01767676767</v>
      </c>
      <c r="E1324" s="8" t="n">
        <v>24.337</v>
      </c>
      <c r="F1324" s="8" t="n">
        <v>582.337</v>
      </c>
      <c r="G1324" s="8" t="n">
        <v>185</v>
      </c>
      <c r="H1324" s="8" t="n">
        <v>16609.25196199495</v>
      </c>
      <c r="I1324" s="4">
        <f>D1324*E1324/100+F1324*365/100+G1324</f>
        <v/>
      </c>
    </row>
    <row r="1325">
      <c r="A1325" s="2" t="inlineStr">
        <is>
          <t>0000700385MP041</t>
        </is>
      </c>
      <c r="B1325" s="8" t="inlineStr">
        <is>
          <t>Ecotricity</t>
        </is>
      </c>
      <c r="C1325" s="8" t="inlineStr">
        <is>
          <t>36 Month</t>
        </is>
      </c>
      <c r="D1325" s="8" t="n">
        <v>1050.130023640662</v>
      </c>
      <c r="E1325" s="8" t="n">
        <v>24.337</v>
      </c>
      <c r="F1325" s="8" t="n">
        <v>582.337</v>
      </c>
      <c r="G1325" s="8" t="n">
        <v>185</v>
      </c>
      <c r="H1325" s="8" t="n">
        <v>2566.100193853428</v>
      </c>
      <c r="I1325" s="4">
        <f>D1325*E1325/100+F1325*365/100+G1325</f>
        <v/>
      </c>
    </row>
    <row r="1326">
      <c r="A1326" s="2" t="inlineStr">
        <is>
          <t>0000260933MP6FD</t>
        </is>
      </c>
      <c r="B1326" s="8" t="inlineStr">
        <is>
          <t>Ecotricity</t>
        </is>
      </c>
      <c r="C1326" s="8" t="inlineStr">
        <is>
          <t>36 Month</t>
        </is>
      </c>
      <c r="D1326" s="8" t="n">
        <v>4774.776315789473</v>
      </c>
      <c r="E1326" s="8" t="n">
        <v>24.337</v>
      </c>
      <c r="F1326" s="8" t="n">
        <v>582.337</v>
      </c>
      <c r="G1326" s="8" t="n">
        <v>185</v>
      </c>
      <c r="H1326" s="8" t="n">
        <v>3472.567361973684</v>
      </c>
      <c r="I1326" s="4">
        <f>D1326*E1326/100+F1326*365/100+G1326</f>
        <v/>
      </c>
    </row>
    <row r="1327">
      <c r="A1327" s="2" t="inlineStr">
        <is>
          <t>0007194919RN100</t>
        </is>
      </c>
      <c r="B1327" s="8" t="inlineStr">
        <is>
          <t>Ecotricity</t>
        </is>
      </c>
      <c r="C1327" s="8" t="inlineStr">
        <is>
          <t>36 Month</t>
        </is>
      </c>
      <c r="D1327" s="8" t="n">
        <v>1787.895981087471</v>
      </c>
      <c r="E1327" s="8" t="n">
        <v>27.9830588</v>
      </c>
      <c r="F1327" s="8" t="n">
        <v>148.72</v>
      </c>
      <c r="G1327" s="8" t="n">
        <v>185</v>
      </c>
      <c r="H1327" s="8" t="n">
        <v>1228.135983670544</v>
      </c>
      <c r="I1327" s="4">
        <f>D1327*E1327/100+F1327*365/100+G1327</f>
        <v/>
      </c>
    </row>
    <row r="1328">
      <c r="A1328" s="2" t="inlineStr">
        <is>
          <t>0000260936MPBB2</t>
        </is>
      </c>
      <c r="B1328" s="8" t="inlineStr">
        <is>
          <t>Ecotricity</t>
        </is>
      </c>
      <c r="C1328" s="8" t="inlineStr">
        <is>
          <t>36 Month</t>
        </is>
      </c>
      <c r="D1328" s="8" t="n">
        <v>14698.36879432624</v>
      </c>
      <c r="E1328" s="8" t="n">
        <v>24.337</v>
      </c>
      <c r="F1328" s="8" t="n">
        <v>582.337</v>
      </c>
      <c r="G1328" s="8" t="n">
        <v>185</v>
      </c>
      <c r="H1328" s="8" t="n">
        <v>5887.672063475178</v>
      </c>
      <c r="I1328" s="4">
        <f>D1328*E1328/100+F1328*365/100+G1328</f>
        <v/>
      </c>
    </row>
    <row r="1329">
      <c r="A1329" s="2" t="inlineStr">
        <is>
          <t>0000526222NR65B</t>
        </is>
      </c>
      <c r="B1329" s="8" t="inlineStr">
        <is>
          <t>Ecotricity</t>
        </is>
      </c>
      <c r="C1329" s="8" t="inlineStr">
        <is>
          <t>36 Month</t>
        </is>
      </c>
      <c r="D1329" s="8" t="n">
        <v>9537.458628841609</v>
      </c>
      <c r="E1329" s="8" t="n">
        <v>29.371628</v>
      </c>
      <c r="F1329" s="8" t="n">
        <v>426</v>
      </c>
      <c r="G1329" s="8" t="n">
        <v>185</v>
      </c>
      <c r="H1329" s="8" t="n">
        <v>4541.206869117258</v>
      </c>
      <c r="I1329" s="4">
        <f>D1329*E1329/100+F1329*365/100+G1329</f>
        <v/>
      </c>
    </row>
    <row r="1330">
      <c r="A1330" s="2" t="inlineStr">
        <is>
          <t>0000548841NR5F9</t>
        </is>
      </c>
      <c r="B1330" s="8" t="inlineStr">
        <is>
          <t>Ecotricity</t>
        </is>
      </c>
      <c r="C1330" s="8" t="inlineStr">
        <is>
          <t>36 Month</t>
        </is>
      </c>
      <c r="D1330" s="8" t="n">
        <v>42082.94486215539</v>
      </c>
      <c r="E1330" s="8" t="n">
        <v>29.371628</v>
      </c>
      <c r="F1330" s="8" t="n">
        <v>426</v>
      </c>
      <c r="G1330" s="8" t="n">
        <v>185</v>
      </c>
      <c r="H1330" s="8" t="n">
        <v>14100.34601635739</v>
      </c>
      <c r="I1330" s="4">
        <f>D1330*E1330/100+F1330*365/100+G1330</f>
        <v/>
      </c>
    </row>
    <row r="1331">
      <c r="A1331" s="2" t="inlineStr">
        <is>
          <t>0000549182NR67F</t>
        </is>
      </c>
      <c r="B1331" s="8" t="inlineStr">
        <is>
          <t>Ecotricity</t>
        </is>
      </c>
      <c r="C1331" s="8" t="inlineStr">
        <is>
          <t>36 Month</t>
        </is>
      </c>
      <c r="D1331" s="8" t="n">
        <v>35317.84869976359</v>
      </c>
      <c r="E1331" s="8" t="n">
        <v>29.371628</v>
      </c>
      <c r="F1331" s="8" t="n">
        <v>426</v>
      </c>
      <c r="G1331" s="8" t="n">
        <v>185</v>
      </c>
      <c r="H1331" s="8" t="n">
        <v>12113.3271376974</v>
      </c>
      <c r="I1331" s="4">
        <f>D1331*E1331/100+F1331*365/100+G1331</f>
        <v/>
      </c>
    </row>
    <row r="1332">
      <c r="A1332" s="2" t="inlineStr">
        <is>
          <t>0346100364LCEED</t>
        </is>
      </c>
      <c r="B1332" s="8" t="inlineStr">
        <is>
          <t>Ecotricity</t>
        </is>
      </c>
      <c r="C1332" s="8" t="inlineStr">
        <is>
          <t>36 Month</t>
        </is>
      </c>
      <c r="D1332" s="8" t="n">
        <v>56184.11347517731</v>
      </c>
      <c r="E1332" s="8" t="n">
        <v>19.88</v>
      </c>
      <c r="F1332" s="8" t="n">
        <v>694.36</v>
      </c>
      <c r="G1332" s="8" t="n">
        <v>185</v>
      </c>
      <c r="H1332" s="8" t="n">
        <v>13888.81575886525</v>
      </c>
      <c r="I1332" s="4">
        <f>D1332*E1332/100+F1332*365/100+G1332</f>
        <v/>
      </c>
    </row>
    <row r="1333">
      <c r="A1333" s="2" t="inlineStr">
        <is>
          <t>0300278047LC2C3</t>
        </is>
      </c>
      <c r="B1333" s="8" t="inlineStr">
        <is>
          <t>Ecotricity</t>
        </is>
      </c>
      <c r="C1333" s="8" t="inlineStr">
        <is>
          <t>36 Month</t>
        </is>
      </c>
      <c r="D1333" s="8" t="n">
        <v>137617.9432624113</v>
      </c>
      <c r="E1333" s="8" t="n">
        <v>19.88</v>
      </c>
      <c r="F1333" s="8" t="n">
        <v>636.61</v>
      </c>
      <c r="G1333" s="8" t="n">
        <v>185</v>
      </c>
      <c r="H1333" s="8" t="n">
        <v>29867.07362056737</v>
      </c>
      <c r="I1333" s="4">
        <f>D1333*E1333/100+F1333*365/100+G1333</f>
        <v/>
      </c>
    </row>
    <row r="1334">
      <c r="A1334" s="2" t="inlineStr">
        <is>
          <t>0398095698LC2D6</t>
        </is>
      </c>
      <c r="B1334" s="8" t="inlineStr">
        <is>
          <t>Ecotricity</t>
        </is>
      </c>
      <c r="C1334" s="8" t="inlineStr">
        <is>
          <t>36 Month</t>
        </is>
      </c>
      <c r="D1334" s="8" t="n">
        <v>18300.91016548463</v>
      </c>
      <c r="E1334" s="8" t="n">
        <v>19.88</v>
      </c>
      <c r="F1334" s="8" t="n">
        <v>312.28</v>
      </c>
      <c r="G1334" s="8" t="n">
        <v>185</v>
      </c>
      <c r="H1334" s="8" t="n">
        <v>4963.042940898345</v>
      </c>
      <c r="I1334" s="4">
        <f>D1334*E1334/100+F1334*365/100+G1334</f>
        <v/>
      </c>
    </row>
    <row r="1335">
      <c r="A1335" s="2" t="inlineStr">
        <is>
          <t>1001245025LCA73</t>
        </is>
      </c>
      <c r="B1335" s="8" t="inlineStr">
        <is>
          <t>Ecotricity</t>
        </is>
      </c>
      <c r="C1335" s="8" t="inlineStr">
        <is>
          <t>36 Month</t>
        </is>
      </c>
      <c r="D1335" s="8" t="n">
        <v>19466.66666666667</v>
      </c>
      <c r="E1335" s="8" t="n">
        <v>19.88</v>
      </c>
      <c r="F1335" s="8" t="n">
        <v>312.28</v>
      </c>
      <c r="G1335" s="8" t="n">
        <v>185</v>
      </c>
      <c r="H1335" s="8" t="n">
        <v>5194.795333333333</v>
      </c>
      <c r="I1335" s="4">
        <f>D1335*E1335/100+F1335*365/100+G1335</f>
        <v/>
      </c>
    </row>
    <row r="1336">
      <c r="A1336" s="2" t="inlineStr">
        <is>
          <t>1001280900LC0F0</t>
        </is>
      </c>
      <c r="B1336" s="8" t="inlineStr">
        <is>
          <t>Ecotricity</t>
        </is>
      </c>
      <c r="C1336" s="8" t="inlineStr">
        <is>
          <t>36 Month</t>
        </is>
      </c>
      <c r="D1336" s="8" t="n">
        <v>41757.55319148936</v>
      </c>
      <c r="E1336" s="8" t="n">
        <v>19.88</v>
      </c>
      <c r="F1336" s="8" t="n">
        <v>312.28</v>
      </c>
      <c r="G1336" s="8" t="n">
        <v>185</v>
      </c>
      <c r="H1336" s="8" t="n">
        <v>9626.223574468084</v>
      </c>
      <c r="I1336" s="4">
        <f>D1336*E1336/100+F1336*365/100+G1336</f>
        <v/>
      </c>
    </row>
    <row r="1337">
      <c r="A1337" s="2" t="inlineStr">
        <is>
          <t>0003140222AAD30</t>
        </is>
      </c>
      <c r="B1337" s="8" t="inlineStr">
        <is>
          <t>Ecotricity</t>
        </is>
      </c>
      <c r="C1337" s="8" t="inlineStr">
        <is>
          <t>36 Month</t>
        </is>
      </c>
      <c r="D1337" s="8" t="n">
        <v>16794.5625</v>
      </c>
      <c r="E1337" s="8" t="n">
        <v>19.88</v>
      </c>
      <c r="F1337" s="8" t="n">
        <v>73</v>
      </c>
      <c r="G1337" s="8" t="n">
        <v>185</v>
      </c>
      <c r="H1337" s="8" t="n">
        <v>3790.209025</v>
      </c>
      <c r="I1337" s="4">
        <f>D1337*E1337/100+F1337*365/100+G1337</f>
        <v/>
      </c>
    </row>
    <row r="1338">
      <c r="A1338" s="2" t="inlineStr">
        <is>
          <t>0415258065LC669</t>
        </is>
      </c>
      <c r="B1338" s="8" t="inlineStr">
        <is>
          <t>Ecotricity</t>
        </is>
      </c>
      <c r="C1338" s="8" t="inlineStr">
        <is>
          <t>36 Month</t>
        </is>
      </c>
      <c r="D1338" s="8" t="n">
        <v>23040.7328605201</v>
      </c>
      <c r="E1338" s="8" t="n">
        <v>19.88</v>
      </c>
      <c r="F1338" s="8" t="n">
        <v>312.28</v>
      </c>
      <c r="G1338" s="8" t="n">
        <v>185</v>
      </c>
      <c r="H1338" s="8" t="n">
        <v>5905.319692671395</v>
      </c>
      <c r="I1338" s="4">
        <f>D1338*E1338/100+F1338*365/100+G1338</f>
        <v/>
      </c>
    </row>
    <row r="1339">
      <c r="A1339" s="2" t="inlineStr">
        <is>
          <t>1001132596LC369</t>
        </is>
      </c>
      <c r="B1339" s="8" t="inlineStr">
        <is>
          <t>Ecotricity</t>
        </is>
      </c>
      <c r="C1339" s="8" t="inlineStr">
        <is>
          <t>36 Month</t>
        </is>
      </c>
      <c r="D1339" s="8" t="n">
        <v>6217.080378250591</v>
      </c>
      <c r="E1339" s="8" t="n">
        <v>19.88</v>
      </c>
      <c r="F1339" s="8" t="n">
        <v>312.28</v>
      </c>
      <c r="G1339" s="8" t="n">
        <v>185</v>
      </c>
      <c r="H1339" s="8" t="n">
        <v>2560.777579196218</v>
      </c>
      <c r="I1339" s="4">
        <f>D1339*E1339/100+F1339*365/100+G1339</f>
        <v/>
      </c>
    </row>
    <row r="1340">
      <c r="A1340" s="2" t="inlineStr">
        <is>
          <t>0000029575HBC93</t>
        </is>
      </c>
      <c r="B1340" s="8" t="inlineStr">
        <is>
          <t>Ecotricity</t>
        </is>
      </c>
      <c r="C1340" s="8" t="inlineStr">
        <is>
          <t>36 Month</t>
        </is>
      </c>
      <c r="D1340" s="8" t="n">
        <v>87933.14858490566</v>
      </c>
      <c r="E1340" s="8" t="n">
        <v>24.68</v>
      </c>
      <c r="F1340" s="8" t="n">
        <v>973</v>
      </c>
      <c r="G1340" s="8" t="n">
        <v>185</v>
      </c>
      <c r="H1340" s="8" t="n">
        <v>25438.35107075472</v>
      </c>
      <c r="I1340" s="4">
        <f>D1340*E1340/100+F1340*365/100+G1340</f>
        <v/>
      </c>
    </row>
    <row r="1341">
      <c r="A1341" s="2" t="inlineStr">
        <is>
          <t>0001302906EN76C</t>
        </is>
      </c>
      <c r="B1341" s="8" t="inlineStr">
        <is>
          <t>Ecotricity</t>
        </is>
      </c>
      <c r="C1341" s="8" t="inlineStr">
        <is>
          <t>36 Month</t>
        </is>
      </c>
      <c r="D1341" s="8" t="n">
        <v>116472.9669030733</v>
      </c>
      <c r="E1341" s="8" t="n">
        <v>19.88</v>
      </c>
      <c r="F1341" s="8" t="n">
        <v>3214.18</v>
      </c>
      <c r="G1341" s="8" t="n">
        <v>185</v>
      </c>
      <c r="H1341" s="8" t="n">
        <v>35071.58282033096</v>
      </c>
      <c r="I1341" s="4">
        <f>D1341*E1341/100+F1341*365/100+G1341</f>
        <v/>
      </c>
    </row>
    <row r="1342">
      <c r="A1342" s="2" t="inlineStr">
        <is>
          <t>0001302912ENCCB</t>
        </is>
      </c>
      <c r="B1342" s="8" t="inlineStr">
        <is>
          <t>Ecotricity</t>
        </is>
      </c>
      <c r="C1342" s="8" t="inlineStr">
        <is>
          <t>36 Month</t>
        </is>
      </c>
      <c r="D1342" s="8" t="n">
        <v>25629.3853427896</v>
      </c>
      <c r="E1342" s="8" t="n">
        <v>24.721152</v>
      </c>
      <c r="F1342" s="8" t="n">
        <v>403.71</v>
      </c>
      <c r="G1342" s="8" t="n">
        <v>185</v>
      </c>
      <c r="H1342" s="8" t="n">
        <v>7994.420807256738</v>
      </c>
      <c r="I1342" s="4">
        <f>D1342*E1342/100+F1342*365/100+G1342</f>
        <v/>
      </c>
    </row>
    <row r="1343">
      <c r="A1343" s="2" t="inlineStr">
        <is>
          <t>0001302909EN8B2</t>
        </is>
      </c>
      <c r="B1343" s="8" t="inlineStr">
        <is>
          <t>Ecotricity</t>
        </is>
      </c>
      <c r="C1343" s="8" t="inlineStr">
        <is>
          <t>36 Month</t>
        </is>
      </c>
      <c r="D1343" s="8" t="n">
        <v>133.8630806845966</v>
      </c>
      <c r="E1343" s="8" t="n">
        <v>24.721152</v>
      </c>
      <c r="F1343" s="8" t="n">
        <v>403.71</v>
      </c>
      <c r="G1343" s="8" t="n">
        <v>185</v>
      </c>
      <c r="H1343" s="8" t="n">
        <v>1691.633995647922</v>
      </c>
      <c r="I1343" s="4">
        <f>D1343*E1343/100+F1343*365/100+G1343</f>
        <v/>
      </c>
    </row>
    <row r="1344">
      <c r="A1344" s="2" t="inlineStr">
        <is>
          <t>0005302990ENBEF</t>
        </is>
      </c>
      <c r="B1344" s="8" t="inlineStr">
        <is>
          <t>Ecotricity</t>
        </is>
      </c>
      <c r="C1344" s="8" t="inlineStr">
        <is>
          <t>36 Month</t>
        </is>
      </c>
      <c r="D1344" s="8" t="n">
        <v>4999.228855721393</v>
      </c>
      <c r="E1344" s="8" t="n">
        <v>24.721152</v>
      </c>
      <c r="F1344" s="8" t="n">
        <v>403.71</v>
      </c>
      <c r="G1344" s="8" t="n">
        <v>185</v>
      </c>
      <c r="H1344" s="8" t="n">
        <v>2894.408464250746</v>
      </c>
      <c r="I1344" s="4">
        <f>D1344*E1344/100+F1344*365/100+G1344</f>
        <v/>
      </c>
    </row>
    <row r="1345">
      <c r="A1345" s="2" t="inlineStr">
        <is>
          <t>0000351696EN0A9</t>
        </is>
      </c>
      <c r="B1345" s="8" t="inlineStr">
        <is>
          <t>Ecotricity</t>
        </is>
      </c>
      <c r="C1345" s="8" t="inlineStr">
        <is>
          <t>36 Month</t>
        </is>
      </c>
      <c r="D1345" s="8" t="n">
        <v>200</v>
      </c>
      <c r="E1345" s="8" t="n">
        <v>24.721152</v>
      </c>
      <c r="F1345" s="8" t="n">
        <v>403.71</v>
      </c>
      <c r="G1345" s="8" t="n">
        <v>185</v>
      </c>
      <c r="H1345" s="8" t="n">
        <v>1707.983804</v>
      </c>
      <c r="I1345" s="4">
        <f>D1345*E1345/100+F1345*365/100+G1345</f>
        <v/>
      </c>
    </row>
    <row r="1346">
      <c r="A1346" s="2" t="inlineStr">
        <is>
          <t>0000351698EN332</t>
        </is>
      </c>
      <c r="B1346" s="8" t="inlineStr">
        <is>
          <t>Ecotricity</t>
        </is>
      </c>
      <c r="C1346" s="8" t="inlineStr">
        <is>
          <t>36 Month</t>
        </is>
      </c>
      <c r="D1346" s="8" t="n">
        <v>7362.127659574468</v>
      </c>
      <c r="E1346" s="8" t="n">
        <v>26.142496</v>
      </c>
      <c r="F1346" s="8" t="n">
        <v>1460.78</v>
      </c>
      <c r="G1346" s="8" t="n">
        <v>185</v>
      </c>
      <c r="H1346" s="8" t="n">
        <v>7441.490928919149</v>
      </c>
      <c r="I1346" s="4">
        <f>D1346*E1346/100+F1346*365/100+G1346</f>
        <v/>
      </c>
    </row>
    <row r="1347">
      <c r="A1347" s="2" t="inlineStr">
        <is>
          <t>0000052765HB960</t>
        </is>
      </c>
      <c r="B1347" s="8" t="inlineStr">
        <is>
          <t>Ecotricity</t>
        </is>
      </c>
      <c r="C1347" s="8" t="inlineStr">
        <is>
          <t>36 Month</t>
        </is>
      </c>
      <c r="D1347" s="8" t="n">
        <v>1946.666666666667</v>
      </c>
      <c r="E1347" s="8" t="n">
        <v>30.1406</v>
      </c>
      <c r="F1347" s="8" t="n">
        <v>223</v>
      </c>
      <c r="G1347" s="8" t="n">
        <v>185</v>
      </c>
      <c r="H1347" s="8" t="n">
        <v>1585.687013333333</v>
      </c>
      <c r="I1347" s="4">
        <f>D1347*E1347/100+F1347*365/100+G1347</f>
        <v/>
      </c>
    </row>
    <row r="1348">
      <c r="A1348" s="2" t="inlineStr">
        <is>
          <t>0004067806HB1B8</t>
        </is>
      </c>
      <c r="B1348" s="8" t="inlineStr">
        <is>
          <t>Ecotricity</t>
        </is>
      </c>
      <c r="C1348" s="8" t="inlineStr">
        <is>
          <t>36 Month</t>
        </is>
      </c>
      <c r="D1348" s="8" t="n">
        <v>5496.253164556962</v>
      </c>
      <c r="E1348" s="8" t="n">
        <v>29.58</v>
      </c>
      <c r="F1348" s="8" t="n">
        <v>283</v>
      </c>
      <c r="G1348" s="8" t="n">
        <v>185</v>
      </c>
      <c r="H1348" s="8" t="n">
        <v>2843.741686075949</v>
      </c>
      <c r="I1348" s="4">
        <f>D1348*E1348/100+F1348*365/100+G1348</f>
        <v/>
      </c>
    </row>
    <row r="1349">
      <c r="A1349" s="2" t="inlineStr">
        <is>
          <t>0000017346CEE5A</t>
        </is>
      </c>
      <c r="B1349" s="8" t="inlineStr">
        <is>
          <t>Ecotricity</t>
        </is>
      </c>
      <c r="C1349" s="8" t="inlineStr">
        <is>
          <t>36 Month</t>
        </is>
      </c>
      <c r="D1349" s="8" t="n">
        <v>7626.170212765958</v>
      </c>
      <c r="E1349" s="8" t="n">
        <v>19.88</v>
      </c>
      <c r="F1349" s="8" t="n">
        <v>75.27</v>
      </c>
      <c r="G1349" s="8" t="n">
        <v>185</v>
      </c>
      <c r="H1349" s="8" t="n">
        <v>1975.818138297872</v>
      </c>
      <c r="I1349" s="4">
        <f>D1349*E1349/100+F1349*365/100+G1349</f>
        <v/>
      </c>
    </row>
    <row r="1350">
      <c r="A1350" s="2" t="inlineStr">
        <is>
          <t>0000485414CE4EE</t>
        </is>
      </c>
      <c r="B1350" s="8" t="inlineStr">
        <is>
          <t>Ecotricity</t>
        </is>
      </c>
      <c r="C1350" s="8" t="inlineStr">
        <is>
          <t>36 Month</t>
        </is>
      </c>
      <c r="D1350" s="8" t="n">
        <v>42589.37352245863</v>
      </c>
      <c r="E1350" s="8" t="n">
        <v>19.88</v>
      </c>
      <c r="F1350" s="8" t="n">
        <v>89.34999999999999</v>
      </c>
      <c r="G1350" s="8" t="n">
        <v>185</v>
      </c>
      <c r="H1350" s="8" t="n">
        <v>8977.894956264774</v>
      </c>
      <c r="I1350" s="4">
        <f>D1350*E1350/100+F1350*365/100+G1350</f>
        <v/>
      </c>
    </row>
    <row r="1351">
      <c r="A1351" s="2" t="inlineStr">
        <is>
          <t>0000486901CE4E4</t>
        </is>
      </c>
      <c r="B1351" s="8" t="inlineStr">
        <is>
          <t>Ecotricity</t>
        </is>
      </c>
      <c r="C1351" s="8" t="inlineStr">
        <is>
          <t>36 Month</t>
        </is>
      </c>
      <c r="D1351" s="8" t="n">
        <v>115651.5011820331</v>
      </c>
      <c r="E1351" s="8" t="n">
        <v>19.88</v>
      </c>
      <c r="F1351" s="8" t="n">
        <v>186.74</v>
      </c>
      <c r="G1351" s="8" t="n">
        <v>185</v>
      </c>
      <c r="H1351" s="8" t="n">
        <v>23858.11943498818</v>
      </c>
      <c r="I1351" s="4">
        <f>D1351*E1351/100+F1351*365/100+G1351</f>
        <v/>
      </c>
    </row>
    <row r="1352">
      <c r="A1352" s="2" t="inlineStr">
        <is>
          <t>0001702030PCB8A</t>
        </is>
      </c>
      <c r="B1352" s="8" t="inlineStr">
        <is>
          <t>Ecotricity</t>
        </is>
      </c>
      <c r="C1352" s="8" t="inlineStr">
        <is>
          <t>36 Month</t>
        </is>
      </c>
      <c r="D1352" s="8" t="n">
        <v>5360.236406619386</v>
      </c>
      <c r="E1352" s="8" t="n">
        <v>29.757872</v>
      </c>
      <c r="F1352" s="8" t="n">
        <v>221</v>
      </c>
      <c r="G1352" s="8" t="n">
        <v>185</v>
      </c>
      <c r="H1352" s="8" t="n">
        <v>2586.742288779196</v>
      </c>
      <c r="I1352" s="4">
        <f>D1352*E1352/100+F1352*365/100+G1352</f>
        <v/>
      </c>
    </row>
    <row r="1353">
      <c r="A1353" s="2" t="inlineStr">
        <is>
          <t>0083973001PC01D</t>
        </is>
      </c>
      <c r="B1353" s="8" t="inlineStr">
        <is>
          <t>Ecotricity</t>
        </is>
      </c>
      <c r="C1353" s="8" t="inlineStr">
        <is>
          <t>36 Month</t>
        </is>
      </c>
      <c r="D1353" s="8" t="n">
        <v>5130.709219858156</v>
      </c>
      <c r="E1353" s="8" t="n">
        <v>29.757872</v>
      </c>
      <c r="F1353" s="8" t="n">
        <v>221</v>
      </c>
      <c r="G1353" s="8" t="n">
        <v>185</v>
      </c>
      <c r="H1353" s="8" t="n">
        <v>2518.439882337589</v>
      </c>
      <c r="I1353" s="4">
        <f>D1353*E1353/100+F1353*365/100+G1353</f>
        <v/>
      </c>
    </row>
    <row r="1354">
      <c r="A1354" s="2" t="inlineStr">
        <is>
          <t>0011007482PC51C</t>
        </is>
      </c>
      <c r="B1354" s="8" t="inlineStr">
        <is>
          <t>Ecotricity</t>
        </is>
      </c>
      <c r="C1354" s="8" t="inlineStr">
        <is>
          <t>36 Month</t>
        </is>
      </c>
      <c r="D1354" s="8" t="n">
        <v>1429.799054373522</v>
      </c>
      <c r="E1354" s="8" t="n">
        <v>29.757872</v>
      </c>
      <c r="F1354" s="8" t="n">
        <v>221</v>
      </c>
      <c r="G1354" s="8" t="n">
        <v>185</v>
      </c>
      <c r="H1354" s="8" t="n">
        <v>1417.127772457683</v>
      </c>
      <c r="I1354" s="4">
        <f>D1354*E1354/100+F1354*365/100+G1354</f>
        <v/>
      </c>
    </row>
    <row r="1355">
      <c r="A1355" s="2" t="inlineStr">
        <is>
          <t>0001430880PC7ED</t>
        </is>
      </c>
      <c r="B1355" s="8" t="inlineStr">
        <is>
          <t>Ecotricity</t>
        </is>
      </c>
      <c r="C1355" s="8" t="inlineStr">
        <is>
          <t>36 Month</t>
        </is>
      </c>
      <c r="D1355" s="8" t="n">
        <v>12587.75413711584</v>
      </c>
      <c r="E1355" s="8" t="n">
        <v>29.757872</v>
      </c>
      <c r="F1355" s="8" t="n">
        <v>221</v>
      </c>
      <c r="G1355" s="8" t="n">
        <v>185</v>
      </c>
      <c r="H1355" s="8" t="n">
        <v>4737.497763797635</v>
      </c>
      <c r="I1355" s="4">
        <f>D1355*E1355/100+F1355*365/100+G1355</f>
        <v/>
      </c>
    </row>
    <row r="1356">
      <c r="A1356" s="2" t="inlineStr">
        <is>
          <t>0001931780PCFE0</t>
        </is>
      </c>
      <c r="B1356" s="8" t="inlineStr">
        <is>
          <t>Ecotricity</t>
        </is>
      </c>
      <c r="C1356" s="8" t="inlineStr">
        <is>
          <t>36 Month</t>
        </is>
      </c>
      <c r="D1356" s="8" t="n">
        <v>6525.992907801419</v>
      </c>
      <c r="E1356" s="8" t="n">
        <v>29.757872</v>
      </c>
      <c r="F1356" s="8" t="n">
        <v>221</v>
      </c>
      <c r="G1356" s="8" t="n">
        <v>185</v>
      </c>
      <c r="H1356" s="8" t="n">
        <v>2933.646616232624</v>
      </c>
      <c r="I1356" s="4">
        <f>D1356*E1356/100+F1356*365/100+G1356</f>
        <v/>
      </c>
    </row>
    <row r="1357">
      <c r="A1357" s="2" t="inlineStr">
        <is>
          <t>0088934400PC1B1</t>
        </is>
      </c>
      <c r="B1357" s="8" t="inlineStr">
        <is>
          <t>Ecotricity</t>
        </is>
      </c>
      <c r="C1357" s="8" t="inlineStr">
        <is>
          <t>36 Month</t>
        </is>
      </c>
      <c r="D1357" s="8" t="n">
        <v>3280.067567567567</v>
      </c>
      <c r="E1357" s="8" t="n">
        <v>32.397872</v>
      </c>
      <c r="F1357" s="8" t="n">
        <v>163</v>
      </c>
      <c r="G1357" s="8" t="n">
        <v>185</v>
      </c>
      <c r="H1357" s="8" t="n">
        <v>1842.622092054054</v>
      </c>
      <c r="I1357" s="4">
        <f>D1357*E1357/100+F1357*365/100+G1357</f>
        <v/>
      </c>
    </row>
    <row r="1358">
      <c r="A1358" s="2" t="inlineStr">
        <is>
          <t>0088938701PC577</t>
        </is>
      </c>
      <c r="B1358" s="8" t="inlineStr">
        <is>
          <t>Ecotricity</t>
        </is>
      </c>
      <c r="C1358" s="8" t="inlineStr">
        <is>
          <t>36 Month</t>
        </is>
      </c>
      <c r="D1358" s="8" t="n">
        <v>6889.491094147583</v>
      </c>
      <c r="E1358" s="8" t="n">
        <v>29.757872</v>
      </c>
      <c r="F1358" s="8" t="n">
        <v>221</v>
      </c>
      <c r="G1358" s="8" t="n">
        <v>185</v>
      </c>
      <c r="H1358" s="8" t="n">
        <v>3041.815941247837</v>
      </c>
      <c r="I1358" s="4">
        <f>D1358*E1358/100+F1358*365/100+G1358</f>
        <v/>
      </c>
    </row>
    <row r="1359">
      <c r="A1359" s="2" t="inlineStr">
        <is>
          <t>0042251303PCE11</t>
        </is>
      </c>
      <c r="B1359" s="8" t="inlineStr">
        <is>
          <t>Ecotricity</t>
        </is>
      </c>
      <c r="C1359" s="8" t="inlineStr">
        <is>
          <t>36 Month</t>
        </is>
      </c>
      <c r="D1359" s="8" t="n">
        <v>6695.981087470449</v>
      </c>
      <c r="E1359" s="8" t="n">
        <v>32.676128</v>
      </c>
      <c r="F1359" s="8" t="n">
        <v>248</v>
      </c>
      <c r="G1359" s="8" t="n">
        <v>185</v>
      </c>
      <c r="H1359" s="8" t="n">
        <v>3278.187350997636</v>
      </c>
      <c r="I1359" s="4">
        <f>D1359*E1359/100+F1359*365/100+G1359</f>
        <v/>
      </c>
    </row>
    <row r="1360">
      <c r="A1360" s="2" t="inlineStr">
        <is>
          <t>0011006852PC5F2</t>
        </is>
      </c>
      <c r="B1360" s="8" t="inlineStr">
        <is>
          <t>Ecotricity</t>
        </is>
      </c>
      <c r="C1360" s="8" t="inlineStr">
        <is>
          <t>36 Month</t>
        </is>
      </c>
      <c r="D1360" s="8" t="n">
        <v>4443.853427895981</v>
      </c>
      <c r="E1360" s="8" t="n">
        <v>29.757872</v>
      </c>
      <c r="F1360" s="8" t="n">
        <v>221</v>
      </c>
      <c r="G1360" s="8" t="n">
        <v>185</v>
      </c>
      <c r="H1360" s="8" t="n">
        <v>2314.046214940898</v>
      </c>
      <c r="I1360" s="4">
        <f>D1360*E1360/100+F1360*365/100+G1360</f>
        <v/>
      </c>
    </row>
    <row r="1361">
      <c r="A1361" s="2" t="inlineStr">
        <is>
          <t>0011001339PC3B8</t>
        </is>
      </c>
      <c r="B1361" s="8" t="inlineStr">
        <is>
          <t>Ecotricity</t>
        </is>
      </c>
      <c r="C1361" s="8" t="inlineStr">
        <is>
          <t>36 Month</t>
        </is>
      </c>
      <c r="D1361" s="8" t="n">
        <v>11327.47863247863</v>
      </c>
      <c r="E1361" s="8" t="n">
        <v>29.757872</v>
      </c>
      <c r="F1361" s="8" t="n">
        <v>221</v>
      </c>
      <c r="G1361" s="8" t="n">
        <v>185</v>
      </c>
      <c r="H1361" s="8" t="n">
        <v>4362.466592280342</v>
      </c>
      <c r="I1361" s="4">
        <f>D1361*E1361/100+F1361*365/100+G1361</f>
        <v/>
      </c>
    </row>
    <row r="1362">
      <c r="A1362" s="2" t="inlineStr">
        <is>
          <t>0011006140PC6D3</t>
        </is>
      </c>
      <c r="B1362" s="8" t="inlineStr">
        <is>
          <t>Ecotricity</t>
        </is>
      </c>
      <c r="C1362" s="8" t="inlineStr">
        <is>
          <t>36 Month</t>
        </is>
      </c>
      <c r="D1362" s="8" t="n">
        <v>14493.86524822695</v>
      </c>
      <c r="E1362" s="8" t="n">
        <v>29.757872</v>
      </c>
      <c r="F1362" s="8" t="n">
        <v>221</v>
      </c>
      <c r="G1362" s="8" t="n">
        <v>185</v>
      </c>
      <c r="H1362" s="8" t="n">
        <v>5304.715868419858</v>
      </c>
      <c r="I1362" s="4">
        <f>D1362*E1362/100+F1362*365/100+G1362</f>
        <v/>
      </c>
    </row>
    <row r="1363">
      <c r="A1363" s="2" t="inlineStr">
        <is>
          <t>0088966150PCC88</t>
        </is>
      </c>
      <c r="B1363" s="8" t="inlineStr">
        <is>
          <t>Ecotricity</t>
        </is>
      </c>
      <c r="C1363" s="8" t="inlineStr">
        <is>
          <t>36 Month</t>
        </is>
      </c>
      <c r="D1363" s="8" t="n">
        <v>6374.767441860466</v>
      </c>
      <c r="E1363" s="8" t="n">
        <v>32.397872</v>
      </c>
      <c r="F1363" s="8" t="n">
        <v>163</v>
      </c>
      <c r="G1363" s="8" t="n">
        <v>185</v>
      </c>
      <c r="H1363" s="8" t="n">
        <v>2845.238996111628</v>
      </c>
      <c r="I1363" s="4">
        <f>D1363*E1363/100+F1363*365/100+G1363</f>
        <v/>
      </c>
    </row>
    <row r="1364">
      <c r="A1364" s="2" t="inlineStr">
        <is>
          <t>0088910501PCBBD</t>
        </is>
      </c>
      <c r="B1364" s="8" t="inlineStr">
        <is>
          <t>Ecotricity</t>
        </is>
      </c>
      <c r="C1364" s="8" t="inlineStr">
        <is>
          <t>36 Month</t>
        </is>
      </c>
      <c r="D1364" s="8" t="n">
        <v>8801.418439716312</v>
      </c>
      <c r="E1364" s="8" t="n">
        <v>29.757872</v>
      </c>
      <c r="F1364" s="8" t="n">
        <v>221</v>
      </c>
      <c r="G1364" s="8" t="n">
        <v>185</v>
      </c>
      <c r="H1364" s="8" t="n">
        <v>3610.764833475177</v>
      </c>
      <c r="I1364" s="4">
        <f>D1364*E1364/100+F1364*365/100+G1364</f>
        <v/>
      </c>
    </row>
    <row r="1365">
      <c r="A1365" s="2" t="inlineStr">
        <is>
          <t>0080011664PC16A</t>
        </is>
      </c>
      <c r="B1365" s="8" t="inlineStr">
        <is>
          <t>Ecotricity</t>
        </is>
      </c>
      <c r="C1365" s="8" t="inlineStr">
        <is>
          <t>36 Month</t>
        </is>
      </c>
      <c r="D1365" s="8" t="n">
        <v>5957.352245862885</v>
      </c>
      <c r="E1365" s="8" t="n">
        <v>29.757872</v>
      </c>
      <c r="F1365" s="8" t="n">
        <v>221</v>
      </c>
      <c r="G1365" s="8" t="n">
        <v>185</v>
      </c>
      <c r="H1365" s="8" t="n">
        <v>2764.431255913003</v>
      </c>
      <c r="I1365" s="4">
        <f>D1365*E1365/100+F1365*365/100+G1365</f>
        <v/>
      </c>
    </row>
    <row r="1366">
      <c r="A1366" s="2" t="inlineStr">
        <is>
          <t>0080012802PCBFE</t>
        </is>
      </c>
      <c r="B1366" s="8" t="inlineStr">
        <is>
          <t>Ecotricity</t>
        </is>
      </c>
      <c r="C1366" s="8" t="inlineStr">
        <is>
          <t>36 Month</t>
        </is>
      </c>
      <c r="D1366" s="8" t="n">
        <v>6712.375886524823</v>
      </c>
      <c r="E1366" s="8" t="n">
        <v>29.757872</v>
      </c>
      <c r="F1366" s="8" t="n">
        <v>221</v>
      </c>
      <c r="G1366" s="8" t="n">
        <v>185</v>
      </c>
      <c r="H1366" s="8" t="n">
        <v>2989.110224470922</v>
      </c>
      <c r="I1366" s="4">
        <f>D1366*E1366/100+F1366*365/100+G1366</f>
        <v/>
      </c>
    </row>
    <row r="1367">
      <c r="A1367" s="2" t="inlineStr">
        <is>
          <t>0083634200PC7D0</t>
        </is>
      </c>
      <c r="B1367" s="8" t="inlineStr">
        <is>
          <t>Ecotricity</t>
        </is>
      </c>
      <c r="C1367" s="8" t="inlineStr">
        <is>
          <t>36 Month</t>
        </is>
      </c>
      <c r="D1367" s="8" t="n">
        <v>1.852791878172589</v>
      </c>
      <c r="E1367" s="8" t="n">
        <v>29.757872</v>
      </c>
      <c r="F1367" s="8" t="n">
        <v>221</v>
      </c>
      <c r="G1367" s="8" t="n">
        <v>185</v>
      </c>
      <c r="H1367" s="8" t="n">
        <v>992.201351435533</v>
      </c>
      <c r="I1367" s="4">
        <f>D1367*E1367/100+F1367*365/100+G1367</f>
        <v/>
      </c>
    </row>
    <row r="1368">
      <c r="A1368" s="2" t="inlineStr">
        <is>
          <t>0001001775PCC89</t>
        </is>
      </c>
      <c r="B1368" s="8" t="inlineStr">
        <is>
          <t>Ecotricity</t>
        </is>
      </c>
      <c r="C1368" s="8" t="inlineStr">
        <is>
          <t>36 Month</t>
        </is>
      </c>
      <c r="D1368" s="8" t="n">
        <v>164843.4959349594</v>
      </c>
      <c r="E1368" s="8" t="n">
        <v>29.757872</v>
      </c>
      <c r="F1368" s="8" t="n">
        <v>304.57</v>
      </c>
      <c r="G1368" s="8" t="n">
        <v>185</v>
      </c>
      <c r="H1368" s="8" t="n">
        <v>50350.59702065041</v>
      </c>
      <c r="I1368" s="4">
        <f>D1368*E1368/100+F1368*365/100+G1368</f>
        <v/>
      </c>
    </row>
    <row r="1369">
      <c r="A1369" s="2" t="inlineStr">
        <is>
          <t>0001742361PC751</t>
        </is>
      </c>
      <c r="B1369" s="8" t="inlineStr">
        <is>
          <t>Ecotricity</t>
        </is>
      </c>
      <c r="C1369" s="8" t="inlineStr">
        <is>
          <t>36 Month</t>
        </is>
      </c>
      <c r="D1369" s="8" t="n">
        <v>511831.8203309693</v>
      </c>
      <c r="E1369" s="8" t="n">
        <v>29.757872</v>
      </c>
      <c r="F1369" s="8" t="n">
        <v>304.57</v>
      </c>
      <c r="G1369" s="8" t="n">
        <v>185</v>
      </c>
      <c r="H1369" s="8" t="n">
        <v>153606.9384493598</v>
      </c>
      <c r="I1369" s="4">
        <f>D1369*E1369/100+F1369*365/100+G1369</f>
        <v/>
      </c>
    </row>
    <row r="1370">
      <c r="A1370" s="2" t="inlineStr">
        <is>
          <t>0001740830PC352</t>
        </is>
      </c>
      <c r="B1370" s="8" t="inlineStr">
        <is>
          <t>Ecotricity</t>
        </is>
      </c>
      <c r="C1370" s="8" t="inlineStr">
        <is>
          <t>36 Month</t>
        </is>
      </c>
      <c r="D1370" s="8" t="n">
        <v>6272.236842105263</v>
      </c>
      <c r="E1370" s="8" t="n">
        <v>29.757872</v>
      </c>
      <c r="F1370" s="8" t="n">
        <v>221</v>
      </c>
      <c r="G1370" s="8" t="n">
        <v>185</v>
      </c>
      <c r="H1370" s="8" t="n">
        <v>2858.134211010527</v>
      </c>
      <c r="I1370" s="4">
        <f>D1370*E1370/100+F1370*365/100+G1370</f>
        <v/>
      </c>
    </row>
    <row r="1371">
      <c r="A1371" s="2" t="inlineStr">
        <is>
          <t>0047123930PCE3C</t>
        </is>
      </c>
      <c r="B1371" s="8" t="inlineStr">
        <is>
          <t>Ecotricity</t>
        </is>
      </c>
      <c r="C1371" s="8" t="inlineStr">
        <is>
          <t>36 Month</t>
        </is>
      </c>
      <c r="D1371" s="8" t="n">
        <v>26887.47044917258</v>
      </c>
      <c r="E1371" s="8" t="n">
        <v>32.676128</v>
      </c>
      <c r="F1371" s="8" t="n">
        <v>248</v>
      </c>
      <c r="G1371" s="8" t="n">
        <v>185</v>
      </c>
      <c r="H1371" s="8" t="n">
        <v>9875.984259933806</v>
      </c>
      <c r="I1371" s="4">
        <f>D1371*E1371/100+F1371*365/100+G1371</f>
        <v/>
      </c>
    </row>
    <row r="1372">
      <c r="A1372" s="2" t="inlineStr">
        <is>
          <t>0000041352NT1D5</t>
        </is>
      </c>
      <c r="B1372" s="8" t="inlineStr">
        <is>
          <t>Ecotricity</t>
        </is>
      </c>
      <c r="C1372" s="8" t="inlineStr">
        <is>
          <t>36 Month</t>
        </is>
      </c>
      <c r="D1372" s="8" t="n">
        <v>21216.59574468085</v>
      </c>
      <c r="E1372" s="8" t="n">
        <v>19.88</v>
      </c>
      <c r="F1372" s="8" t="n">
        <v>73</v>
      </c>
      <c r="G1372" s="8" t="n">
        <v>185</v>
      </c>
      <c r="H1372" s="8" t="n">
        <v>4669.309234042553</v>
      </c>
      <c r="I1372" s="4">
        <f>D1372*E1372/100+F1372*365/100+G1372</f>
        <v/>
      </c>
    </row>
    <row r="1373">
      <c r="A1373" s="2" t="inlineStr">
        <is>
          <t>0001129467MLF12</t>
        </is>
      </c>
      <c r="B1373" s="8" t="inlineStr">
        <is>
          <t>Ecotricity</t>
        </is>
      </c>
      <c r="C1373" s="8" t="inlineStr">
        <is>
          <t>36 Month</t>
        </is>
      </c>
      <c r="D1373" s="8" t="n">
        <v>452.1513002364066</v>
      </c>
      <c r="E1373" s="8" t="n">
        <v>22.881392</v>
      </c>
      <c r="F1373" s="8" t="n">
        <v>468</v>
      </c>
      <c r="G1373" s="8" t="n">
        <v>185</v>
      </c>
      <c r="H1373" s="8" t="n">
        <v>1996.658511440189</v>
      </c>
      <c r="I1373" s="4">
        <f>D1373*E1373/100+F1373*365/100+G1373</f>
        <v/>
      </c>
    </row>
    <row r="1374">
      <c r="A1374" s="2" t="inlineStr">
        <is>
          <t>0000922160TUF69</t>
        </is>
      </c>
      <c r="B1374" s="8" t="inlineStr">
        <is>
          <t>Ecotricity</t>
        </is>
      </c>
      <c r="C1374" s="8" t="inlineStr">
        <is>
          <t>36 Month</t>
        </is>
      </c>
      <c r="D1374" s="8" t="n">
        <v>4472.328605200945</v>
      </c>
      <c r="E1374" s="8" t="n">
        <v>27.263952</v>
      </c>
      <c r="F1374" s="8" t="n">
        <v>237</v>
      </c>
      <c r="G1374" s="8" t="n">
        <v>185</v>
      </c>
      <c r="H1374" s="8" t="n">
        <v>2269.383524204255</v>
      </c>
      <c r="I1374" s="4">
        <f>D1374*E1374/100+F1374*365/100+G1374</f>
        <v/>
      </c>
    </row>
    <row r="1375">
      <c r="A1375" s="2" t="inlineStr">
        <is>
          <t>0006725275TUA67</t>
        </is>
      </c>
      <c r="B1375" s="8" t="inlineStr">
        <is>
          <t>Ecotricity</t>
        </is>
      </c>
      <c r="C1375" s="8" t="inlineStr">
        <is>
          <t>36 Month</t>
        </is>
      </c>
      <c r="D1375" s="8" t="n">
        <v>1801.138014527845</v>
      </c>
      <c r="E1375" s="8" t="n">
        <v>24.48</v>
      </c>
      <c r="F1375" s="8" t="n">
        <v>913</v>
      </c>
      <c r="G1375" s="8" t="n">
        <v>185</v>
      </c>
      <c r="H1375" s="8" t="n">
        <v>3958.368585956416</v>
      </c>
      <c r="I1375" s="4">
        <f>D1375*E1375/100+F1375*365/100+G1375</f>
        <v/>
      </c>
    </row>
    <row r="1376">
      <c r="A1376" s="2" t="inlineStr">
        <is>
          <t>0000968029TUF4C</t>
        </is>
      </c>
      <c r="B1376" s="8" t="inlineStr">
        <is>
          <t>Ecotricity</t>
        </is>
      </c>
      <c r="C1376" s="8" t="inlineStr">
        <is>
          <t>36 Month</t>
        </is>
      </c>
      <c r="D1376" s="8" t="n">
        <v>12055.60532687651</v>
      </c>
      <c r="E1376" s="8" t="n">
        <v>24.48</v>
      </c>
      <c r="F1376" s="8" t="n">
        <v>913</v>
      </c>
      <c r="G1376" s="8" t="n">
        <v>185</v>
      </c>
      <c r="H1376" s="8" t="n">
        <v>6468.662184019369</v>
      </c>
      <c r="I1376" s="4">
        <f>D1376*E1376/100+F1376*365/100+G1376</f>
        <v/>
      </c>
    </row>
    <row r="1377">
      <c r="A1377" s="2" t="inlineStr">
        <is>
          <t>0000935815TU2F3</t>
        </is>
      </c>
      <c r="B1377" s="8" t="inlineStr">
        <is>
          <t>Ecotricity</t>
        </is>
      </c>
      <c r="C1377" s="8" t="inlineStr">
        <is>
          <t>36 Month</t>
        </is>
      </c>
      <c r="D1377" s="8" t="n">
        <v>3084.838709677419</v>
      </c>
      <c r="E1377" s="8" t="n">
        <v>27.263952</v>
      </c>
      <c r="F1377" s="8" t="n">
        <v>237</v>
      </c>
      <c r="G1377" s="8" t="n">
        <v>185</v>
      </c>
      <c r="H1377" s="8" t="n">
        <v>1891.098945083871</v>
      </c>
      <c r="I1377" s="4">
        <f>D1377*E1377/100+F1377*365/100+G1377</f>
        <v/>
      </c>
    </row>
    <row r="1378">
      <c r="A1378" s="2" t="inlineStr">
        <is>
          <t>1000524774PC904</t>
        </is>
      </c>
      <c r="B1378" s="8" t="inlineStr">
        <is>
          <t>Ecotricity</t>
        </is>
      </c>
      <c r="C1378" s="8" t="inlineStr">
        <is>
          <t>36 Month</t>
        </is>
      </c>
      <c r="D1378" s="8" t="n">
        <v>150976.2529550827</v>
      </c>
      <c r="E1378" s="8" t="n">
        <v>26.028272</v>
      </c>
      <c r="F1378" s="8" t="n">
        <v>3338.36</v>
      </c>
      <c r="G1378" s="8" t="n">
        <v>185</v>
      </c>
      <c r="H1378" s="8" t="n">
        <v>51666.52377455698</v>
      </c>
      <c r="I1378" s="4">
        <f>D1378*E1378/100+F1378*365/100+G1378</f>
        <v/>
      </c>
    </row>
    <row r="1379">
      <c r="A1379" s="2" t="inlineStr">
        <is>
          <t>1000566966PCDF2</t>
        </is>
      </c>
      <c r="B1379" s="8" t="inlineStr">
        <is>
          <t>Ecotricity</t>
        </is>
      </c>
      <c r="C1379" s="8" t="inlineStr">
        <is>
          <t>36 Month</t>
        </is>
      </c>
      <c r="D1379" s="8" t="n">
        <v>2445.261437908497</v>
      </c>
      <c r="E1379" s="8" t="n">
        <v>30.633952</v>
      </c>
      <c r="F1379" s="8" t="n">
        <v>163</v>
      </c>
      <c r="G1379" s="8" t="n">
        <v>185</v>
      </c>
      <c r="H1379" s="8" t="n">
        <v>1529.030215163399</v>
      </c>
      <c r="I1379" s="4">
        <f>D1379*E1379/100+F1379*365/100+G1379</f>
        <v/>
      </c>
    </row>
    <row r="1380">
      <c r="A1380" s="2" t="inlineStr">
        <is>
          <t>0000933506TU456</t>
        </is>
      </c>
      <c r="B1380" s="8" t="inlineStr">
        <is>
          <t>Ecotricity</t>
        </is>
      </c>
      <c r="C1380" s="8" t="inlineStr">
        <is>
          <t>36 Month</t>
        </is>
      </c>
      <c r="D1380" s="8" t="n">
        <v>7981.678486997636</v>
      </c>
      <c r="E1380" s="8" t="n">
        <v>27.263952</v>
      </c>
      <c r="F1380" s="8" t="n">
        <v>237</v>
      </c>
      <c r="G1380" s="8" t="n">
        <v>185</v>
      </c>
      <c r="H1380" s="8" t="n">
        <v>3226.170991489362</v>
      </c>
      <c r="I1380" s="4">
        <f>D1380*E1380/100+F1380*365/100+G1380</f>
        <v/>
      </c>
    </row>
    <row r="1381">
      <c r="A1381" s="2" t="inlineStr">
        <is>
          <t>1000620792PC805</t>
        </is>
      </c>
      <c r="B1381" s="8" t="inlineStr">
        <is>
          <t>Ecotricity</t>
        </is>
      </c>
      <c r="C1381" s="8" t="inlineStr">
        <is>
          <t>36 Month</t>
        </is>
      </c>
      <c r="D1381" s="8" t="n">
        <v>26418.9243498818</v>
      </c>
      <c r="E1381" s="8" t="n">
        <v>27.263952</v>
      </c>
      <c r="F1381" s="8" t="n">
        <v>237</v>
      </c>
      <c r="G1381" s="8" t="n">
        <v>185</v>
      </c>
      <c r="H1381" s="8" t="n">
        <v>8252.892853668085</v>
      </c>
      <c r="I1381" s="4">
        <f>D1381*E1381/100+F1381*365/100+G1381</f>
        <v/>
      </c>
    </row>
    <row r="1382">
      <c r="A1382" s="2" t="inlineStr">
        <is>
          <t>0007114916TUD0B</t>
        </is>
      </c>
      <c r="B1382" s="8" t="inlineStr">
        <is>
          <t>Ecotricity</t>
        </is>
      </c>
      <c r="C1382" s="8" t="inlineStr">
        <is>
          <t>36 Month</t>
        </is>
      </c>
      <c r="D1382" s="8" t="n">
        <v>6357.730496453901</v>
      </c>
      <c r="E1382" s="8" t="n">
        <v>28.81616</v>
      </c>
      <c r="F1382" s="8" t="n">
        <v>283</v>
      </c>
      <c r="G1382" s="8" t="n">
        <v>185</v>
      </c>
      <c r="H1382" s="8" t="n">
        <v>3050.00379222695</v>
      </c>
      <c r="I1382" s="4">
        <f>D1382*E1382/100+F1382*365/100+G1382</f>
        <v/>
      </c>
    </row>
    <row r="1383">
      <c r="A1383" s="2" t="inlineStr">
        <is>
          <t>1000025462BP9A6</t>
        </is>
      </c>
      <c r="B1383" s="8" t="inlineStr">
        <is>
          <t>Ecotricity</t>
        </is>
      </c>
      <c r="C1383" s="8" t="inlineStr">
        <is>
          <t>36 Month</t>
        </is>
      </c>
      <c r="D1383" s="8" t="n">
        <v>2634.385342789598</v>
      </c>
      <c r="E1383" s="8" t="n">
        <v>25.2148328</v>
      </c>
      <c r="F1383" s="8" t="n">
        <v>280.512</v>
      </c>
      <c r="G1383" s="8" t="n">
        <v>185</v>
      </c>
      <c r="H1383" s="8" t="n">
        <v>1873.124659492104</v>
      </c>
      <c r="I1383" s="4">
        <f>D1383*E1383/100+F1383*365/100+G1383</f>
        <v/>
      </c>
    </row>
    <row r="1384">
      <c r="A1384" s="2" t="inlineStr">
        <is>
          <t>1000619535PCA5B</t>
        </is>
      </c>
      <c r="B1384" s="8" t="inlineStr">
        <is>
          <t>Ecotricity</t>
        </is>
      </c>
      <c r="C1384" s="8" t="inlineStr">
        <is>
          <t>36 Month</t>
        </is>
      </c>
      <c r="D1384" s="8" t="n">
        <v>5826.792763157895</v>
      </c>
      <c r="E1384" s="8" t="n">
        <v>27.263952</v>
      </c>
      <c r="F1384" s="8" t="n">
        <v>237</v>
      </c>
      <c r="G1384" s="8" t="n">
        <v>185</v>
      </c>
      <c r="H1384" s="8" t="n">
        <v>2638.663982086842</v>
      </c>
      <c r="I1384" s="4">
        <f>D1384*E1384/100+F1384*365/100+G1384</f>
        <v/>
      </c>
    </row>
    <row r="1385">
      <c r="A1385" s="2" t="inlineStr">
        <is>
          <t>0000050496WT310</t>
        </is>
      </c>
      <c r="B1385" s="8" t="inlineStr">
        <is>
          <t>Ecotricity</t>
        </is>
      </c>
      <c r="C1385" s="8" t="inlineStr">
        <is>
          <t>36 Month</t>
        </is>
      </c>
      <c r="D1385" s="8" t="n">
        <v>2658.152173913043</v>
      </c>
      <c r="E1385" s="8" t="n">
        <v>22.5900808</v>
      </c>
      <c r="F1385" s="8" t="n">
        <v>470.3</v>
      </c>
      <c r="G1385" s="8" t="n">
        <v>185</v>
      </c>
      <c r="H1385" s="8" t="n">
        <v>2502.073723873913</v>
      </c>
      <c r="I1385" s="4">
        <f>D1385*E1385/100+F1385*365/100+G1385</f>
        <v/>
      </c>
    </row>
    <row r="1386">
      <c r="A1386" s="2" t="inlineStr">
        <is>
          <t>0007392206ALC3A</t>
        </is>
      </c>
      <c r="B1386" s="8" t="inlineStr">
        <is>
          <t>Ecotricity</t>
        </is>
      </c>
      <c r="C1386" s="8" t="inlineStr">
        <is>
          <t>36 Month</t>
        </is>
      </c>
      <c r="D1386" s="8" t="n">
        <v>13291.86761229314</v>
      </c>
      <c r="E1386" s="8" t="n">
        <v>21.582943</v>
      </c>
      <c r="F1386" s="8" t="n">
        <v>1326.9</v>
      </c>
      <c r="G1386" s="8" t="n">
        <v>185</v>
      </c>
      <c r="H1386" s="8" t="n">
        <v>7896.96121039669</v>
      </c>
      <c r="I1386" s="4">
        <f>D1386*E1386/100+F1386*365/100+G1386</f>
        <v/>
      </c>
    </row>
    <row r="1387">
      <c r="A1387" s="2" t="inlineStr">
        <is>
          <t>0000584375WTD6A</t>
        </is>
      </c>
      <c r="B1387" s="8" t="inlineStr">
        <is>
          <t>Ecotricity</t>
        </is>
      </c>
      <c r="C1387" s="8" t="inlineStr">
        <is>
          <t>36 Month</t>
        </is>
      </c>
      <c r="D1387" s="8" t="n">
        <v>1597.443890274314</v>
      </c>
      <c r="E1387" s="8" t="n">
        <v>22.5900808</v>
      </c>
      <c r="F1387" s="8" t="n">
        <v>738.48</v>
      </c>
      <c r="G1387" s="8" t="n">
        <v>185</v>
      </c>
      <c r="H1387" s="8" t="n">
        <v>3241.315865547631</v>
      </c>
      <c r="I1387" s="4">
        <f>D1387*E1387/100+F1387*365/100+G1387</f>
        <v/>
      </c>
    </row>
    <row r="1388">
      <c r="A1388" s="2" t="inlineStr">
        <is>
          <t>0000312551WT450</t>
        </is>
      </c>
      <c r="B1388" s="8" t="inlineStr">
        <is>
          <t>Ecotricity</t>
        </is>
      </c>
      <c r="C1388" s="8" t="inlineStr">
        <is>
          <t>36 Month</t>
        </is>
      </c>
      <c r="D1388" s="8" t="n">
        <v>15185.03546099291</v>
      </c>
      <c r="E1388" s="8" t="n">
        <v>22.5900808</v>
      </c>
      <c r="F1388" s="8" t="n">
        <v>470.3</v>
      </c>
      <c r="G1388" s="8" t="n">
        <v>185</v>
      </c>
      <c r="H1388" s="8" t="n">
        <v>5331.90678014695</v>
      </c>
      <c r="I1388" s="4">
        <f>D1388*E1388/100+F1388*365/100+G1388</f>
        <v/>
      </c>
    </row>
    <row r="1389">
      <c r="A1389" s="2" t="inlineStr">
        <is>
          <t>0004670663ALAA1</t>
        </is>
      </c>
      <c r="B1389" s="8" t="inlineStr">
        <is>
          <t>Ecotricity</t>
        </is>
      </c>
      <c r="C1389" s="8" t="inlineStr">
        <is>
          <t>36 Month</t>
        </is>
      </c>
      <c r="D1389" s="8" t="n">
        <v>66562.80722891566</v>
      </c>
      <c r="E1389" s="8" t="n">
        <v>21.582943</v>
      </c>
      <c r="F1389" s="8" t="n">
        <v>1202.81</v>
      </c>
      <c r="G1389" s="8" t="n">
        <v>185</v>
      </c>
      <c r="H1389" s="8" t="n">
        <v>18941.46924341674</v>
      </c>
      <c r="I1389" s="4">
        <f>D1389*E1389/100+F1389*365/100+G1389</f>
        <v/>
      </c>
    </row>
    <row r="1390">
      <c r="A1390" s="2" t="inlineStr">
        <is>
          <t>0000967277TU7B8</t>
        </is>
      </c>
      <c r="B1390" s="8" t="inlineStr">
        <is>
          <t>Ecotricity</t>
        </is>
      </c>
      <c r="C1390" s="8" t="inlineStr">
        <is>
          <t>36 Month</t>
        </is>
      </c>
      <c r="D1390" s="8" t="n">
        <v>24502.45862884161</v>
      </c>
      <c r="E1390" s="8" t="n">
        <v>24.48</v>
      </c>
      <c r="F1390" s="8" t="n">
        <v>913</v>
      </c>
      <c r="G1390" s="8" t="n">
        <v>185</v>
      </c>
      <c r="H1390" s="8" t="n">
        <v>9515.651872340424</v>
      </c>
      <c r="I1390" s="4">
        <f>D1390*E1390/100+F1390*365/100+G1390</f>
        <v/>
      </c>
    </row>
    <row r="1391">
      <c r="A1391" s="2" t="inlineStr">
        <is>
          <t>0001429135HR594</t>
        </is>
      </c>
      <c r="B1391" s="8" t="inlineStr">
        <is>
          <t>Ecotricity</t>
        </is>
      </c>
      <c r="C1391" s="8" t="inlineStr">
        <is>
          <t>36 Month</t>
        </is>
      </c>
      <c r="D1391" s="8" t="n">
        <v>17482.89598108747</v>
      </c>
      <c r="E1391" s="8" t="n">
        <v>28.81616</v>
      </c>
      <c r="F1391" s="8" t="n">
        <v>283</v>
      </c>
      <c r="G1391" s="8" t="n">
        <v>185</v>
      </c>
      <c r="H1391" s="8" t="n">
        <v>6255.849278543735</v>
      </c>
      <c r="I1391" s="4">
        <f>D1391*E1391/100+F1391*365/100+G1391</f>
        <v/>
      </c>
    </row>
    <row r="1392">
      <c r="A1392" s="2" t="inlineStr">
        <is>
          <t>0001428711HRE6D</t>
        </is>
      </c>
      <c r="B1392" s="8" t="inlineStr">
        <is>
          <t>Ecotricity</t>
        </is>
      </c>
      <c r="C1392" s="8" t="inlineStr">
        <is>
          <t>36 Month</t>
        </is>
      </c>
      <c r="D1392" s="8" t="n">
        <v>14077.95508274232</v>
      </c>
      <c r="E1392" s="8" t="n">
        <v>28.81616</v>
      </c>
      <c r="F1392" s="8" t="n">
        <v>283</v>
      </c>
      <c r="G1392" s="8" t="n">
        <v>185</v>
      </c>
      <c r="H1392" s="8" t="n">
        <v>5274.676061371159</v>
      </c>
      <c r="I1392" s="4">
        <f>D1392*E1392/100+F1392*365/100+G1392</f>
        <v/>
      </c>
    </row>
    <row r="1393">
      <c r="A1393" s="5" t="inlineStr">
        <is>
          <t>0000045869HR155</t>
        </is>
      </c>
      <c r="B1393" s="9" t="inlineStr">
        <is>
          <t>Ecotricity</t>
        </is>
      </c>
      <c r="C1393" s="9" t="inlineStr">
        <is>
          <t>36 Month</t>
        </is>
      </c>
      <c r="D1393" s="9" t="n">
        <v>42282.18676122931</v>
      </c>
      <c r="E1393" s="9" t="n">
        <v>24.48</v>
      </c>
      <c r="F1393" s="9" t="n">
        <v>913</v>
      </c>
      <c r="G1393" s="9" t="n">
        <v>185</v>
      </c>
      <c r="H1393" s="9" t="n">
        <v>13868.12931914893</v>
      </c>
      <c r="I1393" s="7">
        <f>D1393*E1393/100+F1393*365/100+G1393</f>
        <v/>
      </c>
    </row>
    <row r="1396" ht="30.75" customHeight="1">
      <c r="A1396" s="38" t="inlineStr">
        <is>
          <t>AU C&amp;I Gas Analysis raw source schedule</t>
        </is>
      </c>
      <c r="B1396" s="38" t="n"/>
      <c r="C1396" s="38" t="n"/>
      <c r="D1396" s="38" t="n"/>
      <c r="E1396" s="38" t="n"/>
      <c r="F1396" s="38" t="n"/>
      <c r="G1396" s="38" t="n"/>
      <c r="H1396" s="38" t="n"/>
      <c r="I1396" s="38" t="n"/>
      <c r="J1396" s="38" t="n"/>
      <c r="K1396" s="38" t="n"/>
      <c r="L1396" s="38" t="n"/>
      <c r="M1396" s="38" t="n"/>
      <c r="N1396" s="38" t="n"/>
      <c r="O1396" s="38" t="n"/>
      <c r="P1396" s="38" t="n"/>
      <c r="Q1396" s="38" t="n"/>
      <c r="R1396" s="38" t="n"/>
      <c r="S1396" s="38" t="n"/>
      <c r="T1396" s="38" t="n"/>
      <c r="U1396" s="38" t="n"/>
      <c r="V1396" s="38" t="n"/>
      <c r="W1396" s="38" t="n"/>
      <c r="X1396" s="38" t="n"/>
      <c r="Y1396" s="38" t="n"/>
      <c r="Z1396" s="38" t="n"/>
      <c r="AA1396" s="38" t="n"/>
    </row>
    <row r="1397" ht="65.25" customHeight="1">
      <c r="A1397" s="39" t="inlineStr">
        <is>
          <t>MIRN</t>
        </is>
      </c>
      <c r="B1397" s="40" t="inlineStr">
        <is>
          <t>VEEC Obligation</t>
        </is>
      </c>
      <c r="C1397" s="40" t="inlineStr">
        <is>
          <t>Business Unit</t>
        </is>
      </c>
      <c r="D1397" s="40" t="inlineStr">
        <is>
          <t>State</t>
        </is>
      </c>
      <c r="E1397" s="40" t="inlineStr">
        <is>
          <t>Distribution Tariff</t>
        </is>
      </c>
      <c r="F1397" s="40" t="inlineStr">
        <is>
          <t>MHQ (GJ)</t>
        </is>
      </c>
      <c r="G1397" s="40" t="inlineStr">
        <is>
          <t>MDQ (GJ)</t>
        </is>
      </c>
      <c r="H1397" s="40" t="inlineStr">
        <is>
          <t>MAQ %</t>
        </is>
      </c>
      <c r="I1397" s="40" t="inlineStr">
        <is>
          <t>ACQ (GJ)</t>
        </is>
      </c>
      <c r="J1397" s="40" t="inlineStr">
        <is>
          <t>Annual consumption</t>
        </is>
      </c>
      <c r="K1397" s="40" t="inlineStr">
        <is>
          <t>retailer</t>
        </is>
      </c>
      <c r="L1397" s="40" t="inlineStr">
        <is>
          <t>CAL 25 Forecast</t>
        </is>
      </c>
      <c r="M1397" s="40" t="inlineStr">
        <is>
          <t>CAL 26 Forecast</t>
        </is>
      </c>
      <c r="N1397" s="40" t="inlineStr">
        <is>
          <t>CAL 27 Forecast</t>
        </is>
      </c>
      <c r="O1397" s="40" t="inlineStr">
        <is>
          <t>Network Charges</t>
        </is>
      </c>
      <c r="P1397" s="40" t="inlineStr">
        <is>
          <t>Transmission</t>
        </is>
      </c>
      <c r="Q1397" s="40" t="inlineStr">
        <is>
          <t>Market</t>
        </is>
      </c>
      <c r="R1397" s="40" t="inlineStr">
        <is>
          <t>Service Charge</t>
        </is>
      </c>
      <c r="S1397" s="40" t="inlineStr">
        <is>
          <t>CAL25 Rate</t>
        </is>
      </c>
      <c r="T1397" s="40" t="inlineStr">
        <is>
          <t>CAL26 Rate</t>
        </is>
      </c>
      <c r="U1397" s="40" t="inlineStr">
        <is>
          <t>CAL27 Rate</t>
        </is>
      </c>
      <c r="V1397" s="40" t="inlineStr">
        <is>
          <t>CAL25 Monthly Charge</t>
        </is>
      </c>
      <c r="W1397" s="40" t="inlineStr">
        <is>
          <t>CAL26 Monthly Charge</t>
        </is>
      </c>
      <c r="X1397" s="40" t="inlineStr">
        <is>
          <t>CAL27 Monthly Charge</t>
        </is>
      </c>
      <c r="Y1397" s="40" t="inlineStr">
        <is>
          <t>CAL25 VEEC</t>
        </is>
      </c>
      <c r="Z1397" s="40" t="inlineStr">
        <is>
          <t>CAL26 VEEC</t>
        </is>
      </c>
      <c r="AA1397" s="41" t="inlineStr">
        <is>
          <t>CAL27 VEEC</t>
        </is>
      </c>
    </row>
    <row r="1398">
      <c r="A1398" s="2" t="n">
        <v>5265773931</v>
      </c>
      <c r="B1398" s="8" t="n">
        <v>0.0213</v>
      </c>
      <c r="C1398" s="8" t="inlineStr">
        <is>
          <t>T&amp;I</t>
        </is>
      </c>
      <c r="D1398" s="8" t="inlineStr">
        <is>
          <t>ACT</t>
        </is>
      </c>
      <c r="E1398" s="8" t="inlineStr">
        <is>
          <t>Tariff D</t>
        </is>
      </c>
      <c r="F1398" s="8" t="n">
        <v>49.40476190476191</v>
      </c>
      <c r="G1398" s="8" t="n">
        <v>415</v>
      </c>
      <c r="H1398" s="8" t="n">
        <v>0.8</v>
      </c>
      <c r="I1398" s="8" t="n">
        <v>33000</v>
      </c>
      <c r="J1398" s="8" t="n">
        <v>30729.026</v>
      </c>
      <c r="K1398" s="8" t="inlineStr">
        <is>
          <t>Origin</t>
        </is>
      </c>
      <c r="L1398" s="8" t="n">
        <v>915294.4556752858</v>
      </c>
      <c r="M1398" s="8" t="n">
        <v>966680.5001672893</v>
      </c>
      <c r="N1398" s="8" t="n">
        <v>953161.2929200089</v>
      </c>
      <c r="O1398" s="8" t="n">
        <v>169509.1436383069</v>
      </c>
      <c r="P1398" s="8" t="n"/>
      <c r="Q1398" s="8" t="n"/>
      <c r="R1398" s="8" t="n"/>
      <c r="S1398" s="8" t="n">
        <v>18.385323080728</v>
      </c>
      <c r="T1398" s="8" t="n">
        <v>19.86930121994515</v>
      </c>
      <c r="U1398" s="8" t="n">
        <v>17.053027</v>
      </c>
      <c r="V1398" s="8" t="n">
        <v>15068.52008924067</v>
      </c>
      <c r="W1398" s="8" t="n">
        <v>15550.590228288</v>
      </c>
      <c r="X1398" s="8" t="n">
        <v>21635.769935</v>
      </c>
      <c r="Y1398" s="8" t="n"/>
      <c r="Z1398" s="8" t="n"/>
      <c r="AA1398" s="4" t="n"/>
    </row>
    <row r="1399">
      <c r="A1399" s="2" t="n">
        <v>5248353654</v>
      </c>
      <c r="B1399" s="8" t="n">
        <v>0.0213</v>
      </c>
      <c r="C1399" s="8" t="inlineStr">
        <is>
          <t>T&amp;I</t>
        </is>
      </c>
      <c r="D1399" s="8" t="inlineStr">
        <is>
          <t>NSW</t>
        </is>
      </c>
      <c r="E1399" s="8" t="inlineStr">
        <is>
          <t>Tariff D</t>
        </is>
      </c>
      <c r="F1399" s="8" t="n">
        <v>125</v>
      </c>
      <c r="G1399" s="8" t="n">
        <v>1050</v>
      </c>
      <c r="H1399" s="8" t="n">
        <v>0.8</v>
      </c>
      <c r="I1399" s="8" t="n">
        <v>114000</v>
      </c>
      <c r="J1399" s="8" t="n">
        <v>108015.3710000001</v>
      </c>
      <c r="K1399" s="8" t="inlineStr">
        <is>
          <t>ShellEnergyAU</t>
        </is>
      </c>
      <c r="L1399" s="8" t="n">
        <v>2520493.974652832</v>
      </c>
      <c r="M1399" s="8" t="n">
        <v>2535931.990023833</v>
      </c>
      <c r="N1399" s="8" t="n">
        <v>2093747.341041832</v>
      </c>
      <c r="O1399" s="8" t="n">
        <v>246301.758</v>
      </c>
      <c r="P1399" s="8" t="n"/>
      <c r="Q1399" s="8" t="n">
        <v>2674.779604830003</v>
      </c>
      <c r="R1399" s="8" t="n"/>
      <c r="S1399" s="8" t="n">
        <v>16.488</v>
      </c>
      <c r="T1399" s="8" t="n">
        <v>16.489</v>
      </c>
      <c r="U1399" s="8" t="n">
        <v>11.047</v>
      </c>
      <c r="V1399" s="8" t="n">
        <v>40880</v>
      </c>
      <c r="W1399" s="8" t="n">
        <v>42157.5</v>
      </c>
      <c r="X1399" s="8" t="n">
        <v>54293.75</v>
      </c>
      <c r="Y1399" s="8" t="n"/>
      <c r="Z1399" s="8" t="n"/>
      <c r="AA1399" s="4" t="n"/>
    </row>
    <row r="1400">
      <c r="A1400" s="2" t="n">
        <v>5242077399</v>
      </c>
      <c r="B1400" s="8" t="n">
        <v>0.0213</v>
      </c>
      <c r="C1400" s="8" t="inlineStr">
        <is>
          <t>SICS</t>
        </is>
      </c>
      <c r="D1400" s="8" t="inlineStr">
        <is>
          <t>NSW</t>
        </is>
      </c>
      <c r="E1400" s="8" t="inlineStr">
        <is>
          <t>Tariff D</t>
        </is>
      </c>
      <c r="F1400" s="8" t="n">
        <v>22.02380952380953</v>
      </c>
      <c r="G1400" s="8" t="n">
        <v>185</v>
      </c>
      <c r="H1400" s="8" t="n">
        <v>0.8</v>
      </c>
      <c r="I1400" s="8" t="n">
        <v>21000</v>
      </c>
      <c r="J1400" s="8" t="n">
        <v>19847.41099999998</v>
      </c>
      <c r="K1400" s="8" t="inlineStr">
        <is>
          <t>ShellEnergyAU</t>
        </is>
      </c>
      <c r="L1400" s="8" t="n">
        <v>587457.0081620297</v>
      </c>
      <c r="M1400" s="8" t="n">
        <v>590031.8555730297</v>
      </c>
      <c r="N1400" s="8" t="n">
        <v>503192.2449110298</v>
      </c>
      <c r="O1400" s="8" t="n">
        <v>168468.50964</v>
      </c>
      <c r="P1400" s="8" t="n"/>
      <c r="Q1400" s="8" t="n">
        <v>494.3859540299995</v>
      </c>
      <c r="R1400" s="8" t="n"/>
      <c r="S1400" s="8" t="n">
        <v>16.488</v>
      </c>
      <c r="T1400" s="8" t="n">
        <v>16.489</v>
      </c>
      <c r="U1400" s="8" t="n">
        <v>11.047</v>
      </c>
      <c r="V1400" s="8" t="n">
        <v>7604.166666666667</v>
      </c>
      <c r="W1400" s="8" t="n">
        <v>7817.083333333333</v>
      </c>
      <c r="X1400" s="8" t="n">
        <v>9581.25</v>
      </c>
      <c r="Y1400" s="8" t="n"/>
      <c r="Z1400" s="8" t="n"/>
      <c r="AA1400" s="4" t="n"/>
    </row>
    <row r="1401">
      <c r="A1401" s="2" t="n">
        <v>5265761108</v>
      </c>
      <c r="B1401" s="8" t="n">
        <v>0.0213</v>
      </c>
      <c r="C1401" s="8" t="inlineStr">
        <is>
          <t>SICS</t>
        </is>
      </c>
      <c r="D1401" s="8" t="inlineStr">
        <is>
          <t>NSW</t>
        </is>
      </c>
      <c r="E1401" s="8" t="inlineStr">
        <is>
          <t>Tariff V</t>
        </is>
      </c>
      <c r="F1401" s="8" t="n">
        <v>0.9212018140589571</v>
      </c>
      <c r="G1401" s="8" t="n">
        <v>7.738095238095239</v>
      </c>
      <c r="H1401" s="8" t="n">
        <v>0.8</v>
      </c>
      <c r="I1401" s="8" t="n">
        <v>1300</v>
      </c>
      <c r="J1401" s="8" t="n">
        <v>1300</v>
      </c>
      <c r="K1401" s="8" t="inlineStr">
        <is>
          <t>Origin</t>
        </is>
      </c>
      <c r="L1401" s="8" t="n">
        <v>87982</v>
      </c>
      <c r="M1401" s="8" t="n">
        <v>76928</v>
      </c>
      <c r="N1401" s="8" t="n">
        <v>44003.21512559999</v>
      </c>
      <c r="O1401" s="8" t="n">
        <v>20000</v>
      </c>
      <c r="P1401" s="8" t="n"/>
      <c r="Q1401" s="8" t="n">
        <v>33.9999296</v>
      </c>
      <c r="R1401" s="8" t="n"/>
      <c r="S1401" s="8" t="n"/>
      <c r="T1401" s="8" t="n"/>
      <c r="U1401" s="8" t="n">
        <v>14.587934</v>
      </c>
      <c r="V1401" s="8" t="n"/>
      <c r="W1401" s="8" t="n"/>
      <c r="X1401" s="8" t="n">
        <v>417.075083</v>
      </c>
      <c r="Y1401" s="8" t="n"/>
      <c r="Z1401" s="8" t="n"/>
      <c r="AA1401" s="4" t="n"/>
    </row>
    <row r="1402">
      <c r="A1402" s="2" t="n">
        <v>5247064745</v>
      </c>
      <c r="B1402" s="8" t="n">
        <v>0.0213</v>
      </c>
      <c r="C1402" s="8" t="inlineStr">
        <is>
          <t>RAIL</t>
        </is>
      </c>
      <c r="D1402" s="8" t="inlineStr">
        <is>
          <t>NSW</t>
        </is>
      </c>
      <c r="E1402" s="8" t="inlineStr">
        <is>
          <t>Tariff V</t>
        </is>
      </c>
      <c r="F1402" s="8" t="n">
        <v>1.771541950113379</v>
      </c>
      <c r="G1402" s="8" t="n">
        <v>14.88095238095238</v>
      </c>
      <c r="H1402" s="8" t="n">
        <v>0.8</v>
      </c>
      <c r="I1402" s="8" t="n">
        <v>2500</v>
      </c>
      <c r="J1402" s="8" t="n">
        <v>2500</v>
      </c>
      <c r="K1402" s="8" t="inlineStr">
        <is>
          <t>Origin</t>
        </is>
      </c>
      <c r="L1402" s="8" t="n">
        <v>61370.510156</v>
      </c>
      <c r="M1402" s="8" t="n">
        <v>61370.510156</v>
      </c>
      <c r="N1402" s="8" t="n">
        <v>61369.509812</v>
      </c>
      <c r="O1402" s="8" t="n">
        <v>18705.144</v>
      </c>
      <c r="P1402" s="8" t="n"/>
      <c r="Q1402" s="8" t="n">
        <v>65.38448</v>
      </c>
      <c r="R1402" s="8" t="n"/>
      <c r="S1402" s="8" t="n">
        <v>14.572999</v>
      </c>
      <c r="T1402" s="8" t="n">
        <v>14.57308290410959</v>
      </c>
      <c r="U1402" s="8" t="n">
        <v>14.465493</v>
      </c>
      <c r="V1402" s="8" t="n">
        <v>511.459599</v>
      </c>
      <c r="W1402" s="8" t="n">
        <v>513.9395346438361</v>
      </c>
      <c r="X1402" s="8" t="n">
        <v>536.2707360000001</v>
      </c>
      <c r="Y1402" s="8" t="n"/>
      <c r="Z1402" s="8" t="n"/>
      <c r="AA1402" s="4" t="n"/>
    </row>
    <row r="1403">
      <c r="A1403" s="2" t="n">
        <v>5510072233</v>
      </c>
      <c r="B1403" s="8" t="n">
        <v>0.0213</v>
      </c>
      <c r="C1403" s="8" t="inlineStr">
        <is>
          <t>T&amp;I</t>
        </is>
      </c>
      <c r="D1403" s="8" t="inlineStr">
        <is>
          <t>SA</t>
        </is>
      </c>
      <c r="E1403" s="8" t="inlineStr">
        <is>
          <t>Tariff D</t>
        </is>
      </c>
      <c r="F1403" s="8" t="n">
        <v>84.17700000000001</v>
      </c>
      <c r="G1403" s="8" t="n">
        <v>850</v>
      </c>
      <c r="H1403" s="8" t="n">
        <v>0.8</v>
      </c>
      <c r="I1403" s="8" t="n">
        <v>98000</v>
      </c>
      <c r="J1403" s="8" t="n">
        <v>92565.36000000002</v>
      </c>
      <c r="K1403" s="8" t="inlineStr">
        <is>
          <t>ShellEnergyAU</t>
        </is>
      </c>
      <c r="L1403" s="8" t="n">
        <v>2359107.4226128</v>
      </c>
      <c r="M1403" s="8" t="n">
        <v>2401755.7070128</v>
      </c>
      <c r="N1403" s="8" t="n">
        <v>2102591.3257328</v>
      </c>
      <c r="O1403" s="8" t="n">
        <v>501150.84</v>
      </c>
      <c r="P1403" s="8" t="n"/>
      <c r="Q1403" s="8" t="n">
        <v>2293.7476528</v>
      </c>
      <c r="R1403" s="8" t="n"/>
      <c r="S1403" s="8" t="n">
        <v>15.611</v>
      </c>
      <c r="T1403" s="8" t="n">
        <v>15.776</v>
      </c>
      <c r="U1403" s="8" t="n">
        <v>11.578</v>
      </c>
      <c r="V1403" s="8" t="n">
        <v>34218.75</v>
      </c>
      <c r="W1403" s="8" t="n">
        <v>36500</v>
      </c>
      <c r="X1403" s="8" t="n">
        <v>43952.08333333334</v>
      </c>
      <c r="Y1403" s="8" t="n"/>
      <c r="Z1403" s="8" t="n"/>
      <c r="AA1403" s="4" t="n"/>
    </row>
    <row r="1404">
      <c r="A1404" s="2" t="n">
        <v>5510485000</v>
      </c>
      <c r="B1404" s="8" t="n">
        <v>0.0213</v>
      </c>
      <c r="C1404" s="8" t="inlineStr">
        <is>
          <t>T&amp;I</t>
        </is>
      </c>
      <c r="D1404" s="8" t="inlineStr">
        <is>
          <t>SA</t>
        </is>
      </c>
      <c r="E1404" s="8" t="inlineStr">
        <is>
          <t>Tariff D</t>
        </is>
      </c>
      <c r="F1404" s="8" t="n">
        <v>2.863</v>
      </c>
      <c r="G1404" s="8" t="n">
        <v>51</v>
      </c>
      <c r="H1404" s="8" t="n">
        <v>0.8</v>
      </c>
      <c r="I1404" s="8" t="n">
        <v>14000</v>
      </c>
      <c r="J1404" s="8" t="n">
        <v>13214.10399999999</v>
      </c>
      <c r="K1404" s="8" t="inlineStr">
        <is>
          <t>ShellEnergyAU</t>
        </is>
      </c>
      <c r="L1404" s="8" t="n">
        <v>346655.4486359198</v>
      </c>
      <c r="M1404" s="8" t="n">
        <v>350660.7757959199</v>
      </c>
      <c r="N1404" s="8" t="n">
        <v>298837.9672039199</v>
      </c>
      <c r="O1404" s="8" t="n">
        <v>113758.68</v>
      </c>
      <c r="P1404" s="8" t="n"/>
      <c r="Q1404" s="8" t="n">
        <v>331.3910919199998</v>
      </c>
      <c r="R1404" s="8" t="n"/>
      <c r="S1404" s="8" t="n">
        <v>15.611</v>
      </c>
      <c r="T1404" s="8" t="n">
        <v>15.776</v>
      </c>
      <c r="U1404" s="8" t="n">
        <v>11.578</v>
      </c>
      <c r="V1404" s="8" t="n">
        <v>2190</v>
      </c>
      <c r="W1404" s="8" t="n">
        <v>2342.083333333333</v>
      </c>
      <c r="X1404" s="8" t="n">
        <v>2646.25</v>
      </c>
      <c r="Y1404" s="8" t="n"/>
      <c r="Z1404" s="8" t="n"/>
      <c r="AA1404" s="4" t="n"/>
    </row>
    <row r="1405">
      <c r="A1405" s="2" t="n">
        <v>5330662312</v>
      </c>
      <c r="B1405" s="8" t="n">
        <v>0.0213</v>
      </c>
      <c r="C1405" s="8" t="inlineStr">
        <is>
          <t>T&amp;I</t>
        </is>
      </c>
      <c r="D1405" s="8" t="inlineStr">
        <is>
          <t>VIC</t>
        </is>
      </c>
      <c r="E1405" s="8" t="inlineStr">
        <is>
          <t>Tariff D</t>
        </is>
      </c>
      <c r="F1405" s="8" t="n">
        <v>61.651247172</v>
      </c>
      <c r="G1405" s="8" t="n">
        <v>970</v>
      </c>
      <c r="H1405" s="8" t="n">
        <v>0.8</v>
      </c>
      <c r="I1405" s="8" t="n">
        <v>109000</v>
      </c>
      <c r="J1405" s="8" t="n">
        <v>103871.24325094</v>
      </c>
      <c r="K1405" s="8" t="inlineStr">
        <is>
          <t>ShellEnergyAU</t>
        </is>
      </c>
      <c r="L1405" s="8" t="n">
        <v>2287305.154391064</v>
      </c>
      <c r="M1405" s="8" t="n">
        <v>2297818.066791735</v>
      </c>
      <c r="N1405" s="8" t="n">
        <v>1739485.754879065</v>
      </c>
      <c r="O1405" s="8" t="n">
        <v>19959.74379040035</v>
      </c>
      <c r="P1405" s="8" t="n">
        <v>73262.01776129064</v>
      </c>
      <c r="Q1405" s="8" t="n">
        <v>6024.914749864462</v>
      </c>
      <c r="R1405" s="8" t="n"/>
      <c r="S1405" s="8" t="n">
        <v>18.272</v>
      </c>
      <c r="T1405" s="8" t="n">
        <v>18.278</v>
      </c>
      <c r="U1405" s="8" t="n">
        <v>13.034</v>
      </c>
      <c r="V1405" s="8" t="n">
        <v>4106.25</v>
      </c>
      <c r="W1405" s="8" t="n">
        <v>4106.25</v>
      </c>
      <c r="X1405" s="8" t="n">
        <v>5627.083333333333</v>
      </c>
      <c r="Y1405" s="8" t="n">
        <v>108.86</v>
      </c>
      <c r="Z1405" s="8" t="n">
        <v>113.33</v>
      </c>
      <c r="AA1405" s="4" t="n">
        <v>98.92</v>
      </c>
    </row>
    <row r="1406">
      <c r="A1406" s="2" t="n">
        <v>5310000243</v>
      </c>
      <c r="B1406" s="8" t="n">
        <v>0.0213</v>
      </c>
      <c r="C1406" s="8" t="inlineStr">
        <is>
          <t>T&amp;I</t>
        </is>
      </c>
      <c r="D1406" s="8" t="inlineStr">
        <is>
          <t>VIC</t>
        </is>
      </c>
      <c r="E1406" s="8" t="inlineStr">
        <is>
          <t>Tariff D</t>
        </is>
      </c>
      <c r="F1406" s="8" t="n">
        <v>85.464606284</v>
      </c>
      <c r="G1406" s="8" t="n">
        <v>780</v>
      </c>
      <c r="H1406" s="8" t="n">
        <v>0.8</v>
      </c>
      <c r="I1406" s="8" t="n">
        <v>61000</v>
      </c>
      <c r="J1406" s="8" t="n">
        <v>57783.717189303</v>
      </c>
      <c r="K1406" s="8" t="inlineStr">
        <is>
          <t>ShellEnergyAU</t>
        </is>
      </c>
      <c r="L1406" s="8" t="n">
        <v>1321679.999340459</v>
      </c>
      <c r="M1406" s="8" t="n">
        <v>1327528.347140906</v>
      </c>
      <c r="N1406" s="8" t="n">
        <v>1019914.804532137</v>
      </c>
      <c r="O1406" s="8" t="n">
        <v>40970.33470921227</v>
      </c>
      <c r="P1406" s="8" t="n">
        <v>46056.64986605547</v>
      </c>
      <c r="Q1406" s="8" t="n">
        <v>3599.789128501124</v>
      </c>
      <c r="R1406" s="8" t="n"/>
      <c r="S1406" s="8" t="n">
        <v>18.272</v>
      </c>
      <c r="T1406" s="8" t="n">
        <v>18.278</v>
      </c>
      <c r="U1406" s="8" t="n">
        <v>13.034</v>
      </c>
      <c r="V1406" s="8" t="n">
        <v>3437.083333333333</v>
      </c>
      <c r="W1406" s="8" t="n">
        <v>3437.083333333333</v>
      </c>
      <c r="X1406" s="8" t="n">
        <v>4532.083333333333</v>
      </c>
      <c r="Y1406" s="8" t="n">
        <v>108.86</v>
      </c>
      <c r="Z1406" s="8" t="n">
        <v>113.33</v>
      </c>
      <c r="AA1406" s="4" t="n">
        <v>98.92</v>
      </c>
    </row>
    <row r="1407">
      <c r="A1407" s="2" t="n">
        <v>5320000943</v>
      </c>
      <c r="B1407" s="8" t="n">
        <v>0.0213</v>
      </c>
      <c r="C1407" s="8" t="inlineStr">
        <is>
          <t>T&amp;I</t>
        </is>
      </c>
      <c r="D1407" s="8" t="inlineStr">
        <is>
          <t>VIC</t>
        </is>
      </c>
      <c r="E1407" s="8" t="inlineStr">
        <is>
          <t>Tariff D</t>
        </is>
      </c>
      <c r="F1407" s="8" t="n">
        <v>39.837942176</v>
      </c>
      <c r="G1407" s="8" t="n">
        <v>260</v>
      </c>
      <c r="H1407" s="8" t="n">
        <v>0.8</v>
      </c>
      <c r="I1407" s="8" t="n">
        <v>25000</v>
      </c>
      <c r="J1407" s="8" t="n">
        <v>23114.486190759</v>
      </c>
      <c r="K1407" s="8" t="inlineStr">
        <is>
          <t>ShellEnergyAU</t>
        </is>
      </c>
      <c r="L1407" s="8" t="n">
        <v>555161.151245505</v>
      </c>
      <c r="M1407" s="8" t="n">
        <v>557500.5915073579</v>
      </c>
      <c r="N1407" s="8" t="n">
        <v>435763.6273330295</v>
      </c>
      <c r="O1407" s="8" t="n">
        <v>49252.05723578164</v>
      </c>
      <c r="P1407" s="8" t="n">
        <v>16509.7329475529</v>
      </c>
      <c r="Q1407" s="8" t="n">
        <v>1775.494193357738</v>
      </c>
      <c r="R1407" s="8" t="n"/>
      <c r="S1407" s="8" t="n">
        <v>18.272</v>
      </c>
      <c r="T1407" s="8" t="n">
        <v>18.278</v>
      </c>
      <c r="U1407" s="8" t="n">
        <v>13.034</v>
      </c>
      <c r="V1407" s="8" t="n">
        <v>973.3333333333334</v>
      </c>
      <c r="W1407" s="8" t="n">
        <v>973.3333333333334</v>
      </c>
      <c r="X1407" s="8" t="n">
        <v>1520.833333333333</v>
      </c>
      <c r="Y1407" s="8" t="n">
        <v>108.86</v>
      </c>
      <c r="Z1407" s="8" t="n">
        <v>113.33</v>
      </c>
      <c r="AA1407" s="4" t="n">
        <v>98.92</v>
      </c>
    </row>
    <row r="1408">
      <c r="A1408" s="2" t="n">
        <v>5600945901</v>
      </c>
      <c r="B1408" s="8" t="n">
        <v>0.0213</v>
      </c>
      <c r="C1408" s="8" t="inlineStr">
        <is>
          <t>T&amp;I</t>
        </is>
      </c>
      <c r="D1408" s="8" t="inlineStr">
        <is>
          <t>WA</t>
        </is>
      </c>
      <c r="E1408" s="8" t="inlineStr">
        <is>
          <t>Tariff D</t>
        </is>
      </c>
      <c r="F1408" s="8" t="n">
        <v>53.759</v>
      </c>
      <c r="G1408" s="8" t="n">
        <v>404.4499999999999</v>
      </c>
      <c r="H1408" s="8" t="n">
        <v>0.8</v>
      </c>
      <c r="I1408" s="8" t="n">
        <v>36000</v>
      </c>
      <c r="J1408" s="8" t="n">
        <v>34066.92792410716</v>
      </c>
      <c r="K1408" s="8" t="inlineStr">
        <is>
          <t>Perth Energy</t>
        </is>
      </c>
      <c r="L1408" s="8" t="n">
        <v>451001.1894180806</v>
      </c>
      <c r="M1408" s="8" t="n">
        <v>467353.314821652</v>
      </c>
      <c r="N1408" s="8" t="n">
        <v>423111.3199618305</v>
      </c>
      <c r="O1408" s="8" t="n">
        <v>82056.36</v>
      </c>
      <c r="P1408" s="8" t="n"/>
      <c r="Q1408" s="8" t="n"/>
      <c r="R1408" s="8" t="n"/>
      <c r="S1408" s="8" t="n">
        <v>10.83</v>
      </c>
      <c r="T1408" s="8" t="n">
        <v>11.31</v>
      </c>
      <c r="U1408" s="8" t="n">
        <v>9.99</v>
      </c>
      <c r="V1408" s="8" t="n"/>
      <c r="W1408" s="8" t="n"/>
      <c r="X1408" s="8" t="n">
        <v>60.52916666666667</v>
      </c>
      <c r="Y1408" s="8" t="n"/>
      <c r="Z1408" s="8" t="n"/>
      <c r="AA1408" s="4" t="n"/>
    </row>
    <row r="1409">
      <c r="A1409" s="2" t="n">
        <v>5600436929</v>
      </c>
      <c r="B1409" s="8" t="n">
        <v>0.0213</v>
      </c>
      <c r="C1409" s="8" t="inlineStr">
        <is>
          <t>T&amp;I</t>
        </is>
      </c>
      <c r="D1409" s="8" t="inlineStr">
        <is>
          <t>WA</t>
        </is>
      </c>
      <c r="E1409" s="8" t="inlineStr">
        <is>
          <t>Tariff D</t>
        </is>
      </c>
      <c r="F1409" s="8" t="n">
        <v>31.679</v>
      </c>
      <c r="G1409" s="8" t="n">
        <v>304.279</v>
      </c>
      <c r="H1409" s="8" t="n">
        <v>0.8</v>
      </c>
      <c r="I1409" s="8" t="n">
        <v>25000</v>
      </c>
      <c r="J1409" s="8" t="n">
        <v>23242.13673913043</v>
      </c>
      <c r="K1409" s="8" t="inlineStr">
        <is>
          <t>Perth Energy</t>
        </is>
      </c>
      <c r="L1409" s="8" t="n">
        <v>317034.3408847826</v>
      </c>
      <c r="M1409" s="8" t="n">
        <v>328190.5665195652</v>
      </c>
      <c r="N1409" s="8" t="n">
        <v>298237.296023913</v>
      </c>
      <c r="O1409" s="8" t="n">
        <v>65322</v>
      </c>
      <c r="P1409" s="8" t="n"/>
      <c r="Q1409" s="8" t="n"/>
      <c r="R1409" s="8" t="n"/>
      <c r="S1409" s="8" t="n">
        <v>10.83</v>
      </c>
      <c r="T1409" s="8" t="n">
        <v>11.31</v>
      </c>
      <c r="U1409" s="8" t="n">
        <v>9.99</v>
      </c>
      <c r="V1409" s="8" t="n"/>
      <c r="W1409" s="8" t="n"/>
      <c r="X1409" s="8" t="n">
        <v>60.52916666666667</v>
      </c>
      <c r="Y1409" s="8" t="n"/>
      <c r="Z1409" s="8" t="n"/>
      <c r="AA1409" s="4" t="n"/>
    </row>
    <row r="1410">
      <c r="A1410" s="2" t="n">
        <v>5600604830</v>
      </c>
      <c r="B1410" s="8" t="n">
        <v>0.0213</v>
      </c>
      <c r="C1410" s="8" t="inlineStr">
        <is>
          <t>SICS</t>
        </is>
      </c>
      <c r="D1410" s="8" t="inlineStr">
        <is>
          <t>WA</t>
        </is>
      </c>
      <c r="E1410" s="8" t="inlineStr">
        <is>
          <t>Tariff D</t>
        </is>
      </c>
      <c r="F1410" s="8" t="n">
        <v>13.365</v>
      </c>
      <c r="G1410" s="8" t="n">
        <v>156.831</v>
      </c>
      <c r="H1410" s="8" t="n">
        <v>0.8</v>
      </c>
      <c r="I1410" s="8" t="n">
        <v>10000</v>
      </c>
      <c r="J1410" s="8" t="n">
        <v>9471.607275641016</v>
      </c>
      <c r="K1410" s="8" t="inlineStr">
        <is>
          <t>Perth Energy</t>
        </is>
      </c>
      <c r="L1410" s="8" t="n">
        <v>150942.7867951922</v>
      </c>
      <c r="M1410" s="8" t="n">
        <v>155489.1582874999</v>
      </c>
      <c r="N1410" s="8" t="n">
        <v>143712.9866836538</v>
      </c>
      <c r="O1410" s="8" t="n">
        <v>48365.28</v>
      </c>
      <c r="P1410" s="8" t="n"/>
      <c r="Q1410" s="8" t="n"/>
      <c r="R1410" s="8" t="n"/>
      <c r="S1410" s="8" t="n">
        <v>10.83</v>
      </c>
      <c r="T1410" s="8" t="n">
        <v>11.31</v>
      </c>
      <c r="U1410" s="8" t="n">
        <v>9.99</v>
      </c>
      <c r="V1410" s="8" t="n"/>
      <c r="W1410" s="8" t="n"/>
      <c r="X1410" s="8" t="n">
        <v>60.52916666666667</v>
      </c>
      <c r="Y1410" s="8" t="n"/>
      <c r="Z1410" s="8" t="n"/>
      <c r="AA1410" s="4" t="n"/>
    </row>
    <row r="1411">
      <c r="A1411" s="2" t="n">
        <v>5600405263</v>
      </c>
      <c r="B1411" s="8" t="n">
        <v>0.0213</v>
      </c>
      <c r="C1411" s="8" t="inlineStr">
        <is>
          <t>T&amp;I</t>
        </is>
      </c>
      <c r="D1411" s="8" t="inlineStr">
        <is>
          <t>WA</t>
        </is>
      </c>
      <c r="E1411" s="8" t="inlineStr">
        <is>
          <t>Tariff V</t>
        </is>
      </c>
      <c r="F1411" s="8" t="n">
        <v>0.4180839002267574</v>
      </c>
      <c r="G1411" s="8" t="n">
        <v>3.511904761904762</v>
      </c>
      <c r="H1411" s="8" t="n">
        <v>0.8</v>
      </c>
      <c r="I1411" s="8" t="n">
        <v>590</v>
      </c>
      <c r="J1411" s="8" t="n">
        <v>590</v>
      </c>
      <c r="K1411" s="8" t="inlineStr">
        <is>
          <t>Perth Energy</t>
        </is>
      </c>
      <c r="L1411" s="8" t="n">
        <v>10840.14</v>
      </c>
      <c r="M1411" s="8" t="n">
        <v>11123.34</v>
      </c>
      <c r="N1411" s="8" t="n">
        <v>11070.89</v>
      </c>
      <c r="O1411" s="8" t="n">
        <v>4450.440000000001</v>
      </c>
      <c r="P1411" s="8" t="n"/>
      <c r="Q1411" s="8" t="n"/>
      <c r="R1411" s="8" t="n"/>
      <c r="S1411" s="8" t="n">
        <v>10.83</v>
      </c>
      <c r="T1411" s="8" t="n">
        <v>11.31</v>
      </c>
      <c r="U1411" s="8" t="n">
        <v>9.99</v>
      </c>
      <c r="V1411" s="8" t="n"/>
      <c r="W1411" s="8" t="n"/>
      <c r="X1411" s="8" t="n">
        <v>60.52916666666667</v>
      </c>
      <c r="Y1411" s="8" t="n"/>
      <c r="Z1411" s="8" t="n"/>
      <c r="AA1411" s="4" t="n"/>
    </row>
    <row r="1412">
      <c r="A1412" s="2" t="n">
        <v>5762711908</v>
      </c>
      <c r="B1412" s="8" t="n">
        <v>0.0213</v>
      </c>
      <c r="C1412" s="8" t="inlineStr">
        <is>
          <t>T&amp;I</t>
        </is>
      </c>
      <c r="D1412" s="8" t="inlineStr">
        <is>
          <t>TAS</t>
        </is>
      </c>
      <c r="E1412" s="8" t="inlineStr">
        <is>
          <t>Tariff D</t>
        </is>
      </c>
      <c r="F1412" s="8" t="n">
        <v>0</v>
      </c>
      <c r="G1412" s="8" t="n">
        <v>200</v>
      </c>
      <c r="H1412" s="8" t="n">
        <v>0.8</v>
      </c>
      <c r="I1412" s="8" t="n">
        <v>16500</v>
      </c>
      <c r="J1412" s="8" t="n">
        <v>15621.56412</v>
      </c>
      <c r="K1412" s="8" t="inlineStr">
        <is>
          <t>Solstice</t>
        </is>
      </c>
      <c r="L1412" s="8" t="n">
        <v>549600</v>
      </c>
      <c r="M1412" s="8" t="n">
        <v>550100</v>
      </c>
      <c r="N1412" s="8" t="n">
        <v>555600</v>
      </c>
      <c r="O1412" s="8" t="n"/>
      <c r="P1412" s="8" t="n">
        <v>136920.234053844</v>
      </c>
      <c r="Q1412" s="8" t="n"/>
      <c r="R1412" s="8" t="n"/>
      <c r="S1412" s="8" t="n">
        <v>17.25</v>
      </c>
      <c r="T1412" s="8" t="n">
        <v>17.142</v>
      </c>
      <c r="U1412" s="8" t="n">
        <v>17.497</v>
      </c>
      <c r="V1412" s="8" t="n">
        <v>10015.6</v>
      </c>
      <c r="W1412" s="8" t="n">
        <v>20032.41666666667</v>
      </c>
      <c r="X1412" s="8" t="n">
        <v>20032.41666666667</v>
      </c>
      <c r="Y1412" s="8" t="n"/>
      <c r="Z1412" s="8" t="n"/>
      <c r="AA1412" s="4" t="n"/>
    </row>
    <row r="1413">
      <c r="A1413" s="5" t="n"/>
      <c r="B1413" s="9" t="n"/>
      <c r="C1413" s="9" t="n"/>
      <c r="D1413" s="9" t="n"/>
      <c r="E1413" s="9" t="n"/>
      <c r="F1413" s="9" t="n"/>
      <c r="G1413" s="9" t="n"/>
      <c r="H1413" s="9" t="n"/>
      <c r="I1413" s="9" t="n"/>
      <c r="J1413" s="9" t="n"/>
      <c r="K1413" s="9" t="n"/>
      <c r="L1413" s="9" t="n">
        <v>12521925.58196995</v>
      </c>
      <c r="M1413" s="9" t="n">
        <v>12678462.72379759</v>
      </c>
      <c r="N1413" s="9" t="n">
        <v>10683799.57616082</v>
      </c>
      <c r="O1413" s="9" t="n"/>
      <c r="P1413" s="9" t="n"/>
      <c r="Q1413" s="9" t="n"/>
      <c r="R1413" s="9" t="n"/>
      <c r="S1413" s="9" t="n"/>
      <c r="T1413" s="9" t="n"/>
      <c r="U1413" s="9" t="n"/>
      <c r="V1413" s="9" t="n"/>
      <c r="W1413" s="9" t="n"/>
      <c r="X1413" s="9" t="n"/>
      <c r="Y1413" s="9" t="n"/>
      <c r="Z1413" s="9" t="n"/>
      <c r="AA1413" s="7" t="n"/>
    </row>
    <row r="1416" ht="30.75" customHeight="1">
      <c r="A1416" s="38" t="inlineStr">
        <is>
          <t>SME Gas 2026 - Origin Selected Analysis raw source schedule</t>
        </is>
      </c>
      <c r="B1416" s="38" t="n"/>
      <c r="C1416" s="38" t="n"/>
      <c r="D1416" s="38" t="n"/>
      <c r="E1416" s="38" t="n"/>
      <c r="F1416" s="38" t="n"/>
      <c r="G1416" s="38" t="n"/>
      <c r="H1416" s="38" t="n"/>
      <c r="I1416" s="38" t="n"/>
      <c r="J1416" s="38" t="n"/>
      <c r="K1416" s="38" t="n"/>
      <c r="L1416" s="38" t="n"/>
    </row>
    <row r="1417" ht="87" customHeight="1">
      <c r="A1417" s="39" t="inlineStr">
        <is>
          <t>MIRN</t>
        </is>
      </c>
      <c r="B1417" s="40" t="inlineStr">
        <is>
          <t>State</t>
        </is>
      </c>
      <c r="C1417" s="40" t="inlineStr">
        <is>
          <t>Selected Retailer</t>
        </is>
      </c>
      <c r="D1417" s="40" t="inlineStr">
        <is>
          <t>Tender Usage (MJ)</t>
        </is>
      </c>
      <c r="E1417" s="40" t="inlineStr">
        <is>
          <t>Tender Annual Cost (Apr-2025 tariff basis)</t>
        </is>
      </c>
      <c r="F1417" s="40" t="inlineStr">
        <is>
          <t>Current Annual Cost</t>
        </is>
      </c>
      <c r="G1417" s="40" t="inlineStr">
        <is>
          <t>Executed Agreement</t>
        </is>
      </c>
      <c r="H1417" s="40" t="inlineStr">
        <is>
          <t>Agreement Start</t>
        </is>
      </c>
      <c r="I1417" s="40" t="inlineStr">
        <is>
          <t>Agreement End</t>
        </is>
      </c>
      <c r="J1417" s="40" t="inlineStr">
        <is>
          <t>Contract Mechanism</t>
        </is>
      </c>
      <c r="K1417" s="40" t="inlineStr">
        <is>
          <t>Evidence Status</t>
        </is>
      </c>
      <c r="L1417" s="41" t="inlineStr">
        <is>
          <t>Modelling Instruction</t>
        </is>
      </c>
    </row>
    <row r="1418">
      <c r="A1418" s="2" t="inlineStr">
        <is>
          <t>5270000035</t>
        </is>
      </c>
      <c r="B1418" s="8" t="inlineStr">
        <is>
          <t>NSW</t>
        </is>
      </c>
      <c r="C1418" s="8" t="inlineStr">
        <is>
          <t>Origin</t>
        </is>
      </c>
      <c r="D1418" s="8" t="n">
        <v>0</v>
      </c>
      <c r="E1418" s="8" t="n">
        <v>311.73409</v>
      </c>
      <c r="F1418" s="8" t="n">
        <v>315.4545</v>
      </c>
      <c r="G1418" s="8" t="inlineStr">
        <is>
          <t>Not located in SME Gas 2026 agreement folder</t>
        </is>
      </c>
      <c r="H1418" s="8" t="n"/>
      <c r="I1418" s="8" t="n"/>
      <c r="J1418" s="8" t="inlineStr">
        <is>
          <t>Discount off Origin Basic Usage and Supply Charges</t>
        </is>
      </c>
      <c r="K1418" s="8" t="inlineStr">
        <is>
          <t>Review required</t>
        </is>
      </c>
      <c r="L1418" s="4" t="inlineStr">
        <is>
          <t>Origin analysis selected 14% NSW discount, but no matching executed agreement was located.</t>
        </is>
      </c>
    </row>
    <row r="1419">
      <c r="A1419" s="2" t="inlineStr">
        <is>
          <t>5410086500</t>
        </is>
      </c>
      <c r="B1419" s="8" t="inlineStr">
        <is>
          <t>QLD</t>
        </is>
      </c>
      <c r="C1419" s="8" t="inlineStr">
        <is>
          <t>Origin</t>
        </is>
      </c>
      <c r="D1419" s="8" t="n">
        <v>708400</v>
      </c>
      <c r="E1419" s="8" t="n">
        <v>23116.683145888</v>
      </c>
      <c r="F1419" s="8" t="n">
        <v>26613.6364</v>
      </c>
      <c r="G1419" s="8" t="inlineStr">
        <is>
          <t>Spotless Facility Services_Small Sites_Exp 31_12_26.pdf</t>
        </is>
      </c>
      <c r="H1419" s="8" t="inlineStr">
        <is>
          <t>2025-05-01</t>
        </is>
      </c>
      <c r="I1419" s="8" t="inlineStr">
        <is>
          <t>2026-12-31</t>
        </is>
      </c>
      <c r="J1419" s="8" t="inlineStr">
        <is>
          <t>Discount off Origin Basic Usage and Supply Charges</t>
        </is>
      </c>
      <c r="K1419" s="8" t="inlineStr">
        <is>
          <t>FY26 provisional</t>
        </is>
      </c>
      <c r="L1419" s="4" t="inlineStr">
        <is>
          <t>Executed Spotless agreement: 8% QLD natural-gas discount. Tender annual total uses Apr-2025 Origin tariff; obtain the FY26 Origin Basic tariff/invoice to refresh.</t>
        </is>
      </c>
    </row>
    <row r="1420">
      <c r="A1420" s="2" t="inlineStr">
        <is>
          <t>5420000032</t>
        </is>
      </c>
      <c r="B1420" s="8" t="inlineStr">
        <is>
          <t>QLD</t>
        </is>
      </c>
      <c r="C1420" s="8" t="inlineStr">
        <is>
          <t>Origin</t>
        </is>
      </c>
      <c r="D1420" s="8" t="n">
        <v>625990</v>
      </c>
      <c r="E1420" s="8" t="n">
        <v>25944.08832</v>
      </c>
      <c r="F1420" s="8" t="n">
        <v>26811.8182</v>
      </c>
      <c r="G1420" s="8" t="inlineStr">
        <is>
          <t>DOWNER_EDI_RAIL_PTY_LTD_Origin_Energy_AGreement_280425_small_site.pdf</t>
        </is>
      </c>
      <c r="H1420" s="8" t="inlineStr">
        <is>
          <t>2025-05-01</t>
        </is>
      </c>
      <c r="I1420" s="8" t="inlineStr">
        <is>
          <t>2026-12-31</t>
        </is>
      </c>
      <c r="J1420" s="8" t="inlineStr">
        <is>
          <t>Discount off Origin Basic Usage and Supply Charges</t>
        </is>
      </c>
      <c r="K1420" s="8" t="inlineStr">
        <is>
          <t>FY26 provisional</t>
        </is>
      </c>
      <c r="L1420" s="4" t="inlineStr">
        <is>
          <t>Executed agreement and site attachment evidence Origin / Maryborough; tender annual total uses Apr-2025 Origin tariff. Agreement rate fields require tariff confirmation.</t>
        </is>
      </c>
    </row>
    <row r="1421">
      <c r="A1421" s="2" t="inlineStr">
        <is>
          <t>5410078053</t>
        </is>
      </c>
      <c r="B1421" s="8" t="inlineStr">
        <is>
          <t>QLD</t>
        </is>
      </c>
      <c r="C1421" s="8" t="inlineStr">
        <is>
          <t>Origin</t>
        </is>
      </c>
      <c r="D1421" s="8" t="n">
        <v>328820</v>
      </c>
      <c r="E1421" s="8" t="n">
        <v>11697.398425888</v>
      </c>
      <c r="F1421" s="8" t="n">
        <v>12880.9091</v>
      </c>
      <c r="G1421" s="8" t="inlineStr">
        <is>
          <t>Spotless Facility Services_Small Sites_Exp 31_12_26.pdf</t>
        </is>
      </c>
      <c r="H1421" s="8" t="inlineStr">
        <is>
          <t>2025-05-01</t>
        </is>
      </c>
      <c r="I1421" s="8" t="inlineStr">
        <is>
          <t>2026-12-31</t>
        </is>
      </c>
      <c r="J1421" s="8" t="inlineStr">
        <is>
          <t>Discount off Origin Basic Usage and Supply Charges</t>
        </is>
      </c>
      <c r="K1421" s="8" t="inlineStr">
        <is>
          <t>FY26 provisional</t>
        </is>
      </c>
      <c r="L1421" s="4" t="inlineStr">
        <is>
          <t>Executed Spotless agreement: 8% QLD natural-gas discount. Tender annual total uses Apr-2025 Origin tariff; obtain the FY26 Origin Basic tariff/invoice to refresh.</t>
        </is>
      </c>
    </row>
    <row r="1422">
      <c r="A1422" s="2" t="inlineStr">
        <is>
          <t>5410075384</t>
        </is>
      </c>
      <c r="B1422" s="8" t="inlineStr">
        <is>
          <t>QLD</t>
        </is>
      </c>
      <c r="C1422" s="8" t="inlineStr">
        <is>
          <t>Origin</t>
        </is>
      </c>
      <c r="D1422" s="8" t="n">
        <v>33950</v>
      </c>
      <c r="E1422" s="8" t="n">
        <v>1708.5987</v>
      </c>
      <c r="F1422" s="8" t="n">
        <v>1763.6364</v>
      </c>
      <c r="G1422" s="8" t="inlineStr">
        <is>
          <t>MINERAL TECHNOLOGIES PTY LTD_Origin Energy AGreement_280425_executed.pdf</t>
        </is>
      </c>
      <c r="H1422" s="8" t="inlineStr">
        <is>
          <t>2025-05-01</t>
        </is>
      </c>
      <c r="I1422" s="8" t="inlineStr">
        <is>
          <t>2026-12-31</t>
        </is>
      </c>
      <c r="J1422" s="8" t="inlineStr">
        <is>
          <t>Discount off Origin Basic Usage and Supply Charges</t>
        </is>
      </c>
      <c r="K1422" s="8" t="inlineStr">
        <is>
          <t>FY26 provisional</t>
        </is>
      </c>
      <c r="L1422" s="4" t="inlineStr">
        <is>
          <t>Executed Mineral Technologies agreement and Carrara site attachment. Tender annual total uses Apr-2025 Origin tariff; agreement price fields need tariff confirmation.</t>
        </is>
      </c>
    </row>
    <row r="1423">
      <c r="A1423" s="2" t="inlineStr">
        <is>
          <t>5321918308</t>
        </is>
      </c>
      <c r="B1423" s="8" t="inlineStr">
        <is>
          <t>VIC</t>
        </is>
      </c>
      <c r="C1423" s="8" t="inlineStr">
        <is>
          <t>Origin</t>
        </is>
      </c>
      <c r="D1423" s="8" t="n">
        <v>1640</v>
      </c>
      <c r="E1423" s="8" t="n">
        <v>372.1185</v>
      </c>
      <c r="F1423" s="8" t="n">
        <v>371.8182</v>
      </c>
      <c r="G1423" s="8" t="inlineStr">
        <is>
          <t>FOWLERS ASPHALTING PTY. LIMITED_Origin Energy AGreement_executed.pdf</t>
        </is>
      </c>
      <c r="H1423" s="8" t="inlineStr">
        <is>
          <t>2025-05-01</t>
        </is>
      </c>
      <c r="I1423" s="8" t="inlineStr">
        <is>
          <t>2026-12-31</t>
        </is>
      </c>
      <c r="J1423" s="8" t="inlineStr">
        <is>
          <t>Discount off Origin Basic Usage and Supply Charges</t>
        </is>
      </c>
      <c r="K1423" s="8" t="inlineStr">
        <is>
          <t>Review required</t>
        </is>
      </c>
      <c r="L1423" s="4" t="inlineStr">
        <is>
          <t>Executed Fowlers agreement found, but its VIC natural-gas discount is not populated while tender analysis assumes 10%. Resolve the discrepancy before pricing.</t>
        </is>
      </c>
    </row>
    <row r="1424">
      <c r="A1424" s="5" t="inlineStr">
        <is>
          <t>5323610531</t>
        </is>
      </c>
      <c r="B1424" s="9" t="inlineStr">
        <is>
          <t>VIC</t>
        </is>
      </c>
      <c r="C1424" s="9" t="inlineStr">
        <is>
          <t>Origin</t>
        </is>
      </c>
      <c r="D1424" s="9" t="n">
        <v>337650</v>
      </c>
      <c r="E1424" s="9" t="n">
        <v>8287.906499999999</v>
      </c>
      <c r="F1424" s="9" t="n">
        <v>8858.1818</v>
      </c>
      <c r="G1424" s="9" t="inlineStr">
        <is>
          <t>Not located in SME Gas 2026 agreement folder</t>
        </is>
      </c>
      <c r="H1424" s="9" t="n"/>
      <c r="I1424" s="9" t="n"/>
      <c r="J1424" s="9" t="inlineStr">
        <is>
          <t>Discount off Origin Basic Usage and Supply Charges</t>
        </is>
      </c>
      <c r="K1424" s="9" t="inlineStr">
        <is>
          <t>Review required</t>
        </is>
      </c>
      <c r="L1424" s="7" t="inlineStr">
        <is>
          <t>Tender site list labels this site “Potentially No Interest”; no matching executed agreement was located.</t>
        </is>
      </c>
    </row>
    <row r="1427" ht="30.75" customHeight="1">
      <c r="A1427" s="38" t="inlineStr">
        <is>
          <t>Solstice Secured Pricing raw source schedule</t>
        </is>
      </c>
      <c r="B1427" s="38" t="n"/>
      <c r="C1427" s="38" t="n"/>
      <c r="D1427" s="38" t="n"/>
      <c r="E1427" s="38" t="n"/>
      <c r="F1427" s="38" t="n"/>
    </row>
    <row r="1428" ht="43.5" customHeight="1">
      <c r="A1428" s="39" t="inlineStr">
        <is>
          <t>MIRN</t>
        </is>
      </c>
      <c r="B1428" s="40" t="inlineStr">
        <is>
          <t>Secured Energy Price ($/GJ)</t>
        </is>
      </c>
      <c r="C1428" s="40" t="inlineStr">
        <is>
          <t>Price Start</t>
        </is>
      </c>
      <c r="D1428" s="40" t="inlineStr">
        <is>
          <t>Price End</t>
        </is>
      </c>
      <c r="E1428" s="40" t="inlineStr">
        <is>
          <t>Evidence</t>
        </is>
      </c>
      <c r="F1428" s="41" t="inlineStr">
        <is>
          <t>Future Pricing Treatment</t>
        </is>
      </c>
    </row>
    <row r="1429">
      <c r="A1429" s="5" t="inlineStr">
        <is>
          <t>5762711908</t>
        </is>
      </c>
      <c r="B1429" s="9" t="n">
        <v>17.25</v>
      </c>
      <c r="C1429" s="9" t="inlineStr">
        <is>
          <t>2025-01-01</t>
        </is>
      </c>
      <c r="D1429" s="9" t="inlineStr">
        <is>
          <t>2026-12-31</t>
        </is>
      </c>
      <c r="E1429" s="9" t="inlineStr">
        <is>
          <t>Nick Goldsworthy email 10-Jul-2026: current pricing $17.25/GJ</t>
        </is>
      </c>
      <c r="F1429" s="7" t="inlineStr">
        <is>
          <t>CY2027/CY2028 email proposal was indicative, subject to board approval and expired; N/A</t>
        </is>
      </c>
    </row>
    <row r="1432" ht="30.75" customHeight="1">
      <c r="A1432" s="38" t="inlineStr">
        <is>
          <t>Latest AU SME Multisite Spend Summary raw source schedule</t>
        </is>
      </c>
      <c r="B1432" s="38" t="n"/>
      <c r="C1432" s="38" t="n"/>
      <c r="D1432" s="38" t="n"/>
      <c r="E1432" s="38" t="n"/>
      <c r="F1432" s="38" t="n"/>
      <c r="G1432" s="38" t="n"/>
      <c r="H1432" s="38" t="n"/>
      <c r="I1432" s="38" t="n"/>
      <c r="J1432" s="38" t="n"/>
      <c r="K1432" s="38" t="n"/>
    </row>
    <row r="1433" ht="43.5" customHeight="1">
      <c r="A1433" s="39" t="inlineStr">
        <is>
          <t>MIRN</t>
        </is>
      </c>
      <c r="B1433" s="40" t="inlineStr">
        <is>
          <t>State</t>
        </is>
      </c>
      <c r="C1433" s="40" t="inlineStr">
        <is>
          <t>Site Name</t>
        </is>
      </c>
      <c r="D1433" s="40" t="inlineStr">
        <is>
          <t>Entity</t>
        </is>
      </c>
      <c r="E1433" s="40" t="inlineStr">
        <is>
          <t>Annual Usage (MJ)</t>
        </is>
      </c>
      <c r="F1433" s="40" t="inlineStr">
        <is>
          <t>Current Spend</t>
        </is>
      </c>
      <c r="G1433" s="40" t="inlineStr">
        <is>
          <t>Recommended Spend</t>
        </is>
      </c>
      <c r="H1433" s="40" t="inlineStr">
        <is>
          <t>Retailer</t>
        </is>
      </c>
      <c r="I1433" s="40" t="inlineStr">
        <is>
          <t>Contract Start</t>
        </is>
      </c>
      <c r="J1433" s="40" t="inlineStr">
        <is>
          <t>Contract End</t>
        </is>
      </c>
      <c r="K1433" s="41" t="inlineStr">
        <is>
          <t>Evidence</t>
        </is>
      </c>
    </row>
    <row r="1434">
      <c r="A1434" s="2" t="inlineStr">
        <is>
          <t>5247083098</t>
        </is>
      </c>
      <c r="B1434" s="8" t="inlineStr">
        <is>
          <t>NSW</t>
        </is>
      </c>
      <c r="C1434" s="8" t="inlineStr">
        <is>
          <t>NSW Schools 2  -Rouse Hill</t>
        </is>
      </c>
      <c r="D1434" s="8" t="inlineStr">
        <is>
          <t>Spotless Facility Services Pty Ltd</t>
        </is>
      </c>
      <c r="E1434" s="8" t="n">
        <v>1000</v>
      </c>
      <c r="F1434" s="8" t="n">
        <v>432.1354999999999</v>
      </c>
      <c r="G1434" s="8" t="n">
        <v>391.5405999999999</v>
      </c>
      <c r="H1434" s="8" t="inlineStr">
        <is>
          <t>Origin</t>
        </is>
      </c>
      <c r="I1434" s="8" t="inlineStr">
        <is>
          <t>2026-07-01</t>
        </is>
      </c>
      <c r="J1434" s="8" t="inlineStr">
        <is>
          <t>2028-06-30</t>
        </is>
      </c>
      <c r="K1434" s="4" t="inlineStr">
        <is>
          <t>Executed 24-month Origin SME Multisite Agreement</t>
        </is>
      </c>
    </row>
    <row r="1435">
      <c r="A1435" s="2" t="inlineStr">
        <is>
          <t>5321918308</t>
        </is>
      </c>
      <c r="B1435" s="8" t="inlineStr">
        <is>
          <t>VIC</t>
        </is>
      </c>
      <c r="C1435" s="8" t="inlineStr">
        <is>
          <t>Fowlers Asphalting Trafalgar (Contour Road)</t>
        </is>
      </c>
      <c r="D1435" s="8" t="inlineStr">
        <is>
          <t>Fowlers Asphalting Pty Ltd</t>
        </is>
      </c>
      <c r="E1435" s="8" t="n">
        <v>0</v>
      </c>
      <c r="F1435" s="8" t="n">
        <v>364.5255</v>
      </c>
      <c r="G1435" s="8" t="n">
        <v>335.02547</v>
      </c>
      <c r="H1435" s="8" t="inlineStr">
        <is>
          <t>Origin</t>
        </is>
      </c>
      <c r="I1435" s="8" t="inlineStr">
        <is>
          <t>2026-07-01</t>
        </is>
      </c>
      <c r="J1435" s="8" t="inlineStr">
        <is>
          <t>2028-06-30</t>
        </is>
      </c>
      <c r="K1435" s="4" t="inlineStr">
        <is>
          <t>Executed 24-month Origin SME Multisite Agreement</t>
        </is>
      </c>
    </row>
    <row r="1436">
      <c r="A1436" s="2" t="inlineStr">
        <is>
          <t>5247074005</t>
        </is>
      </c>
      <c r="B1436" s="8" t="inlineStr">
        <is>
          <t>NSW</t>
        </is>
      </c>
      <c r="C1436" s="8" t="inlineStr">
        <is>
          <t>NSW Schools 2  - Tullimbar</t>
        </is>
      </c>
      <c r="D1436" s="8" t="inlineStr">
        <is>
          <t>Spotless Facility Services Pty Ltd</t>
        </is>
      </c>
      <c r="E1436" s="8" t="n">
        <v>1000</v>
      </c>
      <c r="F1436" s="8" t="n">
        <v>432.1354999999999</v>
      </c>
      <c r="G1436" s="8" t="n">
        <v>391.5405999999999</v>
      </c>
      <c r="H1436" s="8" t="inlineStr">
        <is>
          <t>Origin</t>
        </is>
      </c>
      <c r="I1436" s="8" t="inlineStr">
        <is>
          <t>2026-07-01</t>
        </is>
      </c>
      <c r="J1436" s="8" t="inlineStr">
        <is>
          <t>2028-06-30</t>
        </is>
      </c>
      <c r="K1436" s="4" t="inlineStr">
        <is>
          <t>Executed 24-month Origin SME Multisite Agreement</t>
        </is>
      </c>
    </row>
    <row r="1437">
      <c r="A1437" s="2" t="inlineStr">
        <is>
          <t>5410086500</t>
        </is>
      </c>
      <c r="B1437" s="8" t="inlineStr">
        <is>
          <t>QLD</t>
        </is>
      </c>
      <c r="C1437" s="8" t="inlineStr">
        <is>
          <t>SPOTLESS SOUTHBANK TAFE</t>
        </is>
      </c>
      <c r="D1437" s="8" t="inlineStr">
        <is>
          <t>Spotless Facility Services Pty Ltd</t>
        </is>
      </c>
      <c r="E1437" s="8" t="n">
        <v>504905</v>
      </c>
      <c r="F1437" s="8" t="n">
        <v>17784.66917142857</v>
      </c>
      <c r="G1437" s="8" t="n">
        <v>18629.914325184</v>
      </c>
      <c r="H1437" s="8" t="inlineStr">
        <is>
          <t>Origin</t>
        </is>
      </c>
      <c r="I1437" s="8" t="inlineStr">
        <is>
          <t>2026-07-01</t>
        </is>
      </c>
      <c r="J1437" s="8" t="inlineStr">
        <is>
          <t>2028-06-30</t>
        </is>
      </c>
      <c r="K1437" s="4" t="inlineStr">
        <is>
          <t>Executed 24-month Origin SME Multisite Agreement</t>
        </is>
      </c>
    </row>
    <row r="1438">
      <c r="A1438" s="2" t="inlineStr">
        <is>
          <t>5247058378</t>
        </is>
      </c>
      <c r="B1438" s="8" t="inlineStr">
        <is>
          <t>NSW</t>
        </is>
      </c>
      <c r="C1438" s="8" t="inlineStr">
        <is>
          <t>NSW Schools 2 -Ashtonfield</t>
        </is>
      </c>
      <c r="D1438" s="8" t="inlineStr">
        <is>
          <t>Spotless Facility Services Pty Ltd</t>
        </is>
      </c>
      <c r="E1438" s="8" t="n">
        <v>1000</v>
      </c>
      <c r="F1438" s="8" t="n">
        <v>432.1354999999999</v>
      </c>
      <c r="G1438" s="8" t="n">
        <v>391.5405999999999</v>
      </c>
      <c r="H1438" s="8" t="inlineStr">
        <is>
          <t>Origin</t>
        </is>
      </c>
      <c r="I1438" s="8" t="inlineStr">
        <is>
          <t>2026-07-01</t>
        </is>
      </c>
      <c r="J1438" s="8" t="inlineStr">
        <is>
          <t>2028-06-30</t>
        </is>
      </c>
      <c r="K1438" s="4" t="inlineStr">
        <is>
          <t>Executed 24-month Origin SME Multisite Agreement</t>
        </is>
      </c>
    </row>
    <row r="1439">
      <c r="A1439" s="2" t="inlineStr">
        <is>
          <t>5510484999</t>
        </is>
      </c>
      <c r="B1439" s="8" t="inlineStr">
        <is>
          <t>SA</t>
        </is>
      </c>
      <c r="C1439" s="8" t="inlineStr">
        <is>
          <t>Roads - Largs Bay</t>
        </is>
      </c>
      <c r="D1439" s="8" t="inlineStr">
        <is>
          <t>Downer EDI Works Pty Ltd</t>
        </is>
      </c>
      <c r="E1439" s="8" t="n">
        <v>766606</v>
      </c>
      <c r="F1439" s="8" t="n">
        <v>21670.74222</v>
      </c>
      <c r="G1439" s="8" t="n">
        <v>25122.930773364</v>
      </c>
      <c r="H1439" s="8" t="inlineStr">
        <is>
          <t>Origin</t>
        </is>
      </c>
      <c r="I1439" s="8" t="inlineStr">
        <is>
          <t>2026-07-01</t>
        </is>
      </c>
      <c r="J1439" s="8" t="inlineStr">
        <is>
          <t>2028-06-30</t>
        </is>
      </c>
      <c r="K1439" s="4" t="inlineStr">
        <is>
          <t>Executed 24-month Origin SME Multisite Agreement</t>
        </is>
      </c>
    </row>
    <row r="1440">
      <c r="A1440" s="2" t="inlineStr">
        <is>
          <t>5410078053</t>
        </is>
      </c>
      <c r="B1440" s="8" t="inlineStr">
        <is>
          <t>QLD</t>
        </is>
      </c>
      <c r="C1440" s="8" t="inlineStr">
        <is>
          <t>SPOTLESS SOUTHBANK TAFE</t>
        </is>
      </c>
      <c r="D1440" s="8" t="inlineStr">
        <is>
          <t>Spotless Facility Services Pty Ltd</t>
        </is>
      </c>
      <c r="E1440" s="8" t="n">
        <v>153318</v>
      </c>
      <c r="F1440" s="8" t="n">
        <v>6346.395100000001</v>
      </c>
      <c r="G1440" s="8" t="n">
        <v>6519.69027</v>
      </c>
      <c r="H1440" s="8" t="inlineStr">
        <is>
          <t>Origin</t>
        </is>
      </c>
      <c r="I1440" s="8" t="inlineStr">
        <is>
          <t>2026-07-01</t>
        </is>
      </c>
      <c r="J1440" s="8" t="inlineStr">
        <is>
          <t>2028-06-30</t>
        </is>
      </c>
      <c r="K1440" s="4" t="inlineStr">
        <is>
          <t>Executed 24-month Origin SME Multisite Agreement</t>
        </is>
      </c>
    </row>
    <row r="1441">
      <c r="A1441" s="2" t="inlineStr">
        <is>
          <t>5420000032</t>
        </is>
      </c>
      <c r="B1441" s="8" t="inlineStr">
        <is>
          <t>QLD</t>
        </is>
      </c>
      <c r="C1441" s="8" t="inlineStr">
        <is>
          <t>Rail - Maryborough</t>
        </is>
      </c>
      <c r="D1441" s="8" t="inlineStr">
        <is>
          <t>Downer EDI Rail Pty Ltd</t>
        </is>
      </c>
      <c r="E1441" s="8" t="n">
        <v>888078</v>
      </c>
      <c r="F1441" s="8" t="n">
        <v>38413.41237272727</v>
      </c>
      <c r="G1441" s="8" t="n">
        <v>39296.52378</v>
      </c>
      <c r="H1441" s="8" t="inlineStr">
        <is>
          <t>Origin</t>
        </is>
      </c>
      <c r="I1441" s="8" t="inlineStr">
        <is>
          <t>2026-07-01</t>
        </is>
      </c>
      <c r="J1441" s="8" t="inlineStr">
        <is>
          <t>2028-06-30</t>
        </is>
      </c>
      <c r="K1441" s="4" t="inlineStr">
        <is>
          <t>Executed 24-month Origin SME Multisite Agreement</t>
        </is>
      </c>
    </row>
    <row r="1442">
      <c r="A1442" s="2" t="inlineStr">
        <is>
          <t>5246209066</t>
        </is>
      </c>
      <c r="B1442" s="8" t="inlineStr">
        <is>
          <t>NSW</t>
        </is>
      </c>
      <c r="C1442" s="8" t="inlineStr">
        <is>
          <t>Spotless NSW Schools 2 - Elderslie PS</t>
        </is>
      </c>
      <c r="D1442" s="8" t="inlineStr">
        <is>
          <t>Spotless Facility Services Pty Ltd</t>
        </is>
      </c>
      <c r="E1442" s="8" t="n">
        <v>1000</v>
      </c>
      <c r="F1442" s="8" t="n">
        <v>432.1354999999999</v>
      </c>
      <c r="G1442" s="8" t="n">
        <v>391.5405999999999</v>
      </c>
      <c r="H1442" s="8" t="inlineStr">
        <is>
          <t>Origin</t>
        </is>
      </c>
      <c r="I1442" s="8" t="inlineStr">
        <is>
          <t>2026-07-01</t>
        </is>
      </c>
      <c r="J1442" s="8" t="inlineStr">
        <is>
          <t>2028-06-30</t>
        </is>
      </c>
      <c r="K1442" s="4" t="inlineStr">
        <is>
          <t>Executed 24-month Origin SME Multisite Agreement</t>
        </is>
      </c>
    </row>
    <row r="1443">
      <c r="A1443" s="2" t="inlineStr">
        <is>
          <t>5247072833</t>
        </is>
      </c>
      <c r="B1443" s="8" t="inlineStr">
        <is>
          <t>NSW</t>
        </is>
      </c>
      <c r="C1443" s="8" t="inlineStr">
        <is>
          <t>NSW Schools John Palmer PS</t>
        </is>
      </c>
      <c r="D1443" s="8" t="inlineStr">
        <is>
          <t>Spotless Facility Services Pty Ltd</t>
        </is>
      </c>
      <c r="E1443" s="8" t="n">
        <v>1000</v>
      </c>
      <c r="F1443" s="8" t="n">
        <v>432.1354999999999</v>
      </c>
      <c r="G1443" s="8" t="n">
        <v>391.5405999999999</v>
      </c>
      <c r="H1443" s="8" t="inlineStr">
        <is>
          <t>Origin</t>
        </is>
      </c>
      <c r="I1443" s="8" t="inlineStr">
        <is>
          <t>2026-07-01</t>
        </is>
      </c>
      <c r="J1443" s="8" t="inlineStr">
        <is>
          <t>2028-06-30</t>
        </is>
      </c>
      <c r="K1443" s="4" t="inlineStr">
        <is>
          <t>Executed 24-month Origin SME Multisite Agreement</t>
        </is>
      </c>
    </row>
    <row r="1444">
      <c r="A1444" s="2" t="inlineStr">
        <is>
          <t>5247072812</t>
        </is>
      </c>
      <c r="B1444" s="8" t="inlineStr">
        <is>
          <t>NSW</t>
        </is>
      </c>
      <c r="C1444" s="8" t="inlineStr">
        <is>
          <t>NSW Schools 2 - Ropes Crossing</t>
        </is>
      </c>
      <c r="D1444" s="8" t="inlineStr">
        <is>
          <t>Spotless Facility Services Pty Ltd</t>
        </is>
      </c>
      <c r="E1444" s="8" t="n">
        <v>1000</v>
      </c>
      <c r="F1444" s="8" t="n">
        <v>432.1354999999999</v>
      </c>
      <c r="G1444" s="8" t="n">
        <v>391.5405999999999</v>
      </c>
      <c r="H1444" s="8" t="inlineStr">
        <is>
          <t>Origin</t>
        </is>
      </c>
      <c r="I1444" s="8" t="inlineStr">
        <is>
          <t>2026-07-01</t>
        </is>
      </c>
      <c r="J1444" s="8" t="inlineStr">
        <is>
          <t>2028-06-30</t>
        </is>
      </c>
      <c r="K1444" s="4" t="inlineStr">
        <is>
          <t>Executed 24-month Origin SME Multisite Agreement</t>
        </is>
      </c>
    </row>
    <row r="1445">
      <c r="A1445" s="2" t="inlineStr">
        <is>
          <t>5410075384</t>
        </is>
      </c>
      <c r="B1445" s="8" t="inlineStr">
        <is>
          <t>QLD</t>
        </is>
      </c>
      <c r="C1445" s="8" t="inlineStr">
        <is>
          <t>Mineral Tech - Carrara</t>
        </is>
      </c>
      <c r="D1445" s="8" t="inlineStr">
        <is>
          <t>Mineral Technologies Pty Ltd</t>
        </is>
      </c>
      <c r="E1445" s="8" t="n">
        <v>27439</v>
      </c>
      <c r="F1445" s="8" t="n">
        <v>1537.8173</v>
      </c>
      <c r="G1445" s="8" t="n">
        <v>1580.19831</v>
      </c>
      <c r="H1445" s="8" t="inlineStr">
        <is>
          <t>Origin</t>
        </is>
      </c>
      <c r="I1445" s="8" t="inlineStr">
        <is>
          <t>2026-07-01</t>
        </is>
      </c>
      <c r="J1445" s="8" t="inlineStr">
        <is>
          <t>2028-06-30</t>
        </is>
      </c>
      <c r="K1445" s="4" t="inlineStr">
        <is>
          <t>Executed 24-month Origin SME Multisite Agreement</t>
        </is>
      </c>
    </row>
    <row r="1446">
      <c r="A1446" s="2" t="inlineStr">
        <is>
          <t>5247063334</t>
        </is>
      </c>
      <c r="B1446" s="8" t="inlineStr">
        <is>
          <t>NSW</t>
        </is>
      </c>
      <c r="C1446" s="8" t="inlineStr">
        <is>
          <t>Spotless NSW Schools 2 - Halinda HS</t>
        </is>
      </c>
      <c r="D1446" s="8" t="inlineStr">
        <is>
          <t>Spotless Facility Services Pty Ltd</t>
        </is>
      </c>
      <c r="E1446" s="8" t="n">
        <v>1000</v>
      </c>
      <c r="F1446" s="8" t="n">
        <v>432.1354999999999</v>
      </c>
      <c r="G1446" s="8" t="n">
        <v>391.5405999999999</v>
      </c>
      <c r="H1446" s="8" t="inlineStr">
        <is>
          <t>Origin</t>
        </is>
      </c>
      <c r="I1446" s="8" t="inlineStr">
        <is>
          <t>2026-07-01</t>
        </is>
      </c>
      <c r="J1446" s="8" t="inlineStr">
        <is>
          <t>2028-06-30</t>
        </is>
      </c>
      <c r="K1446" s="4" t="inlineStr">
        <is>
          <t>Executed 24-month Origin SME Multisite Agreement</t>
        </is>
      </c>
    </row>
    <row r="1447">
      <c r="A1447" s="2" t="inlineStr">
        <is>
          <t>5243917108</t>
        </is>
      </c>
      <c r="B1447" s="8" t="inlineStr">
        <is>
          <t>NSW</t>
        </is>
      </c>
      <c r="C1447" s="8" t="inlineStr">
        <is>
          <t>NSW Schools 2 - Kariong</t>
        </is>
      </c>
      <c r="D1447" s="8" t="inlineStr">
        <is>
          <t>Spotless Facility Services Pty Ltd</t>
        </is>
      </c>
      <c r="E1447" s="8" t="n">
        <v>1000</v>
      </c>
      <c r="F1447" s="8" t="n">
        <v>432.1354999999999</v>
      </c>
      <c r="G1447" s="8" t="n">
        <v>391.5405999999999</v>
      </c>
      <c r="H1447" s="8" t="inlineStr">
        <is>
          <t>Origin</t>
        </is>
      </c>
      <c r="I1447" s="8" t="inlineStr">
        <is>
          <t>2026-07-01</t>
        </is>
      </c>
      <c r="J1447" s="8" t="inlineStr">
        <is>
          <t>2028-06-30</t>
        </is>
      </c>
      <c r="K1447" s="4" t="inlineStr">
        <is>
          <t>Executed 24-month Origin SME Multisite Agreement</t>
        </is>
      </c>
    </row>
    <row r="1448">
      <c r="A1448" s="2" t="inlineStr">
        <is>
          <t>5270000035</t>
        </is>
      </c>
      <c r="B1448" s="8" t="inlineStr">
        <is>
          <t>NSW</t>
        </is>
      </c>
      <c r="C1448" s="8" t="inlineStr">
        <is>
          <t>Roads - Tamworth</t>
        </is>
      </c>
      <c r="D1448" s="8" t="inlineStr">
        <is>
          <t>Downer EDI Works Pty Ltd</t>
        </is>
      </c>
      <c r="E1448" s="8" t="n">
        <v>0</v>
      </c>
      <c r="F1448" s="8" t="n">
        <v>384.2354999999999</v>
      </c>
      <c r="G1448" s="8" t="n">
        <v>349.4655999999999</v>
      </c>
      <c r="H1448" s="8" t="inlineStr">
        <is>
          <t>Origin</t>
        </is>
      </c>
      <c r="I1448" s="8" t="inlineStr">
        <is>
          <t>2026-07-01</t>
        </is>
      </c>
      <c r="J1448" s="8" t="inlineStr">
        <is>
          <t>2028-06-30</t>
        </is>
      </c>
      <c r="K1448" s="4" t="inlineStr">
        <is>
          <t>Executed 24-month Origin SME Multisite Agreement</t>
        </is>
      </c>
    </row>
    <row r="1449">
      <c r="A1449" s="2" t="inlineStr">
        <is>
          <t>5247082981</t>
        </is>
      </c>
      <c r="B1449" s="8" t="inlineStr">
        <is>
          <t>NSW</t>
        </is>
      </c>
      <c r="C1449" s="8" t="inlineStr">
        <is>
          <t>NSW Schools 2 - Warnervale</t>
        </is>
      </c>
      <c r="D1449" s="8" t="inlineStr">
        <is>
          <t>Spotless Facility Services Pty Ltd</t>
        </is>
      </c>
      <c r="E1449" s="8" t="n">
        <v>1000</v>
      </c>
      <c r="F1449" s="8" t="n">
        <v>432.1354999999999</v>
      </c>
      <c r="G1449" s="8" t="n">
        <v>391.5405999999999</v>
      </c>
      <c r="H1449" s="8" t="inlineStr">
        <is>
          <t>Origin</t>
        </is>
      </c>
      <c r="I1449" s="8" t="inlineStr">
        <is>
          <t>2026-07-01</t>
        </is>
      </c>
      <c r="J1449" s="8" t="inlineStr">
        <is>
          <t>2028-06-30</t>
        </is>
      </c>
      <c r="K1449" s="4" t="inlineStr">
        <is>
          <t>Executed 24-month Origin SME Multisite Agreement</t>
        </is>
      </c>
    </row>
    <row r="1450">
      <c r="A1450" s="5" t="inlineStr">
        <is>
          <t>5240431343</t>
        </is>
      </c>
      <c r="B1450" s="9" t="inlineStr">
        <is>
          <t>NSW</t>
        </is>
      </c>
      <c r="C1450" s="9" t="inlineStr">
        <is>
          <t>NSW Schools 2 -Kelso</t>
        </is>
      </c>
      <c r="D1450" s="9" t="inlineStr">
        <is>
          <t>Spotless Facility Services Pty Ltd</t>
        </is>
      </c>
      <c r="E1450" s="9" t="n">
        <v>1000</v>
      </c>
      <c r="F1450" s="9" t="n">
        <v>432.1354999999999</v>
      </c>
      <c r="G1450" s="9" t="n">
        <v>391.5405999999999</v>
      </c>
      <c r="H1450" s="9" t="inlineStr">
        <is>
          <t>Origin</t>
        </is>
      </c>
      <c r="I1450" s="9" t="inlineStr">
        <is>
          <t>2026-07-01</t>
        </is>
      </c>
      <c r="J1450" s="9" t="inlineStr">
        <is>
          <t>2028-06-30</t>
        </is>
      </c>
      <c r="K1450" s="7" t="inlineStr">
        <is>
          <t>Executed 24-month Origin SME Multisite Agreement</t>
        </is>
      </c>
    </row>
    <row r="1453" ht="30.75" customHeight="1">
      <c r="A1453" s="38" t="inlineStr">
        <is>
          <t>WA Alinta Contract Drivers raw source schedule</t>
        </is>
      </c>
      <c r="B1453" s="38" t="n"/>
      <c r="C1453" s="38" t="n"/>
      <c r="D1453" s="38" t="n"/>
    </row>
    <row r="1454" ht="43.5" customHeight="1">
      <c r="A1454" s="39" t="inlineStr">
        <is>
          <t>NMI</t>
        </is>
      </c>
      <c r="B1454" s="40" t="inlineStr">
        <is>
          <t>FY27 Delivered Rate ($/kWh)</t>
        </is>
      </c>
      <c r="C1454" s="40" t="inlineStr">
        <is>
          <t>FY28 Delivered Rate ($/kWh)</t>
        </is>
      </c>
      <c r="D1454" s="41" t="inlineStr">
        <is>
          <t>Contract status</t>
        </is>
      </c>
    </row>
    <row r="1455">
      <c r="A1455" s="2" t="inlineStr">
        <is>
          <t>8001000591</t>
        </is>
      </c>
      <c r="B1455" s="8" t="n">
        <v>0.3117604006401556</v>
      </c>
      <c r="C1455" s="8" t="n">
        <v>0.3117604006401556</v>
      </c>
      <c r="D1455" s="4" t="inlineStr">
        <is>
          <t>Alinta countersigned; BAFO all-in rate retained pending visual reconciliation of image-only price pages</t>
        </is>
      </c>
    </row>
    <row r="1456">
      <c r="A1456" s="2" t="inlineStr">
        <is>
          <t>8001000592</t>
        </is>
      </c>
      <c r="B1456" s="8" t="n">
        <v>0.3117604006401556</v>
      </c>
      <c r="C1456" s="8" t="n">
        <v>0.3117604006401556</v>
      </c>
      <c r="D1456" s="4" t="inlineStr">
        <is>
          <t>Alinta countersigned; BAFO all-in rate retained pending visual reconciliation of image-only price pages</t>
        </is>
      </c>
    </row>
    <row r="1457">
      <c r="A1457" s="2" t="inlineStr">
        <is>
          <t>8001010840</t>
        </is>
      </c>
      <c r="B1457" s="8" t="n">
        <v>0.3117604006401556</v>
      </c>
      <c r="C1457" s="8" t="n">
        <v>0.3117604006401556</v>
      </c>
      <c r="D1457" s="4" t="inlineStr">
        <is>
          <t>Alinta countersigned; BAFO all-in rate retained pending visual reconciliation of image-only price pages</t>
        </is>
      </c>
    </row>
    <row r="1458">
      <c r="A1458" s="2" t="inlineStr">
        <is>
          <t>8001015167</t>
        </is>
      </c>
      <c r="B1458" s="8" t="n">
        <v>0.3117604006401556</v>
      </c>
      <c r="C1458" s="8" t="n">
        <v>0.3117604006401556</v>
      </c>
      <c r="D1458" s="4" t="inlineStr">
        <is>
          <t>Alinta countersigned; BAFO all-in rate retained pending visual reconciliation of image-only price pages</t>
        </is>
      </c>
    </row>
    <row r="1459">
      <c r="A1459" s="2" t="inlineStr">
        <is>
          <t>8001016501</t>
        </is>
      </c>
      <c r="B1459" s="8" t="n">
        <v>0.3117604006401556</v>
      </c>
      <c r="C1459" s="8" t="n">
        <v>0.3117604006401556</v>
      </c>
      <c r="D1459" s="4" t="inlineStr">
        <is>
          <t>Alinta countersigned; BAFO all-in rate retained pending visual reconciliation of image-only price pages</t>
        </is>
      </c>
    </row>
    <row r="1460">
      <c r="A1460" s="2" t="inlineStr">
        <is>
          <t>8001356541</t>
        </is>
      </c>
      <c r="B1460" s="8" t="n">
        <v>0.3117604006401556</v>
      </c>
      <c r="C1460" s="8" t="n">
        <v>0.3117604006401556</v>
      </c>
      <c r="D1460" s="4" t="inlineStr">
        <is>
          <t>Alinta countersigned; BAFO all-in rate retained pending visual reconciliation of image-only price pages</t>
        </is>
      </c>
    </row>
    <row r="1461">
      <c r="A1461" s="5" t="inlineStr">
        <is>
          <t>8002193716</t>
        </is>
      </c>
      <c r="B1461" s="9" t="n">
        <v>0.3117604006401556</v>
      </c>
      <c r="C1461" s="9" t="n">
        <v>0.3117604006401556</v>
      </c>
      <c r="D1461" s="7" t="inlineStr">
        <is>
          <t>Alinta countersigned; BAFO all-in rate retained pending visual reconciliation of image-only price pages</t>
        </is>
      </c>
    </row>
    <row r="1464" ht="30.75" customHeight="1">
      <c r="A1464" s="38" t="inlineStr">
        <is>
          <t>TAS Shell Contract Drivers raw source schedule</t>
        </is>
      </c>
      <c r="B1464" s="38" t="n"/>
      <c r="C1464" s="38" t="n"/>
      <c r="D1464" s="38" t="n"/>
    </row>
    <row r="1465" ht="43.5" customHeight="1">
      <c r="A1465" s="39" t="inlineStr">
        <is>
          <t>NMI</t>
        </is>
      </c>
      <c r="B1465" s="40" t="inlineStr">
        <is>
          <t>FY27 Delivered Rate ($/kWh)</t>
        </is>
      </c>
      <c r="C1465" s="40" t="inlineStr">
        <is>
          <t>FY28 Delivered Rate ($/kWh)</t>
        </is>
      </c>
      <c r="D1465" s="41" t="inlineStr">
        <is>
          <t>Contract status</t>
        </is>
      </c>
    </row>
    <row r="1466">
      <c r="A1466" s="2" t="inlineStr">
        <is>
          <t>8000002117</t>
        </is>
      </c>
      <c r="B1466" s="8" t="n">
        <v>0.2884902230496</v>
      </c>
      <c r="C1466" s="8" t="n">
        <v>0.2879819417046</v>
      </c>
      <c r="D1466" s="4" t="inlineStr">
        <is>
          <t>Shell countersigned to 30-Jun-2030; signed energy rates confirmed, analysis used for pass-through components</t>
        </is>
      </c>
    </row>
    <row r="1467">
      <c r="A1467" s="2" t="inlineStr">
        <is>
          <t>8000002963</t>
        </is>
      </c>
      <c r="B1467" s="8" t="n">
        <v>0.2884902230496</v>
      </c>
      <c r="C1467" s="8" t="n">
        <v>0.2879819417046</v>
      </c>
      <c r="D1467" s="4" t="inlineStr">
        <is>
          <t>Shell countersigned to 30-Jun-2030; signed energy rates confirmed, analysis used for pass-through components</t>
        </is>
      </c>
    </row>
    <row r="1468">
      <c r="A1468" s="5" t="inlineStr">
        <is>
          <t>8000326927</t>
        </is>
      </c>
      <c r="B1468" s="9" t="n">
        <v>0.2884902230496</v>
      </c>
      <c r="C1468" s="9" t="n">
        <v>0.2879819417046</v>
      </c>
      <c r="D1468" s="7" t="inlineStr">
        <is>
          <t>Shell countersigned to 30-Jun-2030; signed energy rates confirmed, analysis used for pass-through components</t>
        </is>
      </c>
    </row>
    <row r="1471" ht="30.75" customHeight="1">
      <c r="A1471" s="38" t="inlineStr">
        <is>
          <t>NZ NTOU Gas Contract Drivers raw source schedule</t>
        </is>
      </c>
      <c r="B1471" s="38" t="n"/>
      <c r="C1471" s="38" t="n"/>
      <c r="D1471" s="38" t="n"/>
      <c r="E1471" s="38" t="n"/>
    </row>
    <row r="1472" ht="43.5" customHeight="1">
      <c r="A1472" s="39" t="inlineStr">
        <is>
          <t>ICP</t>
        </is>
      </c>
      <c r="B1472" s="40" t="inlineStr">
        <is>
          <t>FY27 Annual Cost (NZD)</t>
        </is>
      </c>
      <c r="C1472" s="40" t="inlineStr">
        <is>
          <t>FY28 Annual Cost (NZD)</t>
        </is>
      </c>
      <c r="D1472" s="40" t="inlineStr">
        <is>
          <t>Contract Term</t>
        </is>
      </c>
      <c r="E1472" s="41" t="inlineStr">
        <is>
          <t>Assumption</t>
        </is>
      </c>
    </row>
    <row r="1473">
      <c r="A1473" s="2" t="inlineStr">
        <is>
          <t>0001002400PGD55</t>
        </is>
      </c>
      <c r="B1473" s="8" t="n">
        <v>2155.896486</v>
      </c>
      <c r="C1473" s="8" t="n">
        <v>2155.896486</v>
      </c>
      <c r="D1473" s="8" t="inlineStr">
        <is>
          <t>Fixed Nova components to 30-Sep-2030</t>
        </is>
      </c>
      <c r="E1473" s="4" t="inlineStr">
        <is>
          <t>Network, transmission, metering, levy and regulatory components remain variable</t>
        </is>
      </c>
    </row>
    <row r="1474">
      <c r="A1474" s="2" t="inlineStr">
        <is>
          <t>0001700321PG50C</t>
        </is>
      </c>
      <c r="B1474" s="8" t="n">
        <v>1320.358655529954</v>
      </c>
      <c r="C1474" s="8" t="n">
        <v>1320.358655529954</v>
      </c>
      <c r="D1474" s="8" t="inlineStr">
        <is>
          <t>Fixed Nova components to 30-Sep-2030</t>
        </is>
      </c>
      <c r="E1474" s="4" t="inlineStr">
        <is>
          <t>Network, transmission, metering, levy and regulatory components remain variable</t>
        </is>
      </c>
    </row>
    <row r="1475">
      <c r="A1475" s="2" t="inlineStr">
        <is>
          <t>0001702030PG3A7</t>
        </is>
      </c>
      <c r="B1475" s="8" t="n">
        <v>2117.238812355658</v>
      </c>
      <c r="C1475" s="8" t="n">
        <v>2117.238812355658</v>
      </c>
      <c r="D1475" s="8" t="inlineStr">
        <is>
          <t>Fixed Nova components to 30-Sep-2030</t>
        </is>
      </c>
      <c r="E1475" s="4" t="inlineStr">
        <is>
          <t>Network, transmission, metering, levy and regulatory components remain variable</t>
        </is>
      </c>
    </row>
    <row r="1476">
      <c r="A1476" s="2" t="inlineStr">
        <is>
          <t>0004212495NG7EE</t>
        </is>
      </c>
      <c r="B1476" s="8" t="n">
        <v>1084.361782949309</v>
      </c>
      <c r="C1476" s="8" t="n">
        <v>1084.361782949309</v>
      </c>
      <c r="D1476" s="8" t="inlineStr">
        <is>
          <t>Fixed Nova components to 30-Sep-2030</t>
        </is>
      </c>
      <c r="E1476" s="4" t="inlineStr">
        <is>
          <t>Network, transmission, metering, levy and regulatory components remain variable</t>
        </is>
      </c>
    </row>
    <row r="1477">
      <c r="A1477" s="2" t="inlineStr">
        <is>
          <t>0004212498NG8B5</t>
        </is>
      </c>
      <c r="B1477" s="8" t="n">
        <v>1212.148737096774</v>
      </c>
      <c r="C1477" s="8" t="n">
        <v>1212.148737096774</v>
      </c>
      <c r="D1477" s="8" t="inlineStr">
        <is>
          <t>Fixed Nova components to 30-Sep-2030</t>
        </is>
      </c>
      <c r="E1477" s="4" t="inlineStr">
        <is>
          <t>Network, transmission, metering, levy and regulatory components remain variable</t>
        </is>
      </c>
    </row>
    <row r="1478">
      <c r="A1478" s="2" t="inlineStr">
        <is>
          <t>0011001339PGB95</t>
        </is>
      </c>
      <c r="B1478" s="8" t="n">
        <v>1940.091681531531</v>
      </c>
      <c r="C1478" s="8" t="n">
        <v>1940.091681531531</v>
      </c>
      <c r="D1478" s="8" t="inlineStr">
        <is>
          <t>Fixed Nova components to 30-Sep-2030</t>
        </is>
      </c>
      <c r="E1478" s="4" t="inlineStr">
        <is>
          <t>Network, transmission, metering, levy and regulatory components remain variable</t>
        </is>
      </c>
    </row>
    <row r="1479">
      <c r="A1479" s="2" t="inlineStr">
        <is>
          <t>0011002529PG5DE</t>
        </is>
      </c>
      <c r="B1479" s="8" t="n">
        <v>1721.373996082949</v>
      </c>
      <c r="C1479" s="8" t="n">
        <v>1721.373996082949</v>
      </c>
      <c r="D1479" s="8" t="inlineStr">
        <is>
          <t>Fixed Nova components to 30-Sep-2030</t>
        </is>
      </c>
      <c r="E1479" s="4" t="inlineStr">
        <is>
          <t>Network, transmission, metering, levy and regulatory components remain variable</t>
        </is>
      </c>
    </row>
    <row r="1480">
      <c r="A1480" s="2" t="inlineStr">
        <is>
          <t>0042250800PG852</t>
        </is>
      </c>
      <c r="B1480" s="8" t="n">
        <v>663.522632593458</v>
      </c>
      <c r="C1480" s="8" t="n">
        <v>663.522632593458</v>
      </c>
      <c r="D1480" s="8" t="inlineStr">
        <is>
          <t>Fixed Nova components to 30-Sep-2030</t>
        </is>
      </c>
      <c r="E1480" s="4" t="inlineStr">
        <is>
          <t>Network, transmission, metering, levy and regulatory components remain variable</t>
        </is>
      </c>
    </row>
    <row r="1481">
      <c r="A1481" s="2" t="inlineStr">
        <is>
          <t>1000516888PGF43</t>
        </is>
      </c>
      <c r="B1481" s="8" t="n">
        <v>778.7935807603687</v>
      </c>
      <c r="C1481" s="8" t="n">
        <v>778.7935807603687</v>
      </c>
      <c r="D1481" s="8" t="inlineStr">
        <is>
          <t>Fixed Nova components to 30-Sep-2030</t>
        </is>
      </c>
      <c r="E1481" s="4" t="inlineStr">
        <is>
          <t>Network, transmission, metering, levy and regulatory components remain variable</t>
        </is>
      </c>
    </row>
    <row r="1482">
      <c r="A1482" s="2" t="inlineStr">
        <is>
          <t>1000581141PGC50</t>
        </is>
      </c>
      <c r="B1482" s="8" t="n">
        <v>1187.809199575071</v>
      </c>
      <c r="C1482" s="8" t="n">
        <v>1187.809199575071</v>
      </c>
      <c r="D1482" s="8" t="inlineStr">
        <is>
          <t>Fixed Nova components to 30-Sep-2030</t>
        </is>
      </c>
      <c r="E1482" s="4" t="inlineStr">
        <is>
          <t>Network, transmission, metering, levy and regulatory components remain variable</t>
        </is>
      </c>
    </row>
    <row r="1483">
      <c r="A1483" s="2" t="inlineStr">
        <is>
          <t>1000590389PGAED</t>
        </is>
      </c>
      <c r="B1483" s="8" t="n">
        <v>992.406496685879</v>
      </c>
      <c r="C1483" s="8" t="n">
        <v>992.406496685879</v>
      </c>
      <c r="D1483" s="8" t="inlineStr">
        <is>
          <t>Fixed Nova components to 30-Sep-2030</t>
        </is>
      </c>
      <c r="E1483" s="4" t="inlineStr">
        <is>
          <t>Network, transmission, metering, levy and regulatory components remain variable</t>
        </is>
      </c>
    </row>
    <row r="1484">
      <c r="A1484" s="5" t="inlineStr">
        <is>
          <t>1000605558PG1BC</t>
        </is>
      </c>
      <c r="B1484" s="9" t="n">
        <v>752.2019054421769</v>
      </c>
      <c r="C1484" s="9" t="n">
        <v>752.2019054421769</v>
      </c>
      <c r="D1484" s="9" t="inlineStr">
        <is>
          <t>Fixed Nova components to 30-Sep-2030</t>
        </is>
      </c>
      <c r="E1484" s="7" t="inlineStr">
        <is>
          <t>Network, transmission, metering, levy and regulatory components remain variable</t>
        </is>
      </c>
    </row>
    <row r="1487" ht="30.75" customHeight="1">
      <c r="A1487" s="38" t="inlineStr">
        <is>
          <t>NT Jacana Contract Drivers raw source schedule</t>
        </is>
      </c>
      <c r="B1487" s="38" t="n"/>
      <c r="C1487" s="38" t="n"/>
      <c r="D1487" s="38" t="n"/>
      <c r="E1487" s="38" t="n"/>
      <c r="F1487" s="38" t="n"/>
      <c r="G1487" s="38" t="n"/>
      <c r="H1487" s="38" t="n"/>
      <c r="I1487" s="38" t="n"/>
      <c r="J1487" s="38" t="n"/>
      <c r="K1487" s="38" t="n"/>
      <c r="L1487" s="38" t="n"/>
      <c r="M1487" s="38" t="n"/>
    </row>
    <row r="1488" ht="65.25" customHeight="1">
      <c r="A1488" s="39" t="inlineStr">
        <is>
          <t>NMI</t>
        </is>
      </c>
      <c r="B1488" s="40" t="inlineStr">
        <is>
          <t>Contract Term</t>
        </is>
      </c>
      <c r="C1488" s="40" t="inlineStr">
        <is>
          <t>Peak kWh</t>
        </is>
      </c>
      <c r="D1488" s="40" t="inlineStr">
        <is>
          <t>Peak Energy ($/kWh)</t>
        </is>
      </c>
      <c r="E1488" s="40" t="inlineStr">
        <is>
          <t>Off-peak kWh</t>
        </is>
      </c>
      <c r="F1488" s="40" t="inlineStr">
        <is>
          <t>Off-peak Energy ($/kWh)</t>
        </is>
      </c>
      <c r="G1488" s="40" t="inlineStr">
        <is>
          <t>LRET ($/kWh)</t>
        </is>
      </c>
      <c r="H1488" s="40" t="inlineStr">
        <is>
          <t>SRES ($/kWh)</t>
        </is>
      </c>
      <c r="I1488" s="40" t="inlineStr">
        <is>
          <t>Annual Network ($)</t>
        </is>
      </c>
      <c r="J1488" s="40" t="inlineStr">
        <is>
          <t>Annual Regulatory ($)</t>
        </is>
      </c>
      <c r="K1488" s="40" t="inlineStr">
        <is>
          <t>Metering ($/day)</t>
        </is>
      </c>
      <c r="L1488" s="40" t="inlineStr">
        <is>
          <t>Source / assumption</t>
        </is>
      </c>
      <c r="M1488" s="41" t="inlineStr">
        <is>
          <t>Formula FY27 All-in Spend</t>
        </is>
      </c>
    </row>
    <row r="1489" ht="304.5" customHeight="1">
      <c r="A1489" s="5" t="inlineStr">
        <is>
          <t>2500054287</t>
        </is>
      </c>
      <c r="B1489" s="9" t="inlineStr">
        <is>
          <t>01-Jul-2026 to 30-Jun-2027</t>
        </is>
      </c>
      <c r="C1489" s="9" t="n">
        <v>851377.8</v>
      </c>
      <c r="D1489" s="9" t="n">
        <v>0.2828407</v>
      </c>
      <c r="E1489" s="9" t="n">
        <v>1374786</v>
      </c>
      <c r="F1489" s="9" t="n">
        <v>0.2385495</v>
      </c>
      <c r="G1489" s="9" t="n">
        <v>0.0010002</v>
      </c>
      <c r="H1489" s="9" t="n">
        <v>0.0065076</v>
      </c>
      <c r="I1489" s="9" t="n">
        <v>197047.872</v>
      </c>
      <c r="J1489" s="9" t="n">
        <v>0</v>
      </c>
      <c r="K1489" s="9" t="n">
        <v>1.4</v>
      </c>
      <c r="L1489" s="14" t="inlineStr">
        <is>
          <t>Executed Jacana reprice energy/environment rates; network, regulatory and metering inputs are the NMI-specific values in the supplied 12-Jun-2026 T1339 analysis</t>
        </is>
      </c>
      <c r="M1489" s="7">
        <f>C1489*D1489+E1489*F1489+(C1489+E1489)*(G1489+H1489)+I1489+J1489+K1489*365</f>
        <v/>
      </c>
    </row>
    <row r="1492" ht="30.75" customHeight="1">
      <c r="A1492" s="38" t="inlineStr">
        <is>
          <t>NT Current Spend raw source schedule</t>
        </is>
      </c>
      <c r="B1492" s="38" t="n"/>
      <c r="C1492" s="38" t="n"/>
    </row>
    <row r="1493" ht="43.5" customHeight="1">
      <c r="A1493" s="39" t="inlineStr">
        <is>
          <t>NMI</t>
        </is>
      </c>
      <c r="B1493" s="40" t="inlineStr">
        <is>
          <t>Current Annual Spend (AUD)</t>
        </is>
      </c>
      <c r="C1493" s="41" t="inlineStr">
        <is>
          <t>Basis</t>
        </is>
      </c>
    </row>
    <row r="1494">
      <c r="A1494" s="5" t="inlineStr">
        <is>
          <t>2500054287</t>
        </is>
      </c>
      <c r="B1494" s="9" t="n">
        <v>683752.5914259597</v>
      </c>
      <c r="C1494" s="7" t="inlineStr">
        <is>
          <t>Annualised current-cost comparison used as the FY26 baseline pending FY26 invoice extract</t>
        </is>
      </c>
    </row>
    <row r="1497" ht="30.75" customHeight="1">
      <c r="A1497" s="38" t="inlineStr">
        <is>
          <t>NZ NTOU Elec Current Spend raw source schedule</t>
        </is>
      </c>
      <c r="B1497" s="38" t="n"/>
    </row>
    <row r="1498" ht="43.5" customHeight="1">
      <c r="A1498" s="39" t="inlineStr">
        <is>
          <t>ICP</t>
        </is>
      </c>
      <c r="B1498" s="41" t="inlineStr">
        <is>
          <t>Current Annual Spend (NZD)</t>
        </is>
      </c>
    </row>
    <row r="1499">
      <c r="A1499" s="2" t="inlineStr">
        <is>
          <t>0000004290DEF89</t>
        </is>
      </c>
      <c r="B1499" s="4" t="n">
        <v>36176.45295508275</v>
      </c>
    </row>
    <row r="1500">
      <c r="A1500" s="2" t="inlineStr">
        <is>
          <t>0000010991HB6A3</t>
        </is>
      </c>
      <c r="B1500" s="4" t="n">
        <v>2705.334375</v>
      </c>
    </row>
    <row r="1501">
      <c r="A1501" s="2" t="inlineStr">
        <is>
          <t>0000017346CEE5A</t>
        </is>
      </c>
      <c r="B1501" s="4" t="n">
        <v>2958.51914893617</v>
      </c>
    </row>
    <row r="1502">
      <c r="A1502" s="2" t="inlineStr">
        <is>
          <t>0000018758CPA8A</t>
        </is>
      </c>
      <c r="B1502" s="4" t="n">
        <v>4301.690909090909</v>
      </c>
    </row>
    <row r="1503">
      <c r="A1503" s="2" t="inlineStr">
        <is>
          <t>0000021973WEA5E</t>
        </is>
      </c>
      <c r="B1503" s="4" t="n">
        <v>1767.845497630332</v>
      </c>
    </row>
    <row r="1504">
      <c r="A1504" s="2" t="inlineStr">
        <is>
          <t>0000024744TR7DE</t>
        </is>
      </c>
      <c r="B1504" s="4" t="n">
        <v>19886.72730496454</v>
      </c>
    </row>
    <row r="1505">
      <c r="A1505" s="2" t="inlineStr">
        <is>
          <t>0000025040UN2AE</t>
        </is>
      </c>
      <c r="B1505" s="4" t="n">
        <v>4589.050945626477</v>
      </c>
    </row>
    <row r="1506">
      <c r="A1506" s="2" t="inlineStr">
        <is>
          <t>0000026664DE818</t>
        </is>
      </c>
      <c r="B1506" s="4" t="n">
        <v>2541.196363636363</v>
      </c>
    </row>
    <row r="1507">
      <c r="A1507" s="2" t="inlineStr">
        <is>
          <t>0000028649TRA01</t>
        </is>
      </c>
      <c r="B1507" s="4" t="n">
        <v>5733.010992907802</v>
      </c>
    </row>
    <row r="1508">
      <c r="A1508" s="2" t="inlineStr">
        <is>
          <t>0000029575HBC93</t>
        </is>
      </c>
      <c r="B1508" s="4" t="n">
        <v>19602.50577830189</v>
      </c>
    </row>
    <row r="1509">
      <c r="A1509" s="2" t="inlineStr">
        <is>
          <t>0000029746CH3C0</t>
        </is>
      </c>
      <c r="B1509" s="4" t="n">
        <v>5708.962411347517</v>
      </c>
    </row>
    <row r="1510">
      <c r="A1510" s="2" t="inlineStr">
        <is>
          <t>0000030443TR776</t>
        </is>
      </c>
      <c r="B1510" s="4" t="n">
        <v>1846.356382978723</v>
      </c>
    </row>
    <row r="1511">
      <c r="A1511" s="2" t="inlineStr">
        <is>
          <t>0000030446TRA39</t>
        </is>
      </c>
      <c r="B1511" s="4" t="n">
        <v>1608.562765957447</v>
      </c>
    </row>
    <row r="1512">
      <c r="A1512" s="2" t="inlineStr">
        <is>
          <t>0000041352NT1D5</t>
        </is>
      </c>
      <c r="B1512" s="4" t="n">
        <v>6223.431205673759</v>
      </c>
    </row>
    <row r="1513">
      <c r="A1513" s="2" t="inlineStr">
        <is>
          <t>0000044234WE347</t>
        </is>
      </c>
      <c r="B1513" s="4" t="n">
        <v>11396.03</v>
      </c>
    </row>
    <row r="1514">
      <c r="A1514" s="2" t="inlineStr">
        <is>
          <t>0000045146UN87D</t>
        </is>
      </c>
      <c r="B1514" s="4" t="n">
        <v>3911.430100755667</v>
      </c>
    </row>
    <row r="1515">
      <c r="A1515" s="2" t="inlineStr">
        <is>
          <t>0000045869HR155</t>
        </is>
      </c>
      <c r="B1515" s="4" t="n">
        <v>10795.12092198582</v>
      </c>
    </row>
    <row r="1516">
      <c r="A1516" s="2" t="inlineStr">
        <is>
          <t>0000048678UN93C</t>
        </is>
      </c>
      <c r="B1516" s="4" t="n">
        <v>5127.893233082707</v>
      </c>
    </row>
    <row r="1517">
      <c r="A1517" s="2" t="inlineStr">
        <is>
          <t>0000050496WT310</t>
        </is>
      </c>
      <c r="B1517" s="4" t="n">
        <v>2075.853743961353</v>
      </c>
    </row>
    <row r="1518">
      <c r="A1518" s="2" t="inlineStr">
        <is>
          <t>0000052765HB960</t>
        </is>
      </c>
      <c r="B1518" s="4" t="n">
        <v>1238.642708333334</v>
      </c>
    </row>
    <row r="1519">
      <c r="A1519" s="2" t="inlineStr">
        <is>
          <t>0000055490UN954</t>
        </is>
      </c>
      <c r="B1519" s="4" t="n">
        <v>1070.701182033097</v>
      </c>
    </row>
    <row r="1520">
      <c r="A1520" s="2" t="inlineStr">
        <is>
          <t>0000055906UN234</t>
        </is>
      </c>
      <c r="B1520" s="4" t="n">
        <v>6240.360992907801</v>
      </c>
    </row>
    <row r="1521">
      <c r="A1521" s="2" t="inlineStr">
        <is>
          <t>0000055908UN1AF</t>
        </is>
      </c>
      <c r="B1521" s="4" t="n">
        <v>1331.637352245863</v>
      </c>
    </row>
    <row r="1522">
      <c r="A1522" s="2" t="inlineStr">
        <is>
          <t>0000058140WE772</t>
        </is>
      </c>
      <c r="B1522" s="4" t="n">
        <v>3358.827955271566</v>
      </c>
    </row>
    <row r="1523">
      <c r="A1523" s="2" t="inlineStr">
        <is>
          <t>0000058309TR718</t>
        </is>
      </c>
      <c r="B1523" s="4" t="n">
        <v>3723.351422319474</v>
      </c>
    </row>
    <row r="1524">
      <c r="A1524" s="2" t="inlineStr">
        <is>
          <t>0000064181CPEA6</t>
        </is>
      </c>
      <c r="B1524" s="4" t="n">
        <v>3496.357182320442</v>
      </c>
    </row>
    <row r="1525">
      <c r="A1525" s="2" t="inlineStr">
        <is>
          <t>0000064350CP5A6</t>
        </is>
      </c>
      <c r="B1525" s="4" t="n">
        <v>9929.201265822785</v>
      </c>
    </row>
    <row r="1526">
      <c r="A1526" s="2" t="inlineStr">
        <is>
          <t>0000066908CP6F0</t>
        </is>
      </c>
      <c r="B1526" s="4" t="n">
        <v>34694.02055555556</v>
      </c>
    </row>
    <row r="1527">
      <c r="A1527" s="2" t="inlineStr">
        <is>
          <t>0000166865CKBDD</t>
        </is>
      </c>
      <c r="B1527" s="4" t="n">
        <v>6379.101275510204</v>
      </c>
    </row>
    <row r="1528">
      <c r="A1528" s="2" t="inlineStr">
        <is>
          <t>0000166949CKC92</t>
        </is>
      </c>
      <c r="B1528" s="4" t="n">
        <v>5399.799645390071</v>
      </c>
    </row>
    <row r="1529">
      <c r="A1529" s="2" t="inlineStr">
        <is>
          <t>0000170681CKB47</t>
        </is>
      </c>
      <c r="B1529" s="4" t="n">
        <v>1484.117612293144</v>
      </c>
    </row>
    <row r="1530">
      <c r="A1530" s="2" t="inlineStr">
        <is>
          <t>0000172164CK0F0</t>
        </is>
      </c>
      <c r="B1530" s="4" t="n">
        <v>3666.288946015425</v>
      </c>
    </row>
    <row r="1531">
      <c r="A1531" s="2" t="inlineStr">
        <is>
          <t>0000172288CKA57</t>
        </is>
      </c>
      <c r="B1531" s="4" t="n">
        <v>851.9600472813238</v>
      </c>
    </row>
    <row r="1532">
      <c r="A1532" s="2" t="inlineStr">
        <is>
          <t>0000175917CKD00</t>
        </is>
      </c>
      <c r="B1532" s="4" t="n">
        <v>3479.459574468086</v>
      </c>
    </row>
    <row r="1533">
      <c r="A1533" s="2" t="inlineStr">
        <is>
          <t>0000188682UNB66</t>
        </is>
      </c>
      <c r="B1533" s="4" t="n">
        <v>4207.267848699764</v>
      </c>
    </row>
    <row r="1534">
      <c r="A1534" s="2" t="inlineStr">
        <is>
          <t>0000188684UNAE9</t>
        </is>
      </c>
      <c r="B1534" s="4" t="n">
        <v>5452.918794326241</v>
      </c>
    </row>
    <row r="1535">
      <c r="A1535" s="2" t="inlineStr">
        <is>
          <t>0000207625DE64D</t>
        </is>
      </c>
      <c r="B1535" s="4" t="n">
        <v>27888.93380614657</v>
      </c>
    </row>
    <row r="1536">
      <c r="A1536" s="2" t="inlineStr">
        <is>
          <t>0000212636WE1AF</t>
        </is>
      </c>
      <c r="B1536" s="4" t="n">
        <v>12519.91418439716</v>
      </c>
    </row>
    <row r="1537">
      <c r="A1537" s="2" t="inlineStr">
        <is>
          <t>0000260933MP6FD</t>
        </is>
      </c>
      <c r="B1537" s="4" t="n">
        <v>3080.763289473685</v>
      </c>
    </row>
    <row r="1538">
      <c r="A1538" s="2" t="inlineStr">
        <is>
          <t>0000260936MPBB2</t>
        </is>
      </c>
      <c r="B1538" s="4" t="n">
        <v>5022.054846335696</v>
      </c>
    </row>
    <row r="1539">
      <c r="A1539" s="2" t="inlineStr">
        <is>
          <t>0000266506MP586</t>
        </is>
      </c>
      <c r="B1539" s="4" t="n">
        <v>1617.178125</v>
      </c>
    </row>
    <row r="1540">
      <c r="A1540" s="2" t="inlineStr">
        <is>
          <t>0000312551WT450</t>
        </is>
      </c>
      <c r="B1540" s="4" t="n">
        <v>4307.258865248227</v>
      </c>
    </row>
    <row r="1541">
      <c r="A1541" s="2" t="inlineStr">
        <is>
          <t>0000351696EN0A9</t>
        </is>
      </c>
      <c r="B1541" s="4" t="n">
        <v>1307.197421731124</v>
      </c>
    </row>
    <row r="1542">
      <c r="A1542" s="2" t="inlineStr">
        <is>
          <t>0000351698EN332</t>
        </is>
      </c>
      <c r="B1542" s="4" t="n">
        <v>6342.655910165484</v>
      </c>
    </row>
    <row r="1543">
      <c r="A1543" s="2" t="inlineStr">
        <is>
          <t>0000382532TPE86</t>
        </is>
      </c>
      <c r="B1543" s="4" t="n">
        <v>995.3541371158392</v>
      </c>
    </row>
    <row r="1544">
      <c r="A1544" s="2" t="inlineStr">
        <is>
          <t>0000386961TP0C2</t>
        </is>
      </c>
      <c r="B1544" s="4" t="n">
        <v>1304.36158392435</v>
      </c>
    </row>
    <row r="1545">
      <c r="A1545" s="2" t="inlineStr">
        <is>
          <t>0000405525TP7AF</t>
        </is>
      </c>
      <c r="B1545" s="4" t="n">
        <v>19426.19739952719</v>
      </c>
    </row>
    <row r="1546">
      <c r="A1546" s="2" t="inlineStr">
        <is>
          <t>0000408379TP09F</t>
        </is>
      </c>
      <c r="B1546" s="4" t="n">
        <v>3184.008037825059</v>
      </c>
    </row>
    <row r="1547">
      <c r="A1547" s="2" t="inlineStr">
        <is>
          <t>0000485414CE4EE</t>
        </is>
      </c>
      <c r="B1547" s="4" t="n">
        <v>9186.894680851063</v>
      </c>
    </row>
    <row r="1548">
      <c r="A1548" s="2" t="inlineStr">
        <is>
          <t>0000486901CE4E4</t>
        </is>
      </c>
      <c r="B1548" s="4" t="n">
        <v>28481.92505910166</v>
      </c>
    </row>
    <row r="1549">
      <c r="A1549" s="2" t="inlineStr">
        <is>
          <t>0000488998CED92</t>
        </is>
      </c>
      <c r="B1549" s="4" t="n">
        <v>8679.146969696969</v>
      </c>
    </row>
    <row r="1550">
      <c r="A1550" s="2" t="inlineStr">
        <is>
          <t>0000517047DE2D4</t>
        </is>
      </c>
      <c r="B1550" s="4" t="n">
        <v>1549.049645390071</v>
      </c>
    </row>
    <row r="1551">
      <c r="A1551" s="2" t="inlineStr">
        <is>
          <t>0000526222NR65B</t>
        </is>
      </c>
      <c r="B1551" s="4" t="n">
        <v>3805.13794326241</v>
      </c>
    </row>
    <row r="1552">
      <c r="A1552" s="2" t="inlineStr">
        <is>
          <t>0000548841NR5F9</t>
        </is>
      </c>
      <c r="B1552" s="4" t="n">
        <v>11960.75726817042</v>
      </c>
    </row>
    <row r="1553">
      <c r="A1553" s="2" t="inlineStr">
        <is>
          <t>0000549182NR67F</t>
        </is>
      </c>
      <c r="B1553" s="4" t="n">
        <v>10222.7353427896</v>
      </c>
    </row>
    <row r="1554">
      <c r="A1554" s="2" t="inlineStr">
        <is>
          <t>0000560159NR084</t>
        </is>
      </c>
      <c r="B1554" s="4" t="n">
        <v>3843.530317848411</v>
      </c>
    </row>
    <row r="1555">
      <c r="A1555" s="2" t="inlineStr">
        <is>
          <t>0000584375WTD6A</t>
        </is>
      </c>
      <c r="B1555" s="4" t="n">
        <v>2787.216458852868</v>
      </c>
    </row>
    <row r="1556">
      <c r="A1556" s="2" t="inlineStr">
        <is>
          <t>0000624842MP24B</t>
        </is>
      </c>
      <c r="B1556" s="4" t="n">
        <v>13486.56565656566</v>
      </c>
    </row>
    <row r="1557">
      <c r="A1557" s="2" t="inlineStr">
        <is>
          <t>0000660398UN329</t>
        </is>
      </c>
      <c r="B1557" s="4" t="n">
        <v>1770.543380614657</v>
      </c>
    </row>
    <row r="1558">
      <c r="A1558" s="2" t="inlineStr">
        <is>
          <t>0000700385MP041</t>
        </is>
      </c>
      <c r="B1558" s="4" t="n">
        <v>2355.190543735225</v>
      </c>
    </row>
    <row r="1559">
      <c r="A1559" s="2" t="inlineStr">
        <is>
          <t>0000700787MPCC5</t>
        </is>
      </c>
      <c r="B1559" s="4" t="n">
        <v>2887.969739952719</v>
      </c>
    </row>
    <row r="1560">
      <c r="A1560" s="2" t="inlineStr">
        <is>
          <t>0000721777NV28C</t>
        </is>
      </c>
      <c r="B1560" s="4" t="n">
        <v>3703.861229314421</v>
      </c>
    </row>
    <row r="1561">
      <c r="A1561" s="2" t="inlineStr">
        <is>
          <t>0000922160TUF69</t>
        </is>
      </c>
      <c r="B1561" s="4" t="n">
        <v>1805.714539007092</v>
      </c>
    </row>
    <row r="1562">
      <c r="A1562" s="2" t="inlineStr">
        <is>
          <t>0000933506TU456</t>
        </is>
      </c>
      <c r="B1562" s="4" t="n">
        <v>2459.84976359338</v>
      </c>
    </row>
    <row r="1563">
      <c r="A1563" s="2" t="inlineStr">
        <is>
          <t>0000935815TU2F3</t>
        </is>
      </c>
      <c r="B1563" s="4" t="n">
        <v>1327.854301075269</v>
      </c>
    </row>
    <row r="1564">
      <c r="A1564" s="2" t="inlineStr">
        <is>
          <t>0000967277TU7B8</t>
        </is>
      </c>
      <c r="B1564" s="4" t="n">
        <v>7501.52659574468</v>
      </c>
    </row>
    <row r="1565">
      <c r="A1565" s="2" t="inlineStr">
        <is>
          <t>0000968029TUF4C</t>
        </is>
      </c>
      <c r="B1565" s="4" t="n">
        <v>5195.178450363197</v>
      </c>
    </row>
    <row r="1566">
      <c r="A1566" s="2" t="inlineStr">
        <is>
          <t>0001001562PC1E9</t>
        </is>
      </c>
      <c r="B1566" s="4" t="n">
        <v>1441.603549382716</v>
      </c>
    </row>
    <row r="1567">
      <c r="A1567" s="2" t="inlineStr">
        <is>
          <t>0001001775PCC89</t>
        </is>
      </c>
      <c r="B1567" s="4" t="n">
        <v>41193.57357723577</v>
      </c>
    </row>
    <row r="1568">
      <c r="A1568" s="2" t="inlineStr">
        <is>
          <t>0001002400PC578</t>
        </is>
      </c>
      <c r="B1568" s="4" t="n">
        <v>1098.154773869347</v>
      </c>
    </row>
    <row r="1569">
      <c r="A1569" s="2" t="inlineStr">
        <is>
          <t>0001051206TG35C</t>
        </is>
      </c>
      <c r="B1569" s="4" t="n">
        <v>1649.091791044776</v>
      </c>
    </row>
    <row r="1570">
      <c r="A1570" s="2" t="inlineStr">
        <is>
          <t>0001129467MLF12</t>
        </is>
      </c>
      <c r="B1570" s="4" t="n">
        <v>1470.958628841608</v>
      </c>
    </row>
    <row r="1571">
      <c r="A1571" s="2" t="inlineStr">
        <is>
          <t>0001259077UN7C4</t>
        </is>
      </c>
      <c r="B1571" s="4" t="n">
        <v>5176.062411347518</v>
      </c>
    </row>
    <row r="1572">
      <c r="A1572" s="2" t="inlineStr">
        <is>
          <t>0001302906EN76C</t>
        </is>
      </c>
      <c r="B1572" s="4" t="n">
        <v>34417.96406619385</v>
      </c>
    </row>
    <row r="1573">
      <c r="A1573" s="2" t="inlineStr">
        <is>
          <t>0001302909EN8B2</t>
        </is>
      </c>
      <c r="B1573" s="4" t="n">
        <v>1370.740097799511</v>
      </c>
    </row>
    <row r="1574">
      <c r="A1574" s="2" t="inlineStr">
        <is>
          <t>0001302912ENCCB</t>
        </is>
      </c>
      <c r="B1574" s="4" t="n">
        <v>6695.446099290781</v>
      </c>
    </row>
    <row r="1575">
      <c r="A1575" s="2" t="inlineStr">
        <is>
          <t>0001344210PCB32</t>
        </is>
      </c>
      <c r="B1575" s="4" t="n">
        <v>1018.125959079284</v>
      </c>
    </row>
    <row r="1576">
      <c r="A1576" s="2" t="inlineStr">
        <is>
          <t>0001399766UNEF2</t>
        </is>
      </c>
      <c r="B1576" s="4" t="n">
        <v>4161.978706624605</v>
      </c>
    </row>
    <row r="1577">
      <c r="A1577" s="2" t="inlineStr">
        <is>
          <t>0001420551UN965</t>
        </is>
      </c>
      <c r="B1577" s="4" t="n">
        <v>1086.880823863636</v>
      </c>
    </row>
    <row r="1578">
      <c r="A1578" s="2" t="inlineStr">
        <is>
          <t>0001428711HRE6D</t>
        </is>
      </c>
      <c r="B1578" s="4" t="n">
        <v>5340.769739952719</v>
      </c>
    </row>
    <row r="1579">
      <c r="A1579" s="2" t="inlineStr">
        <is>
          <t>0001429135HR594</t>
        </is>
      </c>
      <c r="B1579" s="4" t="n">
        <v>5972.953191489362</v>
      </c>
    </row>
    <row r="1580">
      <c r="A1580" s="2" t="inlineStr">
        <is>
          <t>0001430190TG470</t>
        </is>
      </c>
      <c r="B1580" s="4" t="n">
        <v>2181.543735224586</v>
      </c>
    </row>
    <row r="1581">
      <c r="A1581" s="2" t="inlineStr">
        <is>
          <t>0001430191TG835</t>
        </is>
      </c>
      <c r="B1581" s="4" t="n">
        <v>1539.885628019323</v>
      </c>
    </row>
    <row r="1582">
      <c r="A1582" s="2" t="inlineStr">
        <is>
          <t>0001430880PC7ED</t>
        </is>
      </c>
      <c r="B1582" s="4" t="n">
        <v>3837.452955082743</v>
      </c>
    </row>
    <row r="1583">
      <c r="A1583" s="2" t="inlineStr">
        <is>
          <t>0001443191UN233</t>
        </is>
      </c>
      <c r="B1583" s="4" t="n">
        <v>2292.286904761905</v>
      </c>
    </row>
    <row r="1584">
      <c r="A1584" s="2" t="inlineStr">
        <is>
          <t>0001446564UN44A</t>
        </is>
      </c>
      <c r="B1584" s="4" t="n">
        <v>5901.757311320755</v>
      </c>
    </row>
    <row r="1585">
      <c r="A1585" s="2" t="inlineStr">
        <is>
          <t>0001620723TGC3D</t>
        </is>
      </c>
      <c r="B1585" s="4" t="n">
        <v>1629.179381443299</v>
      </c>
    </row>
    <row r="1586">
      <c r="A1586" s="2" t="inlineStr">
        <is>
          <t>0001700321PCD21</t>
        </is>
      </c>
      <c r="B1586" s="4" t="n">
        <v>1215.182025316456</v>
      </c>
    </row>
    <row r="1587">
      <c r="A1587" s="2" t="inlineStr">
        <is>
          <t>0001702030PCB8A</t>
        </is>
      </c>
      <c r="B1587" s="4" t="n">
        <v>2118.518676122932</v>
      </c>
    </row>
    <row r="1588">
      <c r="A1588" s="2" t="inlineStr">
        <is>
          <t>0001740830PC352</t>
        </is>
      </c>
      <c r="B1588" s="4" t="n">
        <v>2322.168421052632</v>
      </c>
    </row>
    <row r="1589">
      <c r="A1589" s="2" t="inlineStr">
        <is>
          <t>0001742361PC751</t>
        </is>
      </c>
      <c r="B1589" s="4" t="n">
        <v>126015.2059101655</v>
      </c>
    </row>
    <row r="1590">
      <c r="A1590" s="2" t="inlineStr">
        <is>
          <t>0001931780PCFE0</t>
        </is>
      </c>
      <c r="B1590" s="4" t="n">
        <v>2350.712174940898</v>
      </c>
    </row>
    <row r="1591">
      <c r="A1591" s="2" t="inlineStr">
        <is>
          <t>0002105740WM96B</t>
        </is>
      </c>
      <c r="B1591" s="4" t="n">
        <v>2432.018101265823</v>
      </c>
    </row>
    <row r="1592">
      <c r="A1592" s="2" t="inlineStr">
        <is>
          <t>0003140222AAD30</t>
        </is>
      </c>
      <c r="B1592" s="4" t="n">
        <v>9844.32375</v>
      </c>
    </row>
    <row r="1593">
      <c r="A1593" s="2" t="inlineStr">
        <is>
          <t>0003860192TP8AB</t>
        </is>
      </c>
      <c r="B1593" s="4" t="n">
        <v>1568.430023640662</v>
      </c>
    </row>
    <row r="1594">
      <c r="A1594" s="2" t="inlineStr">
        <is>
          <t>0004067806HB1B8</t>
        </is>
      </c>
      <c r="B1594" s="4" t="n">
        <v>2304.82253164557</v>
      </c>
    </row>
    <row r="1595">
      <c r="A1595" s="2" t="inlineStr">
        <is>
          <t>0004620439TP3C6</t>
        </is>
      </c>
      <c r="B1595" s="4" t="n">
        <v>2200.531770833333</v>
      </c>
    </row>
    <row r="1596">
      <c r="A1596" s="2" t="inlineStr">
        <is>
          <t>0004670663ALAA1</t>
        </is>
      </c>
      <c r="B1596" s="4" t="n">
        <v>14926.29240963855</v>
      </c>
    </row>
    <row r="1597">
      <c r="A1597" s="2" t="inlineStr">
        <is>
          <t>0005302990ENBEF</t>
        </is>
      </c>
      <c r="B1597" s="4" t="n">
        <v>2396.070646766169</v>
      </c>
    </row>
    <row r="1598">
      <c r="A1598" s="2" t="inlineStr">
        <is>
          <t>0006606442ML38E</t>
        </is>
      </c>
      <c r="B1598" s="4" t="n">
        <v>2209.538943894389</v>
      </c>
    </row>
    <row r="1599">
      <c r="A1599" s="2" t="inlineStr">
        <is>
          <t>0006725275TUA67</t>
        </is>
      </c>
      <c r="B1599" s="4" t="n">
        <v>3287.996004842615</v>
      </c>
    </row>
    <row r="1600">
      <c r="A1600" s="2" t="inlineStr">
        <is>
          <t>0007109860WM4E3</t>
        </is>
      </c>
      <c r="B1600" s="4" t="n">
        <v>15311.1804964539</v>
      </c>
    </row>
    <row r="1601">
      <c r="A1601" s="2" t="inlineStr">
        <is>
          <t>0007114916TUD0B</t>
        </is>
      </c>
      <c r="B1601" s="4" t="n">
        <v>3874.099645390071</v>
      </c>
    </row>
    <row r="1602">
      <c r="A1602" s="2" t="inlineStr">
        <is>
          <t>0007118408RN645</t>
        </is>
      </c>
      <c r="B1602" s="4" t="n">
        <v>58259.52245862885</v>
      </c>
    </row>
    <row r="1603">
      <c r="A1603" s="2" t="inlineStr">
        <is>
          <t>0007128798RNB8D</t>
        </is>
      </c>
      <c r="B1603" s="4" t="n">
        <v>19307.92766272189</v>
      </c>
    </row>
    <row r="1604">
      <c r="A1604" s="2" t="inlineStr">
        <is>
          <t>0007131142RN619</t>
        </is>
      </c>
      <c r="B1604" s="4" t="n">
        <v>4057.220921985816</v>
      </c>
    </row>
    <row r="1605">
      <c r="A1605" s="2" t="inlineStr">
        <is>
          <t>0007143106RNC4F</t>
        </is>
      </c>
      <c r="B1605" s="4" t="n">
        <v>41440.2793144208</v>
      </c>
    </row>
    <row r="1606">
      <c r="A1606" s="2" t="inlineStr">
        <is>
          <t>0007154252RNACF</t>
        </is>
      </c>
      <c r="B1606" s="4" t="n">
        <v>8394.844680851063</v>
      </c>
    </row>
    <row r="1607">
      <c r="A1607" s="2" t="inlineStr">
        <is>
          <t>0007194919RN100</t>
        </is>
      </c>
      <c r="B1607" s="4" t="n">
        <v>771.3752955082742</v>
      </c>
    </row>
    <row r="1608">
      <c r="A1608" s="2" t="inlineStr">
        <is>
          <t>0007213531RN5BC</t>
        </is>
      </c>
      <c r="B1608" s="4" t="n">
        <v>1768.463829787234</v>
      </c>
    </row>
    <row r="1609">
      <c r="A1609" s="2" t="inlineStr">
        <is>
          <t>0007392206ALC3A</t>
        </is>
      </c>
      <c r="B1609" s="4" t="n">
        <v>6628.883215130024</v>
      </c>
    </row>
    <row r="1610">
      <c r="A1610" s="2" t="inlineStr">
        <is>
          <t>0007731600WM053</t>
        </is>
      </c>
      <c r="B1610" s="4" t="n">
        <v>2798.764775413712</v>
      </c>
    </row>
    <row r="1611">
      <c r="A1611" s="2" t="inlineStr">
        <is>
          <t>0007821200WMAC9</t>
        </is>
      </c>
      <c r="B1611" s="4" t="n">
        <v>2278.90099009901</v>
      </c>
    </row>
    <row r="1612">
      <c r="A1612" s="2" t="inlineStr">
        <is>
          <t>0008803763NV80A</t>
        </is>
      </c>
      <c r="B1612" s="4" t="n">
        <v>29539.51040189125</v>
      </c>
    </row>
    <row r="1613">
      <c r="A1613" s="2" t="inlineStr">
        <is>
          <t>0011001339PC3B8</t>
        </is>
      </c>
      <c r="B1613" s="4" t="n">
        <v>3149.086894586895</v>
      </c>
    </row>
    <row r="1614">
      <c r="A1614" s="2" t="inlineStr">
        <is>
          <t>0011006140PC6D3</t>
        </is>
      </c>
      <c r="B1614" s="4" t="n">
        <v>4132.317730496454</v>
      </c>
    </row>
    <row r="1615">
      <c r="A1615" s="2" t="inlineStr">
        <is>
          <t>0011006852PC5F2</t>
        </is>
      </c>
      <c r="B1615" s="4" t="n">
        <v>1478.042907801418</v>
      </c>
    </row>
    <row r="1616">
      <c r="A1616" s="2" t="inlineStr">
        <is>
          <t>0011007482PC51C</t>
        </is>
      </c>
      <c r="B1616" s="4" t="n">
        <v>1103.136997635934</v>
      </c>
    </row>
    <row r="1617">
      <c r="A1617" s="2" t="inlineStr">
        <is>
          <t>0030306524PCB33</t>
        </is>
      </c>
      <c r="B1617" s="4" t="n">
        <v>26718.62990543734</v>
      </c>
    </row>
    <row r="1618">
      <c r="A1618" s="2" t="inlineStr">
        <is>
          <t>0030530098PCA11</t>
        </is>
      </c>
      <c r="B1618" s="4" t="n">
        <v>11627.46761229314</v>
      </c>
    </row>
    <row r="1619">
      <c r="A1619" s="2" t="inlineStr">
        <is>
          <t>0033085000WR662</t>
        </is>
      </c>
      <c r="B1619" s="4" t="n">
        <v>34228.74694444444</v>
      </c>
    </row>
    <row r="1620">
      <c r="A1620" s="2" t="inlineStr">
        <is>
          <t>0035529024PCBAE</t>
        </is>
      </c>
      <c r="B1620" s="4" t="n">
        <v>9032.73179669031</v>
      </c>
    </row>
    <row r="1621">
      <c r="A1621" s="2" t="inlineStr">
        <is>
          <t>0035880213PC771</t>
        </is>
      </c>
      <c r="B1621" s="4" t="n">
        <v>1439.790330788804</v>
      </c>
    </row>
    <row r="1622">
      <c r="A1622" s="2" t="inlineStr">
        <is>
          <t>0037529039PC32A</t>
        </is>
      </c>
      <c r="B1622" s="4" t="n">
        <v>1048.421944444444</v>
      </c>
    </row>
    <row r="1623">
      <c r="A1623" s="2" t="inlineStr">
        <is>
          <t>0042251303PCE11</t>
        </is>
      </c>
      <c r="B1623" s="4" t="n">
        <v>2676.554491725768</v>
      </c>
    </row>
    <row r="1624">
      <c r="A1624" s="2" t="inlineStr">
        <is>
          <t>0047123930PCE3C</t>
        </is>
      </c>
      <c r="B1624" s="4" t="n">
        <v>8255.834042553193</v>
      </c>
    </row>
    <row r="1625">
      <c r="A1625" s="2" t="inlineStr">
        <is>
          <t>0071098630WMAC0</t>
        </is>
      </c>
      <c r="B1625" s="4" t="n">
        <v>27418.5670212766</v>
      </c>
    </row>
    <row r="1626">
      <c r="A1626" s="2" t="inlineStr">
        <is>
          <t>0075241357WEF68</t>
        </is>
      </c>
      <c r="B1626" s="4" t="n">
        <v>16743.70626477541</v>
      </c>
    </row>
    <row r="1627">
      <c r="A1627" s="2" t="inlineStr">
        <is>
          <t>0080011664PC16A</t>
        </is>
      </c>
      <c r="B1627" s="4" t="n">
        <v>2217.103191489362</v>
      </c>
    </row>
    <row r="1628">
      <c r="A1628" s="2" t="inlineStr">
        <is>
          <t>0080012802PCBFE</t>
        </is>
      </c>
      <c r="B1628" s="4" t="n">
        <v>2396.980023640662</v>
      </c>
    </row>
    <row r="1629">
      <c r="A1629" s="2" t="inlineStr">
        <is>
          <t>0083634200PC7D0</t>
        </is>
      </c>
      <c r="B1629" s="4" t="n">
        <v>756.3930203045686</v>
      </c>
    </row>
    <row r="1630">
      <c r="A1630" s="2" t="inlineStr">
        <is>
          <t>0083973001PC01D</t>
        </is>
      </c>
      <c r="B1630" s="4" t="n">
        <v>2008.84609929078</v>
      </c>
    </row>
    <row r="1631">
      <c r="A1631" s="2" t="inlineStr">
        <is>
          <t>0088031221NVA65</t>
        </is>
      </c>
      <c r="B1631" s="4" t="n">
        <v>1386.810165484633</v>
      </c>
    </row>
    <row r="1632">
      <c r="A1632" s="2" t="inlineStr">
        <is>
          <t>0088910501PCBBD</t>
        </is>
      </c>
      <c r="B1632" s="4" t="n">
        <v>2843.125650118203</v>
      </c>
    </row>
    <row r="1633">
      <c r="A1633" s="2" t="inlineStr">
        <is>
          <t>0088934400PC1B1</t>
        </is>
      </c>
      <c r="B1633" s="4" t="n">
        <v>1118.848310810811</v>
      </c>
    </row>
    <row r="1634">
      <c r="A1634" s="2" t="inlineStr">
        <is>
          <t>0088938701PC577</t>
        </is>
      </c>
      <c r="B1634" s="4" t="n">
        <v>2071.676844783715</v>
      </c>
    </row>
    <row r="1635">
      <c r="A1635" s="2" t="inlineStr">
        <is>
          <t>0088966150PCC88</t>
        </is>
      </c>
      <c r="B1635" s="4" t="n">
        <v>1947.614534883721</v>
      </c>
    </row>
    <row r="1636">
      <c r="A1636" s="2" t="inlineStr">
        <is>
          <t>0110014081EL143</t>
        </is>
      </c>
      <c r="B1636" s="4" t="n">
        <v>951.8791925465836</v>
      </c>
    </row>
    <row r="1637">
      <c r="A1637" s="2" t="inlineStr">
        <is>
          <t>0272397952HB691</t>
        </is>
      </c>
      <c r="B1637" s="4" t="n">
        <v>1372.56404494382</v>
      </c>
    </row>
    <row r="1638">
      <c r="A1638" s="2" t="inlineStr">
        <is>
          <t>0300278047LC2C3</t>
        </is>
      </c>
      <c r="B1638" s="4" t="n">
        <v>38033.52635933806</v>
      </c>
    </row>
    <row r="1639">
      <c r="A1639" s="2" t="inlineStr">
        <is>
          <t>0346100364LCEED</t>
        </is>
      </c>
      <c r="B1639" s="4" t="n">
        <v>19794.15709219858</v>
      </c>
    </row>
    <row r="1640">
      <c r="A1640" s="2" t="inlineStr">
        <is>
          <t>0398095698LC2D6</t>
        </is>
      </c>
      <c r="B1640" s="4" t="n">
        <v>4538.011347517731</v>
      </c>
    </row>
    <row r="1641">
      <c r="A1641" s="2" t="inlineStr">
        <is>
          <t>0415258065LC669</t>
        </is>
      </c>
      <c r="B1641" s="4" t="n">
        <v>5445.817257683216</v>
      </c>
    </row>
    <row r="1642">
      <c r="A1642" s="2" t="inlineStr">
        <is>
          <t>0900090531PCF4E</t>
        </is>
      </c>
      <c r="B1642" s="4" t="n">
        <v>28670.9829787234</v>
      </c>
    </row>
    <row r="1643">
      <c r="A1643" s="2" t="inlineStr">
        <is>
          <t>1000025462BP9A6</t>
        </is>
      </c>
      <c r="B1643" s="4" t="n">
        <v>1487.517375886525</v>
      </c>
    </row>
    <row r="1644">
      <c r="A1644" s="2" t="inlineStr">
        <is>
          <t>1000524019PC6AD</t>
        </is>
      </c>
      <c r="B1644" s="4" t="n">
        <v>10004.71903073286</v>
      </c>
    </row>
    <row r="1645">
      <c r="A1645" s="2" t="inlineStr">
        <is>
          <t>1000524774PC904</t>
        </is>
      </c>
      <c r="B1645" s="4" t="n">
        <v>46555.47387706856</v>
      </c>
    </row>
    <row r="1646">
      <c r="A1646" s="2" t="inlineStr">
        <is>
          <t>1000559674PC099</t>
        </is>
      </c>
      <c r="B1646" s="4" t="n">
        <v>801.4431279620854</v>
      </c>
    </row>
    <row r="1647">
      <c r="A1647" s="2" t="inlineStr">
        <is>
          <t>1000566966PCDF2</t>
        </is>
      </c>
      <c r="B1647" s="4" t="n">
        <v>1218.050326797386</v>
      </c>
    </row>
    <row r="1648">
      <c r="A1648" s="2" t="inlineStr">
        <is>
          <t>1000579631PC6BE</t>
        </is>
      </c>
      <c r="B1648" s="4" t="n">
        <v>2216.747832817337</v>
      </c>
    </row>
    <row r="1649">
      <c r="A1649" s="2" t="inlineStr">
        <is>
          <t>1000606436PCE1E</t>
        </is>
      </c>
      <c r="B1649" s="4" t="n">
        <v>2950.82445054945</v>
      </c>
    </row>
    <row r="1650">
      <c r="A1650" s="2" t="inlineStr">
        <is>
          <t>1000617407PCCE2</t>
        </is>
      </c>
      <c r="B1650" s="4" t="n">
        <v>2369.7625</v>
      </c>
    </row>
    <row r="1651">
      <c r="A1651" s="2" t="inlineStr">
        <is>
          <t>1000619535PCA5B</t>
        </is>
      </c>
      <c r="B1651" s="4" t="n">
        <v>1909.082072368421</v>
      </c>
    </row>
    <row r="1652">
      <c r="A1652" s="2" t="inlineStr">
        <is>
          <t>1000620792PC805</t>
        </is>
      </c>
      <c r="B1652" s="4" t="n">
        <v>6718.079550827424</v>
      </c>
    </row>
    <row r="1653">
      <c r="A1653" s="2" t="inlineStr">
        <is>
          <t>1001110038UND71</t>
        </is>
      </c>
      <c r="B1653" s="4" t="n">
        <v>1013.832872928177</v>
      </c>
    </row>
    <row r="1654">
      <c r="A1654" s="2" t="inlineStr">
        <is>
          <t>1001118772UNF47</t>
        </is>
      </c>
      <c r="B1654" s="4" t="n">
        <v>5845.902127659574</v>
      </c>
    </row>
    <row r="1655">
      <c r="A1655" s="2" t="inlineStr">
        <is>
          <t>1001132596LC369</t>
        </is>
      </c>
      <c r="B1655" s="4" t="n">
        <v>2230.754018912529</v>
      </c>
    </row>
    <row r="1656">
      <c r="A1656" s="2" t="inlineStr">
        <is>
          <t>1001151491CK976</t>
        </is>
      </c>
      <c r="B1656" s="4" t="n">
        <v>26663.50886524823</v>
      </c>
    </row>
    <row r="1657">
      <c r="A1657" s="2" t="inlineStr">
        <is>
          <t>1001245025LCA73</t>
        </is>
      </c>
      <c r="B1657" s="4" t="n">
        <v>4755.768794326242</v>
      </c>
    </row>
    <row r="1658">
      <c r="A1658" s="2" t="inlineStr">
        <is>
          <t>1001280356UN969</t>
        </is>
      </c>
      <c r="B1658" s="4" t="n">
        <v>5064.517375886524</v>
      </c>
    </row>
    <row r="1659">
      <c r="A1659" s="2" t="inlineStr">
        <is>
          <t>1001280900LC0F0</t>
        </is>
      </c>
      <c r="B1659" s="4" t="n">
        <v>9021.643735224587</v>
      </c>
    </row>
    <row r="1660">
      <c r="A1660" s="2" t="inlineStr">
        <is>
          <t>1001282294LCE53</t>
        </is>
      </c>
      <c r="B1660" s="4" t="n">
        <v>6895.248907103825</v>
      </c>
    </row>
    <row r="1661">
      <c r="A1661" s="5" t="inlineStr">
        <is>
          <t>1002001063TC739</t>
        </is>
      </c>
      <c r="B1661" s="7" t="n">
        <v>1950.925</v>
      </c>
    </row>
    <row r="1664" ht="30.75" customHeight="1">
      <c r="A1664" s="38" t="inlineStr">
        <is>
          <t>NZ TOU Elec Current Spend raw source schedule</t>
        </is>
      </c>
      <c r="B1664" s="38" t="n"/>
    </row>
    <row r="1665" ht="43.5" customHeight="1">
      <c r="A1665" s="39" t="inlineStr">
        <is>
          <t>ICP</t>
        </is>
      </c>
      <c r="B1665" s="41" t="inlineStr">
        <is>
          <t>Current Annual Spend (NZD)</t>
        </is>
      </c>
    </row>
    <row r="1666">
      <c r="A1666" s="2" t="inlineStr">
        <is>
          <t>0000015023HBABD</t>
        </is>
      </c>
      <c r="B1666" s="4" t="n">
        <v>25704.55</v>
      </c>
    </row>
    <row r="1667">
      <c r="A1667" s="2" t="inlineStr">
        <is>
          <t>0000024050WE5E2</t>
        </is>
      </c>
      <c r="B1667" s="4" t="n">
        <v>164524.44</v>
      </c>
    </row>
    <row r="1668">
      <c r="A1668" s="2" t="inlineStr">
        <is>
          <t>0000031643WEA48</t>
        </is>
      </c>
      <c r="B1668" s="4" t="n">
        <v>56502.64000000001</v>
      </c>
    </row>
    <row r="1669">
      <c r="A1669" s="2" t="inlineStr">
        <is>
          <t>0000519132NR7B9</t>
        </is>
      </c>
      <c r="B1669" s="4" t="n">
        <v>173769.47</v>
      </c>
    </row>
    <row r="1670">
      <c r="A1670" s="2" t="inlineStr">
        <is>
          <t>0000939570TUEC4</t>
        </is>
      </c>
      <c r="B1670" s="4" t="n">
        <v>366345.27</v>
      </c>
    </row>
    <row r="1671">
      <c r="A1671" s="2" t="inlineStr">
        <is>
          <t>0001510110PCCA2</t>
        </is>
      </c>
      <c r="B1671" s="4" t="n">
        <v>223546.18</v>
      </c>
    </row>
    <row r="1672">
      <c r="A1672" s="2" t="inlineStr">
        <is>
          <t>0005302992ENB6A</t>
        </is>
      </c>
      <c r="B1672" s="4" t="n">
        <v>31258.79</v>
      </c>
    </row>
    <row r="1673">
      <c r="A1673" s="2" t="inlineStr">
        <is>
          <t>1000522230PCA6E</t>
        </is>
      </c>
      <c r="B1673" s="4" t="n">
        <v>41800.80828729282</v>
      </c>
    </row>
    <row r="1674">
      <c r="A1674" s="2" t="inlineStr">
        <is>
          <t>1000610486PC18D</t>
        </is>
      </c>
      <c r="B1674" s="4" t="n">
        <v>81033.42999999999</v>
      </c>
    </row>
    <row r="1675">
      <c r="A1675" s="2" t="inlineStr">
        <is>
          <t>1001113152UNBF4</t>
        </is>
      </c>
      <c r="B1675" s="4" t="n">
        <v>209925.94</v>
      </c>
    </row>
    <row r="1676">
      <c r="A1676" s="2" t="inlineStr">
        <is>
          <t>1001126325LC57C</t>
        </is>
      </c>
      <c r="B1676" s="4" t="n">
        <v>400480.6900000001</v>
      </c>
    </row>
    <row r="1677">
      <c r="A1677" s="2" t="inlineStr">
        <is>
          <t>1001151226CK008</t>
        </is>
      </c>
      <c r="B1677" s="4" t="n">
        <v>100892.53</v>
      </c>
    </row>
    <row r="1678">
      <c r="A1678" s="2" t="inlineStr">
        <is>
          <t>1001240514LC3EB</t>
        </is>
      </c>
      <c r="B1678" s="4" t="n">
        <v>316705.42</v>
      </c>
    </row>
    <row r="1679">
      <c r="A1679" s="2" t="inlineStr">
        <is>
          <t>1002147325UN75B</t>
        </is>
      </c>
      <c r="B1679" s="4" t="n">
        <v>47018.31573033708</v>
      </c>
    </row>
    <row r="1680">
      <c r="A1680" s="2" t="inlineStr">
        <is>
          <t>0000052034NT6A8</t>
        </is>
      </c>
      <c r="B1680" s="4" t="n">
        <v>41119.63</v>
      </c>
    </row>
    <row r="1681">
      <c r="A1681" s="2" t="inlineStr">
        <is>
          <t>0000102308DEAD2</t>
        </is>
      </c>
      <c r="B1681" s="4" t="n">
        <v>106769.41</v>
      </c>
    </row>
    <row r="1682">
      <c r="A1682" s="2" t="inlineStr">
        <is>
          <t>0000734355NVC9C</t>
        </is>
      </c>
      <c r="B1682" s="4" t="n">
        <v>65111.60999999999</v>
      </c>
    </row>
    <row r="1683">
      <c r="A1683" s="2" t="inlineStr">
        <is>
          <t>0000931749NV418</t>
        </is>
      </c>
      <c r="B1683" s="4" t="n">
        <v>161081.03</v>
      </c>
    </row>
    <row r="1684">
      <c r="A1684" s="2" t="inlineStr">
        <is>
          <t>0006863450RN0A4</t>
        </is>
      </c>
      <c r="B1684" s="4" t="n">
        <v>136836.13</v>
      </c>
    </row>
    <row r="1685">
      <c r="A1685" s="2" t="inlineStr">
        <is>
          <t>0007202058RN859</t>
        </is>
      </c>
      <c r="B1685" s="4" t="n">
        <v>160515.46</v>
      </c>
    </row>
    <row r="1686">
      <c r="A1686" s="5" t="inlineStr">
        <is>
          <t>Total</t>
        </is>
      </c>
      <c r="B1686" s="7" t="n">
        <v>2910941.74401763</v>
      </c>
    </row>
    <row r="1689" ht="30.75" customHeight="1">
      <c r="A1689" s="38" t="inlineStr">
        <is>
          <t>NZ NTOU Gas Current Spend raw source schedule</t>
        </is>
      </c>
      <c r="B1689" s="38" t="n"/>
    </row>
    <row r="1690" ht="43.5" customHeight="1">
      <c r="A1690" s="39" t="inlineStr">
        <is>
          <t>ICP</t>
        </is>
      </c>
      <c r="B1690" s="41" t="inlineStr">
        <is>
          <t>Current Annual Spend (NZD)</t>
        </is>
      </c>
    </row>
    <row r="1691">
      <c r="A1691" s="2" t="inlineStr">
        <is>
          <t>0001002400PGD55</t>
        </is>
      </c>
      <c r="B1691" s="4" t="n">
        <v>2097.869952620968</v>
      </c>
    </row>
    <row r="1692">
      <c r="A1692" s="2" t="inlineStr">
        <is>
          <t>0001700321PG50C</t>
        </is>
      </c>
      <c r="B1692" s="4" t="n">
        <v>1156.829632166729</v>
      </c>
    </row>
    <row r="1693">
      <c r="A1693" s="2" t="inlineStr">
        <is>
          <t>0001702030PG3A7</t>
        </is>
      </c>
      <c r="B1693" s="4" t="n">
        <v>1927.168829596846</v>
      </c>
    </row>
    <row r="1694">
      <c r="A1694" s="2" t="inlineStr">
        <is>
          <t>0004212495NG7EE</t>
        </is>
      </c>
      <c r="B1694" s="4" t="n">
        <v>935.6646215340977</v>
      </c>
    </row>
    <row r="1695">
      <c r="A1695" s="2" t="inlineStr">
        <is>
          <t>0004212498NG8B5</t>
        </is>
      </c>
      <c r="B1695" s="4" t="n">
        <v>1288.966827731093</v>
      </c>
    </row>
    <row r="1696">
      <c r="A1696" s="2" t="inlineStr">
        <is>
          <t>0011001339PGB95</t>
        </is>
      </c>
      <c r="B1696" s="4" t="n">
        <v>1762.406448756449</v>
      </c>
    </row>
    <row r="1697">
      <c r="A1697" s="2" t="inlineStr">
        <is>
          <t>0011002529PG5DE</t>
        </is>
      </c>
      <c r="B1697" s="4" t="n">
        <v>1417.180336397232</v>
      </c>
    </row>
    <row r="1698">
      <c r="A1698" s="2" t="inlineStr">
        <is>
          <t>0042250800PG852</t>
        </is>
      </c>
      <c r="B1698" s="4" t="n">
        <v>807.2189386651007</v>
      </c>
    </row>
    <row r="1699">
      <c r="A1699" s="2" t="inlineStr">
        <is>
          <t>1000516888PGF43</t>
        </is>
      </c>
      <c r="B1699" s="4" t="n">
        <v>632.1735192464083</v>
      </c>
    </row>
    <row r="1700">
      <c r="A1700" s="2" t="inlineStr">
        <is>
          <t>1000581141PGC50</t>
        </is>
      </c>
      <c r="B1700" s="4" t="n">
        <v>1001.530735861762</v>
      </c>
    </row>
    <row r="1701">
      <c r="A1701" s="2" t="inlineStr">
        <is>
          <t>1000590389PGAED</t>
        </is>
      </c>
      <c r="B1701" s="4" t="n">
        <v>1141.146633481792</v>
      </c>
    </row>
    <row r="1702">
      <c r="A1702" s="5" t="inlineStr">
        <is>
          <t>1000605558PG1BC</t>
        </is>
      </c>
      <c r="B1702" s="7" t="n">
        <v>987.8338741114424</v>
      </c>
    </row>
    <row r="1705" ht="30.75" customHeight="1">
      <c r="A1705" s="38" t="inlineStr">
        <is>
          <t>NZ TOU Gas Current Spend raw source schedule</t>
        </is>
      </c>
      <c r="B1705" s="38" t="n"/>
    </row>
    <row r="1706" ht="43.5" customHeight="1">
      <c r="A1706" s="39" t="inlineStr">
        <is>
          <t>ICP</t>
        </is>
      </c>
      <c r="B1706" s="41" t="inlineStr">
        <is>
          <t>Current Annual Spend (NZD)</t>
        </is>
      </c>
    </row>
    <row r="1707">
      <c r="A1707" s="2" t="inlineStr">
        <is>
          <t>0009000601NG1F9</t>
        </is>
      </c>
      <c r="B1707" s="4" t="n">
        <v>54825.727585</v>
      </c>
    </row>
    <row r="1708">
      <c r="A1708" s="2" t="inlineStr">
        <is>
          <t>0009000218NG904</t>
        </is>
      </c>
      <c r="B1708" s="4" t="n">
        <v>587532.38018</v>
      </c>
    </row>
    <row r="1709">
      <c r="A1709" s="2" t="inlineStr">
        <is>
          <t>0001022593NG2C3</t>
        </is>
      </c>
      <c r="B1709" s="4" t="n">
        <v>758490.2297250001</v>
      </c>
    </row>
    <row r="1710">
      <c r="A1710" s="2" t="inlineStr">
        <is>
          <t>0001510110PG48F</t>
        </is>
      </c>
      <c r="B1710" s="4" t="n">
        <v>323143.636605</v>
      </c>
    </row>
    <row r="1711">
      <c r="A1711" s="2" t="inlineStr">
        <is>
          <t>0000073603NAA76</t>
        </is>
      </c>
      <c r="B1711" s="4" t="n">
        <v>788194.2229249999</v>
      </c>
    </row>
    <row r="1712">
      <c r="A1712" s="2" t="inlineStr">
        <is>
          <t>1001126516QT2A3</t>
        </is>
      </c>
      <c r="B1712" s="4" t="n">
        <v>1824170.28234</v>
      </c>
    </row>
    <row r="1713">
      <c r="A1713" s="2" t="inlineStr">
        <is>
          <t>0005591470PG214</t>
        </is>
      </c>
      <c r="B1713" s="4" t="n">
        <v>349856.09403</v>
      </c>
    </row>
    <row r="1714">
      <c r="A1714" s="5" t="inlineStr">
        <is>
          <t>1000521442PG37D</t>
        </is>
      </c>
      <c r="B1714" s="7" t="n">
        <v>384998.049555</v>
      </c>
    </row>
    <row r="1717" ht="30.75" customHeight="1">
      <c r="A1717" s="38" t="inlineStr">
        <is>
          <t>WA Current Spend raw source schedule</t>
        </is>
      </c>
      <c r="B1717" s="38" t="n"/>
      <c r="C1717" s="38" t="n"/>
    </row>
    <row r="1718" ht="43.5" customHeight="1">
      <c r="A1718" s="39" t="inlineStr">
        <is>
          <t>NMI</t>
        </is>
      </c>
      <c r="B1718" s="40" t="inlineStr">
        <is>
          <t>Current Annual Spend (AUD)</t>
        </is>
      </c>
      <c r="C1718" s="41" t="inlineStr">
        <is>
          <t>Basis</t>
        </is>
      </c>
    </row>
    <row r="1719">
      <c r="A1719" s="2" t="inlineStr">
        <is>
          <t>8001000592</t>
        </is>
      </c>
      <c r="B1719" s="8" t="n">
        <v>680440.1833481144</v>
      </c>
      <c r="C1719" s="4" t="inlineStr">
        <is>
          <t>Source-model calculation from current retailer energy/environmental rates plus site network, regulatory and fixed charges</t>
        </is>
      </c>
    </row>
    <row r="1720">
      <c r="A1720" s="2" t="inlineStr">
        <is>
          <t>8001000591</t>
        </is>
      </c>
      <c r="B1720" s="8" t="n">
        <v>795798.8668975846</v>
      </c>
      <c r="C1720" s="4" t="inlineStr">
        <is>
          <t>Source-model calculation from current retailer energy/environmental rates plus site network, regulatory and fixed charges</t>
        </is>
      </c>
    </row>
    <row r="1721">
      <c r="A1721" s="2" t="inlineStr">
        <is>
          <t>8002193716</t>
        </is>
      </c>
      <c r="B1721" s="8" t="n">
        <v>187540.7421683119</v>
      </c>
      <c r="C1721" s="4" t="inlineStr">
        <is>
          <t>Source-model calculation from current retailer energy/environmental rates plus site network, regulatory and fixed charges</t>
        </is>
      </c>
    </row>
    <row r="1722">
      <c r="A1722" s="2" t="inlineStr">
        <is>
          <t>8001010840</t>
        </is>
      </c>
      <c r="B1722" s="8" t="n">
        <v>152956.5314049752</v>
      </c>
      <c r="C1722" s="4" t="inlineStr">
        <is>
          <t>Source-model calculation from current retailer energy/environmental rates plus site network, regulatory and fixed charges</t>
        </is>
      </c>
    </row>
    <row r="1723">
      <c r="A1723" s="2" t="inlineStr">
        <is>
          <t>8001016501</t>
        </is>
      </c>
      <c r="B1723" s="8" t="n">
        <v>66241.96637379874</v>
      </c>
      <c r="C1723" s="4" t="inlineStr">
        <is>
          <t>Source-model calculation from current retailer energy/environmental rates plus site network, regulatory and fixed charges</t>
        </is>
      </c>
    </row>
    <row r="1724">
      <c r="A1724" s="2" t="inlineStr">
        <is>
          <t>8001015167</t>
        </is>
      </c>
      <c r="B1724" s="8" t="n">
        <v>54537.82469146456</v>
      </c>
      <c r="C1724" s="4" t="inlineStr">
        <is>
          <t>Source-model calculation from current retailer energy/environmental rates plus site network, regulatory and fixed charges</t>
        </is>
      </c>
    </row>
    <row r="1725">
      <c r="A1725" s="5" t="inlineStr">
        <is>
          <t>8001356541</t>
        </is>
      </c>
      <c r="B1725" s="9" t="n">
        <v>10009.11365858662</v>
      </c>
      <c r="C1725" s="7" t="inlineStr">
        <is>
          <t>Source-model calculation from current retailer energy/environmental rates plus site network, regulatory and fixed charges</t>
        </is>
      </c>
    </row>
    <row r="1728" ht="30.75" customHeight="1">
      <c r="A1728" s="38" t="inlineStr">
        <is>
          <t>TAS Current Spend raw source schedule</t>
        </is>
      </c>
      <c r="B1728" s="38" t="n"/>
      <c r="C1728" s="38" t="n"/>
    </row>
    <row r="1729" ht="43.5" customHeight="1">
      <c r="A1729" s="39" t="inlineStr">
        <is>
          <t>NMI</t>
        </is>
      </c>
      <c r="B1729" s="40" t="inlineStr">
        <is>
          <t>Current Annual Spend (AUD)</t>
        </is>
      </c>
      <c r="C1729" s="41" t="inlineStr">
        <is>
          <t>Basis</t>
        </is>
      </c>
    </row>
    <row r="1730">
      <c r="A1730" s="2" t="inlineStr">
        <is>
          <t>8000002117</t>
        </is>
      </c>
      <c r="B1730" s="8" t="n">
        <v>162186.3782862408</v>
      </c>
      <c r="C1730" s="4" t="inlineStr">
        <is>
          <t>Source-model calculation from current retailer energy/environmental rates plus site network, regulatory and fixed charges</t>
        </is>
      </c>
    </row>
    <row r="1731">
      <c r="A1731" s="2" t="inlineStr">
        <is>
          <t>8000326927</t>
        </is>
      </c>
      <c r="B1731" s="8" t="n">
        <v>177451.2494026031</v>
      </c>
      <c r="C1731" s="4" t="inlineStr">
        <is>
          <t>Source-model calculation from current retailer energy/environmental rates plus site network, regulatory and fixed charges</t>
        </is>
      </c>
    </row>
    <row r="1732">
      <c r="A1732" s="5" t="inlineStr">
        <is>
          <t>8000002963</t>
        </is>
      </c>
      <c r="B1732" s="9" t="n">
        <v>43860.16322418556</v>
      </c>
      <c r="C1732" s="7" t="inlineStr">
        <is>
          <t>Source-model calculation from current retailer energy/environmental rates plus site network, regulatory and fixed charges</t>
        </is>
      </c>
    </row>
    <row r="1735" ht="30.75" customHeight="1">
      <c r="A1735" s="38" t="inlineStr">
        <is>
          <t>AU Large Current Spend raw source schedule</t>
        </is>
      </c>
      <c r="B1735" s="38" t="n"/>
      <c r="C1735" s="38" t="n"/>
    </row>
    <row r="1736" ht="43.5" customHeight="1">
      <c r="A1736" s="39" t="inlineStr">
        <is>
          <t>NMI</t>
        </is>
      </c>
      <c r="B1736" s="40" t="inlineStr">
        <is>
          <t>Current Annual Spend (AUD)</t>
        </is>
      </c>
      <c r="C1736" s="41" t="inlineStr">
        <is>
          <t>Basis</t>
        </is>
      </c>
    </row>
    <row r="1737">
      <c r="A1737" s="2" t="inlineStr">
        <is>
          <t>3053253239</t>
        </is>
      </c>
      <c r="B1737" s="8" t="n">
        <v>1210050.688785125</v>
      </c>
      <c r="C1737" s="4" t="inlineStr">
        <is>
          <t>Forecast-sheet current total</t>
        </is>
      </c>
    </row>
    <row r="1738">
      <c r="A1738" s="5" t="inlineStr">
        <is>
          <t>6305885252</t>
        </is>
      </c>
      <c r="B1738" s="9" t="n">
        <v>55562.51325314965</v>
      </c>
      <c r="C1738" s="7" t="inlineStr">
        <is>
          <t>Forecast-sheet current total</t>
        </is>
      </c>
    </row>
    <row r="1741" ht="30.75" customHeight="1">
      <c r="A1741" s="38" t="inlineStr">
        <is>
          <t>Accepted NEM C&amp;I Gas Rates raw source schedule</t>
        </is>
      </c>
      <c r="B1741" s="38" t="n"/>
      <c r="C1741" s="38" t="n"/>
      <c r="D1741" s="38" t="n"/>
      <c r="E1741" s="38" t="n"/>
      <c r="F1741" s="38" t="n"/>
      <c r="G1741" s="38" t="n"/>
      <c r="H1741" s="38" t="n"/>
    </row>
    <row r="1742" ht="43.5" customHeight="1">
      <c r="A1742" s="39" t="inlineStr">
        <is>
          <t>MIRN</t>
        </is>
      </c>
      <c r="B1742" s="40" t="inlineStr">
        <is>
          <t>Gas Rate 2026 ($/GJ)</t>
        </is>
      </c>
      <c r="C1742" s="40" t="inlineStr">
        <is>
          <t>Gas Rate 2027 ($/GJ)</t>
        </is>
      </c>
      <c r="D1742" s="40" t="inlineStr">
        <is>
          <t>Daily Fixed 2026 ($/day)</t>
        </is>
      </c>
      <c r="E1742" s="40" t="inlineStr">
        <is>
          <t>Daily Fixed 2027 ($/day)</t>
        </is>
      </c>
      <c r="F1742" s="40" t="inlineStr">
        <is>
          <t>VEET 2026 ($/certificate)</t>
        </is>
      </c>
      <c r="G1742" s="40" t="inlineStr">
        <is>
          <t>VEET 2027 ($/certificate)</t>
        </is>
      </c>
      <c r="H1742" s="41" t="inlineStr">
        <is>
          <t>Status</t>
        </is>
      </c>
    </row>
    <row r="1743">
      <c r="A1743" s="2" t="inlineStr">
        <is>
          <t>5248353654</t>
        </is>
      </c>
      <c r="B1743" s="8" t="n">
        <v>14.152</v>
      </c>
      <c r="C1743" s="8" t="n">
        <v>13.992</v>
      </c>
      <c r="D1743" s="8" t="n">
        <v>1386</v>
      </c>
      <c r="E1743" s="8" t="n">
        <v>1785</v>
      </c>
      <c r="F1743" s="8" t="n">
        <v>0</v>
      </c>
      <c r="G1743" s="8" t="n">
        <v>0</v>
      </c>
      <c r="H1743" s="4" t="inlineStr">
        <is>
          <t>Shell B&amp;E NSW - accepted</t>
        </is>
      </c>
    </row>
    <row r="1744">
      <c r="A1744" s="2" t="inlineStr">
        <is>
          <t>5242077399</t>
        </is>
      </c>
      <c r="B1744" s="8" t="n">
        <v>14.152</v>
      </c>
      <c r="C1744" s="8" t="n">
        <v>13.992</v>
      </c>
      <c r="D1744" s="8" t="n">
        <v>257</v>
      </c>
      <c r="E1744" s="8" t="n">
        <v>315</v>
      </c>
      <c r="F1744" s="8" t="n">
        <v>0</v>
      </c>
      <c r="G1744" s="8" t="n">
        <v>0</v>
      </c>
      <c r="H1744" s="4" t="inlineStr">
        <is>
          <t>Shell B&amp;E NSW - accepted</t>
        </is>
      </c>
    </row>
    <row r="1745">
      <c r="A1745" s="2" t="inlineStr">
        <is>
          <t>5510072233</t>
        </is>
      </c>
      <c r="B1745" s="8" t="n">
        <v>14.088</v>
      </c>
      <c r="C1745" s="8" t="n">
        <v>14.062</v>
      </c>
      <c r="D1745" s="8" t="n">
        <v>1200</v>
      </c>
      <c r="E1745" s="8" t="n">
        <v>1445</v>
      </c>
      <c r="F1745" s="8" t="n">
        <v>0</v>
      </c>
      <c r="G1745" s="8" t="n">
        <v>0</v>
      </c>
      <c r="H1745" s="4" t="inlineStr">
        <is>
          <t>Shell B&amp;E SA - accepted</t>
        </is>
      </c>
    </row>
    <row r="1746">
      <c r="A1746" s="2" t="inlineStr">
        <is>
          <t>5510485000</t>
        </is>
      </c>
      <c r="B1746" s="8" t="n">
        <v>14.088</v>
      </c>
      <c r="C1746" s="8" t="n">
        <v>14.062</v>
      </c>
      <c r="D1746" s="8" t="n">
        <v>77</v>
      </c>
      <c r="E1746" s="8" t="n">
        <v>87</v>
      </c>
      <c r="F1746" s="8" t="n">
        <v>0</v>
      </c>
      <c r="G1746" s="8" t="n">
        <v>0</v>
      </c>
      <c r="H1746" s="4" t="inlineStr">
        <is>
          <t>Shell B&amp;E SA - accepted</t>
        </is>
      </c>
    </row>
    <row r="1747">
      <c r="A1747" s="2" t="inlineStr">
        <is>
          <t>5310000243</t>
        </is>
      </c>
      <c r="B1747" s="8" t="n">
        <v>16.333</v>
      </c>
      <c r="C1747" s="8" t="n">
        <v>16.193</v>
      </c>
      <c r="D1747" s="8" t="n">
        <v>113</v>
      </c>
      <c r="E1747" s="8" t="n">
        <v>149</v>
      </c>
      <c r="F1747" s="8" t="n">
        <v>113.33</v>
      </c>
      <c r="G1747" s="8" t="n">
        <v>94.98</v>
      </c>
      <c r="H1747" s="4" t="inlineStr">
        <is>
          <t>Shell B&amp;E VIC - accepted</t>
        </is>
      </c>
    </row>
    <row r="1748">
      <c r="A1748" s="2" t="inlineStr">
        <is>
          <t>5320000943</t>
        </is>
      </c>
      <c r="B1748" s="8" t="n">
        <v>16.333</v>
      </c>
      <c r="C1748" s="8" t="n">
        <v>16.193</v>
      </c>
      <c r="D1748" s="8" t="n">
        <v>32</v>
      </c>
      <c r="E1748" s="8" t="n">
        <v>50</v>
      </c>
      <c r="F1748" s="8" t="n">
        <v>113.33</v>
      </c>
      <c r="G1748" s="8" t="n">
        <v>94.98</v>
      </c>
      <c r="H1748" s="4" t="inlineStr">
        <is>
          <t>Shell B&amp;E VIC - accepted</t>
        </is>
      </c>
    </row>
    <row r="1749">
      <c r="A1749" s="5" t="inlineStr">
        <is>
          <t>5330662312</t>
        </is>
      </c>
      <c r="B1749" s="9" t="n">
        <v>16.333</v>
      </c>
      <c r="C1749" s="9" t="n">
        <v>16.193</v>
      </c>
      <c r="D1749" s="9" t="n">
        <v>135</v>
      </c>
      <c r="E1749" s="9" t="n">
        <v>185</v>
      </c>
      <c r="F1749" s="9" t="n">
        <v>113.33</v>
      </c>
      <c r="G1749" s="9" t="n">
        <v>94.98</v>
      </c>
      <c r="H1749" s="7" t="inlineStr">
        <is>
          <t>Shell B&amp;E VIC - accepted</t>
        </is>
      </c>
    </row>
    <row r="1752" ht="30.75" customHeight="1">
      <c r="A1752" s="38" t="inlineStr">
        <is>
          <t>Sourced NEM C&amp;I Gas Agreements raw source schedule</t>
        </is>
      </c>
      <c r="B1752" s="38" t="n"/>
      <c r="C1752" s="38" t="n"/>
      <c r="D1752" s="38" t="n"/>
      <c r="E1752" s="38" t="n"/>
      <c r="F1752" s="38" t="n"/>
      <c r="G1752" s="38" t="n"/>
      <c r="H1752" s="38" t="n"/>
      <c r="I1752" s="38" t="n"/>
      <c r="J1752" s="38" t="n"/>
    </row>
    <row r="1753" ht="65.25" customHeight="1">
      <c r="A1753" s="39" t="inlineStr">
        <is>
          <t>MIRN</t>
        </is>
      </c>
      <c r="B1753" s="40" t="inlineStr">
        <is>
          <t>Contracted Retailer</t>
        </is>
      </c>
      <c r="C1753" s="40" t="inlineStr">
        <is>
          <t>Agreement File</t>
        </is>
      </c>
      <c r="D1753" s="40" t="inlineStr">
        <is>
          <t>Contract Start</t>
        </is>
      </c>
      <c r="E1753" s="40" t="inlineStr">
        <is>
          <t>Contract End</t>
        </is>
      </c>
      <c r="F1753" s="40" t="inlineStr">
        <is>
          <t>FY27 Gas Rate ($/GJ)</t>
        </is>
      </c>
      <c r="G1753" s="40" t="inlineStr">
        <is>
          <t>FY28 Gas Rate ($/GJ)</t>
        </is>
      </c>
      <c r="H1753" s="40" t="inlineStr">
        <is>
          <t>FY27 Supply Charge ($/month)</t>
        </is>
      </c>
      <c r="I1753" s="40" t="inlineStr">
        <is>
          <t>FY28 Supply Charge ($/month)</t>
        </is>
      </c>
      <c r="J1753" s="41" t="inlineStr">
        <is>
          <t>Evidence / modelling note</t>
        </is>
      </c>
    </row>
    <row r="1754">
      <c r="A1754" s="2" t="inlineStr">
        <is>
          <t>5265773931</t>
        </is>
      </c>
      <c r="B1754" s="8" t="inlineStr">
        <is>
          <t>Origin Energy (signed GSA)</t>
        </is>
      </c>
      <c r="C1754" s="8" t="inlineStr">
        <is>
          <t>Origin_Downer EDI Works_GSA_ACT.pdf</t>
        </is>
      </c>
      <c r="D1754" s="8" t="inlineStr">
        <is>
          <t>2027-01-01</t>
        </is>
      </c>
      <c r="E1754" s="8" t="inlineStr">
        <is>
          <t>2029-12-31</t>
        </is>
      </c>
      <c r="F1754" s="8" t="n">
        <v>15.43293</v>
      </c>
      <c r="G1754" s="8" t="n">
        <v>16.276112</v>
      </c>
      <c r="H1754" s="8" t="n">
        <v>21635.769935</v>
      </c>
      <c r="I1754" s="8" t="n">
        <v>21635.769935</v>
      </c>
      <c r="J1754" s="4" t="inlineStr">
        <is>
          <t>Origin signed GSA; MIRN in agreement includes check digit 52657739318. Energy rate and monthly supply charge scheduled.</t>
        </is>
      </c>
    </row>
    <row r="1755">
      <c r="A1755" s="2" t="inlineStr">
        <is>
          <t>5247064745</t>
        </is>
      </c>
      <c r="B1755" s="8" t="inlineStr">
        <is>
          <t>Origin Energy (signed GSA)</t>
        </is>
      </c>
      <c r="C1755" s="8" t="inlineStr">
        <is>
          <t>Origin_Downer EDI Works_GSA_NSW.pdf</t>
        </is>
      </c>
      <c r="D1755" s="8" t="inlineStr">
        <is>
          <t>2027-01-01</t>
        </is>
      </c>
      <c r="E1755" s="8" t="inlineStr">
        <is>
          <t>2029-12-31</t>
        </is>
      </c>
      <c r="F1755" s="8" t="n">
        <v>14.106365</v>
      </c>
      <c r="G1755" s="8" t="n">
        <v>14.912651</v>
      </c>
      <c r="H1755" s="8" t="n">
        <v>530.0207360000001</v>
      </c>
      <c r="I1755" s="8" t="n">
        <v>530.106361</v>
      </c>
      <c r="J1755" s="4" t="inlineStr">
        <is>
          <t>Origin signed GSA; MIRN in agreement includes check digit 52470647458. Energy rate and monthly supply charge scheduled.</t>
        </is>
      </c>
    </row>
    <row r="1756">
      <c r="A1756" s="2" t="inlineStr">
        <is>
          <t>5265761108</t>
        </is>
      </c>
      <c r="B1756" s="8" t="inlineStr">
        <is>
          <t>Origin Energy (signed GSA)</t>
        </is>
      </c>
      <c r="C1756" s="8" t="inlineStr">
        <is>
          <t>Origin_Spotless Facility Services_GSA_NSW.pdf</t>
        </is>
      </c>
      <c r="D1756" s="8" t="inlineStr">
        <is>
          <t>2027-01-01</t>
        </is>
      </c>
      <c r="E1756" s="8" t="inlineStr">
        <is>
          <t>2027-12-31</t>
        </is>
      </c>
      <c r="F1756" s="8" t="n">
        <v>14.2</v>
      </c>
      <c r="G1756" s="8" t="n"/>
      <c r="H1756" s="8" t="n">
        <v>417.08</v>
      </c>
      <c r="I1756" s="8" t="n"/>
      <c r="J1756" s="4" t="inlineStr">
        <is>
          <t>Origin signed GSA; MIRN in agreement includes check digit 52657611080. No FY28 term is evidenced.</t>
        </is>
      </c>
    </row>
    <row r="1757">
      <c r="A1757" s="2" t="inlineStr">
        <is>
          <t>5762711908</t>
        </is>
      </c>
      <c r="B1757" s="8" t="inlineStr">
        <is>
          <t>Solstice Energy (countersigned amendment)</t>
        </is>
      </c>
      <c r="C1757" s="8" t="inlineStr">
        <is>
          <t>Amendment to Gas Supply Agreement Downer EDI Works 2026 - signed.pdf</t>
        </is>
      </c>
      <c r="D1757" s="8" t="inlineStr">
        <is>
          <t>2025-01-01</t>
        </is>
      </c>
      <c r="E1757" s="8" t="inlineStr">
        <is>
          <t>2026-12-31</t>
        </is>
      </c>
      <c r="F1757" s="8" t="n"/>
      <c r="G1757" s="8" t="n"/>
      <c r="H1757" s="8" t="n"/>
      <c r="I1757" s="8" t="n"/>
      <c r="J1757" s="4" t="inlineStr">
        <is>
          <t>Countersigned Solstice amendment evidences MIRN 57627119088 and a 2026 expiry; a renewal is required for the second half of FY27.</t>
        </is>
      </c>
    </row>
    <row r="1758">
      <c r="A1758" s="2" t="inlineStr">
        <is>
          <t>5600405263</t>
        </is>
      </c>
      <c r="B1758" s="8" t="inlineStr">
        <is>
          <t>Kleenheat (countersigned variation)</t>
        </is>
      </c>
      <c r="C1758" s="8" t="inlineStr">
        <is>
          <t>Letter of Variation - Downer EDI Services Pty Ltd.pdf</t>
        </is>
      </c>
      <c r="D1758" s="8" t="inlineStr">
        <is>
          <t>2026-01-01</t>
        </is>
      </c>
      <c r="E1758" s="8" t="inlineStr">
        <is>
          <t>2027-12-31</t>
        </is>
      </c>
      <c r="F1758" s="8" t="n">
        <v>10.54</v>
      </c>
      <c r="G1758" s="8" t="n"/>
      <c r="H1758" s="8" t="n"/>
      <c r="I1758" s="8" t="n"/>
      <c r="J1758" s="4" t="inlineStr">
        <is>
          <t>Kleenheat countersigned variation; base gas price $10.54/GJ to 31-Dec-2027. Existing contract pass-through terms remain applicable.</t>
        </is>
      </c>
    </row>
    <row r="1759">
      <c r="A1759" s="2" t="inlineStr">
        <is>
          <t>5600436929</t>
        </is>
      </c>
      <c r="B1759" s="8" t="inlineStr">
        <is>
          <t>Kleenheat (countersigned variation)</t>
        </is>
      </c>
      <c r="C1759" s="8" t="inlineStr">
        <is>
          <t>Letter of Variation - Downer EDI Services Pty Ltd.pdf</t>
        </is>
      </c>
      <c r="D1759" s="8" t="inlineStr">
        <is>
          <t>2026-01-01</t>
        </is>
      </c>
      <c r="E1759" s="8" t="inlineStr">
        <is>
          <t>2027-12-31</t>
        </is>
      </c>
      <c r="F1759" s="8" t="n">
        <v>10.54</v>
      </c>
      <c r="G1759" s="8" t="n"/>
      <c r="H1759" s="8" t="n"/>
      <c r="I1759" s="8" t="n"/>
      <c r="J1759" s="4" t="inlineStr">
        <is>
          <t>Kleenheat countersigned variation; base gas price $10.54/GJ to 31-Dec-2027. Existing contract pass-through terms remain applicable.</t>
        </is>
      </c>
    </row>
    <row r="1760">
      <c r="A1760" s="2" t="inlineStr">
        <is>
          <t>5600945901</t>
        </is>
      </c>
      <c r="B1760" s="8" t="inlineStr">
        <is>
          <t>Kleenheat (countersigned variation)</t>
        </is>
      </c>
      <c r="C1760" s="8" t="inlineStr">
        <is>
          <t>Letter of Variation - Downer EDI Services Pty Ltd.pdf</t>
        </is>
      </c>
      <c r="D1760" s="8" t="inlineStr">
        <is>
          <t>2026-01-01</t>
        </is>
      </c>
      <c r="E1760" s="8" t="inlineStr">
        <is>
          <t>2027-12-31</t>
        </is>
      </c>
      <c r="F1760" s="8" t="n">
        <v>10.54</v>
      </c>
      <c r="G1760" s="8" t="n"/>
      <c r="H1760" s="8" t="n"/>
      <c r="I1760" s="8" t="n"/>
      <c r="J1760" s="4" t="inlineStr">
        <is>
          <t>Kleenheat countersigned variation; base gas price $10.54/GJ to 31-Dec-2027. Existing contract pass-through terms remain applicable.</t>
        </is>
      </c>
    </row>
    <row r="1761">
      <c r="A1761" s="5" t="inlineStr">
        <is>
          <t>5600604830</t>
        </is>
      </c>
      <c r="B1761" s="9" t="inlineStr">
        <is>
          <t>Kleenheat (countersigned variation)</t>
        </is>
      </c>
      <c r="C1761" s="9" t="inlineStr">
        <is>
          <t>Letter of Variation - Spotless Facility Services Pty Ltd.pdf</t>
        </is>
      </c>
      <c r="D1761" s="9" t="inlineStr">
        <is>
          <t>2026-01-01</t>
        </is>
      </c>
      <c r="E1761" s="9" t="inlineStr">
        <is>
          <t>2027-12-31</t>
        </is>
      </c>
      <c r="F1761" s="9" t="n">
        <v>10.54</v>
      </c>
      <c r="G1761" s="9" t="n"/>
      <c r="H1761" s="9" t="n"/>
      <c r="I1761" s="9" t="n"/>
      <c r="J1761" s="7" t="inlineStr">
        <is>
          <t>Kleenheat countersigned variation; base gas price $10.54/GJ to 31-Dec-2027. Existing contract pass-through terms remain applicable.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3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15" t="inlineStr">
        <is>
          <t>How columns V to AE were filled</t>
        </is>
      </c>
    </row>
    <row r="3">
      <c r="A3" s="116" t="inlineStr">
        <is>
          <t>Connection ID is matched to the text after the last underscore in an Envizi account number.</t>
        </is>
      </c>
    </row>
    <row r="4">
      <c r="A4" s="116" t="inlineStr">
        <is>
          <t>Where the site has a certificate virtual meter, columns V to AC describe the account that meter</t>
        </is>
      </c>
    </row>
    <row r="5">
      <c r="A5" s="116" t="inlineStr">
        <is>
          <t>follows - the one carrying the electricity from 1 July 2026. Otherwise they describe the active</t>
        </is>
      </c>
    </row>
    <row r="6">
      <c r="A6" s="116" t="inlineStr">
        <is>
          <t>account on that ID. Column AD lists every other Envizi account on the same ID.</t>
        </is>
      </c>
    </row>
    <row r="7">
      <c r="A7" s="116" t="inlineStr"/>
    </row>
    <row r="8">
      <c r="A8" s="116" t="inlineStr">
        <is>
          <t>Column AE names the certificate account: the new virtual meter (live, or still to create) and any</t>
        </is>
      </c>
    </row>
    <row r="9">
      <c r="A9" s="116" t="inlineStr">
        <is>
          <t>historical LGCS_ account at the same location. Green means it is already live in Envizi; amber means the</t>
        </is>
      </c>
    </row>
    <row r="10">
      <c r="A10" s="116" t="inlineStr">
        <is>
          <t>certificate account is TEMPORARY - the contracted retailer has no account on that ID yet, so the meter</t>
        </is>
      </c>
    </row>
    <row r="11">
      <c r="A11" s="116" t="inlineStr">
        <is>
          <t>follows the old supply and has to be deleted and remade once the right account appears.</t>
        </is>
      </c>
    </row>
    <row r="12">
      <c r="A12" s="116" t="inlineStr"/>
    </row>
    <row r="13">
      <c r="A13" s="116" t="inlineStr">
        <is>
          <t>Shading: red in V to AE means no Envizi account ends in that Connection ID. Amber in AB means the</t>
        </is>
      </c>
    </row>
    <row r="14">
      <c r="A14" s="116" t="inlineStr">
        <is>
          <t>account is closed. Peach in AD flags a Connection ID that is being double counted - a second</t>
        </is>
      </c>
    </row>
    <row r="15">
      <c r="A15" s="116" t="inlineStr">
        <is>
          <t>account is still recording the months the source account already covers (list below).</t>
        </is>
      </c>
    </row>
    <row r="16">
      <c r="A16" s="116" t="inlineStr"/>
    </row>
    <row r="17">
      <c r="A17" s="116" t="inlineStr">
        <is>
          <t>Scope note: large and small market is a metering classification and does not decide whether the</t>
        </is>
      </c>
    </row>
    <row r="18">
      <c r="A18" s="116" t="inlineStr">
        <is>
          <t>renewal covers a site - Category Management confirmed on 4 September 2026 that a site can be</t>
        </is>
      </c>
    </row>
    <row r="19">
      <c r="A19" s="116" t="inlineStr">
        <is>
          <t>metered small market and still be supplied as large market. The site register's green rows decide.</t>
        </is>
      </c>
    </row>
    <row r="20">
      <c r="A20" s="116" t="inlineStr"/>
    </row>
    <row r="21">
      <c r="A21" s="116" t="inlineStr">
        <is>
          <t>Built from Extract_for_Accounts 05 Sep 26.csv and Extract_for_Locations 26 Aug 26.csv.</t>
        </is>
      </c>
    </row>
    <row r="22">
      <c r="A22" s="117" t="inlineStr">
        <is>
          <t>Connection IDs being double counted</t>
        </is>
      </c>
    </row>
    <row r="23">
      <c r="A23" s="116" t="inlineStr">
        <is>
          <t>2001160742</t>
        </is>
      </c>
    </row>
    <row r="24">
      <c r="A24" s="116" t="inlineStr">
        <is>
          <t>2002254877</t>
        </is>
      </c>
    </row>
    <row r="25">
      <c r="A25" s="116" t="inlineStr">
        <is>
          <t>3120129028</t>
        </is>
      </c>
    </row>
    <row r="26">
      <c r="A26" s="116" t="inlineStr">
        <is>
          <t>6001311036</t>
        </is>
      </c>
    </row>
    <row r="27">
      <c r="A27" s="116" t="inlineStr">
        <is>
          <t>6203753676</t>
        </is>
      </c>
    </row>
    <row r="28">
      <c r="A28" s="116" t="inlineStr">
        <is>
          <t>6204134328</t>
        </is>
      </c>
    </row>
    <row r="29">
      <c r="A29" s="116" t="inlineStr">
        <is>
          <t>6305920528</t>
        </is>
      </c>
    </row>
    <row r="30">
      <c r="A30" s="116" t="inlineStr">
        <is>
          <t>6306009124</t>
        </is>
      </c>
    </row>
    <row r="31">
      <c r="A31" s="116" t="inlineStr">
        <is>
          <t>6407100027</t>
        </is>
      </c>
    </row>
    <row r="32">
      <c r="A32" s="116" t="inlineStr">
        <is>
          <t>6407695655</t>
        </is>
      </c>
    </row>
    <row r="33">
      <c r="A33" s="116" t="inlineStr">
        <is>
          <t>QB05383854</t>
        </is>
      </c>
    </row>
    <row r="34">
      <c r="A34" s="116" t="inlineStr">
        <is>
          <t>SAAAAAB023</t>
        </is>
      </c>
    </row>
    <row r="35">
      <c r="A35" s="116" t="inlineStr">
        <is>
          <t>SAAAAAC481</t>
        </is>
      </c>
    </row>
    <row r="36">
      <c r="A36" s="116" t="inlineStr">
        <is>
          <t>VBBB002698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/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:title/>
  <dcterms:created xsi:type="dcterms:W3CDTF">2026-09-08T06:51:56Z</dcterms:created>
  <dcterms:modified xsi:type="dcterms:W3CDTF">2026-09-08T06:51:57Z</dcterms:modified>
  <cp:lastModifiedBy/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0x0101004A1D5AB4888D574C86D62517938BA6C7</vt:lpwstr>
  </property>
</Properties>
</file>